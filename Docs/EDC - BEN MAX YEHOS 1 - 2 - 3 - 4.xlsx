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Wise\Downloads\"/>
    </mc:Choice>
  </mc:AlternateContent>
  <xr:revisionPtr revIDLastSave="0" documentId="13_ncr:1_{85D6AF48-E79B-4899-8871-6447F375FC48}" xr6:coauthVersionLast="47" xr6:coauthVersionMax="47" xr10:uidLastSave="{00000000-0000-0000-0000-000000000000}"/>
  <bookViews>
    <workbookView xWindow="-120" yWindow="-120" windowWidth="20730" windowHeight="11160" xr2:uid="{0BB83204-0EE9-47D4-952E-D1C8855D8B54}"/>
  </bookViews>
  <sheets>
    <sheet name="Resumo 100%" sheetId="10" r:id="rId1"/>
    <sheet name="LISTA DE COMPRAS" sheetId="4" r:id="rId2"/>
    <sheet name="Est. Cust. Naci." sheetId="9" r:id="rId3"/>
    <sheet name="Rateio Custos Fixos" sheetId="5" r:id="rId4"/>
  </sheets>
  <externalReferences>
    <externalReference r:id="rId5"/>
    <externalReference r:id="rId6"/>
  </externalReferences>
  <definedNames>
    <definedName name="_xlnm._FilterDatabase" localSheetId="2" hidden="1">'Est. Cust. Naci.'!$A$4:$AP$7</definedName>
    <definedName name="_xlnm._FilterDatabase" localSheetId="3" hidden="1">'Rateio Custos Fixos'!$A$10:$W$16</definedName>
    <definedName name="_xlnm._FilterDatabase" localSheetId="0" hidden="1">'Resumo 100%'!$B$5:$G$50</definedName>
    <definedName name="_xlnm.Print_Area" localSheetId="1">'LISTA DE COMPRAS'!$A$1:$T$24</definedName>
    <definedName name="_xlnm.Print_Area" localSheetId="0">'Resumo 100%'!$B$1:$G$65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5" l="1"/>
  <c r="B30" i="5"/>
  <c r="C25" i="9"/>
  <c r="G25" i="9"/>
  <c r="H25" i="9"/>
  <c r="K25" i="9" s="1"/>
  <c r="L25" i="9" s="1"/>
  <c r="J25" i="9"/>
  <c r="Z25" i="9"/>
  <c r="K4" i="10"/>
  <c r="K4" i="4"/>
  <c r="Q24" i="4" s="1"/>
  <c r="I25" i="9" s="1"/>
  <c r="N25" i="9" s="1"/>
  <c r="J4" i="10"/>
  <c r="J4" i="4"/>
  <c r="M24" i="4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G7" i="5"/>
  <c r="E11" i="5" s="1"/>
  <c r="P24" i="4"/>
  <c r="C30" i="5" s="1"/>
  <c r="B20" i="5"/>
  <c r="B21" i="5"/>
  <c r="B22" i="5"/>
  <c r="B23" i="5"/>
  <c r="B24" i="5"/>
  <c r="B25" i="5"/>
  <c r="B26" i="5"/>
  <c r="B27" i="5"/>
  <c r="B28" i="5"/>
  <c r="B29" i="5"/>
  <c r="A29" i="5"/>
  <c r="A24" i="5"/>
  <c r="A25" i="5"/>
  <c r="A26" i="5"/>
  <c r="A27" i="5"/>
  <c r="A28" i="5"/>
  <c r="J14" i="9"/>
  <c r="AX14" i="9" s="1"/>
  <c r="AB14" i="9"/>
  <c r="AD14" i="9"/>
  <c r="AE14" i="9"/>
  <c r="AF14" i="9"/>
  <c r="AG14" i="9"/>
  <c r="AH14" i="9"/>
  <c r="AK14" i="9"/>
  <c r="AL14" i="9"/>
  <c r="AM14" i="9"/>
  <c r="J15" i="9"/>
  <c r="J16" i="9"/>
  <c r="AX16" i="9" s="1"/>
  <c r="J17" i="9"/>
  <c r="AX17" i="9" s="1"/>
  <c r="J18" i="9"/>
  <c r="AX18" i="9" s="1"/>
  <c r="Z18" i="9"/>
  <c r="AB18" i="9"/>
  <c r="AD18" i="9"/>
  <c r="AE18" i="9"/>
  <c r="AF18" i="9"/>
  <c r="AG18" i="9"/>
  <c r="AH18" i="9"/>
  <c r="AK18" i="9"/>
  <c r="AL18" i="9"/>
  <c r="AM18" i="9"/>
  <c r="J19" i="9"/>
  <c r="AX19" i="9" s="1"/>
  <c r="J20" i="9"/>
  <c r="J21" i="9"/>
  <c r="AX21" i="9" s="1"/>
  <c r="J22" i="9"/>
  <c r="AX22" i="9" s="1"/>
  <c r="Y22" i="9"/>
  <c r="Z22" i="9"/>
  <c r="AB22" i="9"/>
  <c r="AD22" i="9"/>
  <c r="AE22" i="9"/>
  <c r="AF22" i="9"/>
  <c r="AG22" i="9"/>
  <c r="AH22" i="9"/>
  <c r="AK22" i="9"/>
  <c r="AL22" i="9"/>
  <c r="AM22" i="9"/>
  <c r="J23" i="9"/>
  <c r="J24" i="9"/>
  <c r="AX24" i="9" s="1"/>
  <c r="Z10" i="9"/>
  <c r="AB10" i="9"/>
  <c r="AD10" i="9"/>
  <c r="AE10" i="9"/>
  <c r="AF10" i="9"/>
  <c r="AG10" i="9"/>
  <c r="AH10" i="9"/>
  <c r="G17" i="9"/>
  <c r="H17" i="9"/>
  <c r="G18" i="9"/>
  <c r="H18" i="9"/>
  <c r="G19" i="9"/>
  <c r="H19" i="9"/>
  <c r="G20" i="9"/>
  <c r="H20" i="9"/>
  <c r="G21" i="9"/>
  <c r="H21" i="9"/>
  <c r="G22" i="9"/>
  <c r="H22" i="9"/>
  <c r="G23" i="9"/>
  <c r="H23" i="9"/>
  <c r="G24" i="9"/>
  <c r="H24" i="9"/>
  <c r="C18" i="9"/>
  <c r="C19" i="9"/>
  <c r="C20" i="9"/>
  <c r="C21" i="9"/>
  <c r="C22" i="9"/>
  <c r="C23" i="9"/>
  <c r="C24" i="9"/>
  <c r="M23" i="4"/>
  <c r="M22" i="4"/>
  <c r="M21" i="4"/>
  <c r="M20" i="4"/>
  <c r="M19" i="4"/>
  <c r="M18" i="4"/>
  <c r="M17" i="4"/>
  <c r="M16" i="4"/>
  <c r="M15" i="4"/>
  <c r="M14" i="4"/>
  <c r="M13" i="4"/>
  <c r="M12" i="4"/>
  <c r="M6" i="4"/>
  <c r="J30" i="5" l="1"/>
  <c r="AC25" i="9" s="1"/>
  <c r="N30" i="5"/>
  <c r="AG25" i="9" s="1"/>
  <c r="R30" i="5"/>
  <c r="AK25" i="9" s="1"/>
  <c r="V30" i="5"/>
  <c r="AO25" i="9" s="1"/>
  <c r="H30" i="5"/>
  <c r="AA25" i="9" s="1"/>
  <c r="L30" i="5"/>
  <c r="AE25" i="9" s="1"/>
  <c r="T30" i="5"/>
  <c r="AM25" i="9" s="1"/>
  <c r="I30" i="5"/>
  <c r="AB25" i="9" s="1"/>
  <c r="Q30" i="5"/>
  <c r="AJ25" i="9" s="1"/>
  <c r="F30" i="5"/>
  <c r="Y25" i="9" s="1"/>
  <c r="K30" i="5"/>
  <c r="AD25" i="9" s="1"/>
  <c r="O30" i="5"/>
  <c r="AH25" i="9" s="1"/>
  <c r="S30" i="5"/>
  <c r="AL25" i="9" s="1"/>
  <c r="P30" i="5"/>
  <c r="AI25" i="9" s="1"/>
  <c r="M30" i="5"/>
  <c r="AF25" i="9" s="1"/>
  <c r="U30" i="5"/>
  <c r="AN25" i="9" s="1"/>
  <c r="K20" i="9"/>
  <c r="L20" i="9" s="1"/>
  <c r="E30" i="5"/>
  <c r="O25" i="9" s="1"/>
  <c r="AP25" i="9"/>
  <c r="P25" i="9"/>
  <c r="K17" i="9"/>
  <c r="L17" i="9" s="1"/>
  <c r="Q23" i="4"/>
  <c r="I24" i="9" s="1"/>
  <c r="N24" i="9" s="1"/>
  <c r="Q19" i="4"/>
  <c r="I20" i="9" s="1"/>
  <c r="N20" i="9" s="1"/>
  <c r="Q21" i="4"/>
  <c r="I22" i="9" s="1"/>
  <c r="N22" i="9" s="1"/>
  <c r="Q18" i="4"/>
  <c r="I19" i="9" s="1"/>
  <c r="N19" i="9" s="1"/>
  <c r="Q20" i="4"/>
  <c r="I21" i="9" s="1"/>
  <c r="N21" i="9" s="1"/>
  <c r="Q22" i="4"/>
  <c r="I23" i="9" s="1"/>
  <c r="N23" i="9" s="1"/>
  <c r="K22" i="9"/>
  <c r="L22" i="9" s="1"/>
  <c r="K24" i="9"/>
  <c r="L24" i="9" s="1"/>
  <c r="K23" i="9"/>
  <c r="L23" i="9" s="1"/>
  <c r="AX20" i="9"/>
  <c r="AX15" i="9"/>
  <c r="K21" i="9"/>
  <c r="L21" i="9" s="1"/>
  <c r="K19" i="9"/>
  <c r="L19" i="9" s="1"/>
  <c r="K18" i="9"/>
  <c r="L18" i="9" s="1"/>
  <c r="AX23" i="9"/>
  <c r="G31" i="10"/>
  <c r="B31" i="10"/>
  <c r="B30" i="10"/>
  <c r="AA4" i="9"/>
  <c r="AB4" i="9"/>
  <c r="G45" i="10"/>
  <c r="G44" i="10"/>
  <c r="G43" i="10"/>
  <c r="G42" i="10"/>
  <c r="G41" i="10"/>
  <c r="G40" i="10"/>
  <c r="G38" i="10"/>
  <c r="G37" i="10"/>
  <c r="G36" i="10"/>
  <c r="G35" i="10"/>
  <c r="G34" i="10"/>
  <c r="G33" i="10"/>
  <c r="G32" i="10"/>
  <c r="G30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29" i="10"/>
  <c r="AC4" i="9"/>
  <c r="V6" i="9"/>
  <c r="U6" i="9"/>
  <c r="T6" i="9"/>
  <c r="S6" i="9"/>
  <c r="R6" i="9"/>
  <c r="R5" i="9"/>
  <c r="V5" i="9"/>
  <c r="U5" i="9"/>
  <c r="T5" i="9"/>
  <c r="S5" i="9"/>
  <c r="J8" i="9"/>
  <c r="J9" i="9"/>
  <c r="J10" i="9"/>
  <c r="J11" i="9"/>
  <c r="J12" i="9"/>
  <c r="J13" i="9"/>
  <c r="AO4" i="9"/>
  <c r="AN4" i="9"/>
  <c r="AM4" i="9"/>
  <c r="AL4" i="9"/>
  <c r="AK4" i="9"/>
  <c r="AJ4" i="9"/>
  <c r="AH4" i="9"/>
  <c r="AG4" i="9"/>
  <c r="AF4" i="9"/>
  <c r="AE4" i="9"/>
  <c r="AD4" i="9"/>
  <c r="Z4" i="9"/>
  <c r="Y4" i="9"/>
  <c r="B13" i="5"/>
  <c r="B14" i="5"/>
  <c r="B15" i="5"/>
  <c r="B16" i="5"/>
  <c r="B17" i="5"/>
  <c r="B18" i="5"/>
  <c r="B19" i="5"/>
  <c r="B12" i="5"/>
  <c r="G29" i="10"/>
  <c r="U25" i="9" l="1"/>
  <c r="R25" i="9"/>
  <c r="V25" i="9"/>
  <c r="T25" i="9"/>
  <c r="Q16" i="4"/>
  <c r="I17" i="9" s="1"/>
  <c r="N17" i="9" s="1"/>
  <c r="Q17" i="4"/>
  <c r="I18" i="9" s="1"/>
  <c r="N18" i="9" s="1"/>
  <c r="Q14" i="4"/>
  <c r="I15" i="9" s="1"/>
  <c r="N15" i="9" s="1"/>
  <c r="Q15" i="4"/>
  <c r="I16" i="9" s="1"/>
  <c r="N16" i="9" s="1"/>
  <c r="Q12" i="4"/>
  <c r="I13" i="9" s="1"/>
  <c r="Q13" i="4"/>
  <c r="I14" i="9" s="1"/>
  <c r="N14" i="9" s="1"/>
  <c r="AX13" i="9"/>
  <c r="H8" i="9"/>
  <c r="K8" i="9" s="1"/>
  <c r="L8" i="9" s="1"/>
  <c r="H9" i="9"/>
  <c r="K9" i="9" s="1"/>
  <c r="L9" i="9" s="1"/>
  <c r="H10" i="9"/>
  <c r="K10" i="9" s="1"/>
  <c r="L10" i="9" s="1"/>
  <c r="H11" i="9"/>
  <c r="K11" i="9" s="1"/>
  <c r="L11" i="9" s="1"/>
  <c r="H12" i="9"/>
  <c r="K12" i="9" s="1"/>
  <c r="L12" i="9" s="1"/>
  <c r="H13" i="9"/>
  <c r="K13" i="9" s="1"/>
  <c r="L13" i="9" s="1"/>
  <c r="H14" i="9"/>
  <c r="K14" i="9" s="1"/>
  <c r="L14" i="9" s="1"/>
  <c r="H15" i="9"/>
  <c r="K15" i="9" s="1"/>
  <c r="L15" i="9" s="1"/>
  <c r="H16" i="9"/>
  <c r="K16" i="9" s="1"/>
  <c r="L16" i="9" s="1"/>
  <c r="G8" i="9"/>
  <c r="G9" i="9"/>
  <c r="G10" i="9"/>
  <c r="G11" i="9"/>
  <c r="G12" i="9"/>
  <c r="G13" i="9"/>
  <c r="G14" i="9"/>
  <c r="G15" i="9"/>
  <c r="G16" i="9"/>
  <c r="C7" i="9"/>
  <c r="C8" i="9"/>
  <c r="A13" i="5"/>
  <c r="A14" i="5"/>
  <c r="A15" i="5"/>
  <c r="A16" i="5"/>
  <c r="A17" i="5"/>
  <c r="A18" i="5"/>
  <c r="A19" i="5"/>
  <c r="A20" i="5"/>
  <c r="A21" i="5"/>
  <c r="A22" i="5"/>
  <c r="A23" i="5"/>
  <c r="A12" i="5"/>
  <c r="B61" i="10"/>
  <c r="B51" i="10"/>
  <c r="B52" i="10"/>
  <c r="B53" i="10"/>
  <c r="B54" i="10"/>
  <c r="B55" i="10"/>
  <c r="B56" i="10"/>
  <c r="B57" i="10"/>
  <c r="B58" i="10"/>
  <c r="B59" i="10"/>
  <c r="B60" i="10"/>
  <c r="B50" i="10"/>
  <c r="M7" i="4"/>
  <c r="M8" i="4"/>
  <c r="M9" i="4"/>
  <c r="M10" i="4"/>
  <c r="M11" i="4"/>
  <c r="C9" i="9"/>
  <c r="C10" i="9"/>
  <c r="C11" i="9"/>
  <c r="C12" i="9"/>
  <c r="C13" i="9"/>
  <c r="C14" i="9"/>
  <c r="C15" i="9"/>
  <c r="C16" i="9"/>
  <c r="C17" i="9"/>
  <c r="G9" i="10"/>
  <c r="M4" i="4" l="1"/>
  <c r="Q25" i="9"/>
  <c r="S25" i="9" s="1"/>
  <c r="W25" i="9" s="1"/>
  <c r="AQ25" i="9" s="1"/>
  <c r="AM10" i="9"/>
  <c r="AK10" i="9"/>
  <c r="C15" i="10"/>
  <c r="Y10" i="9"/>
  <c r="AL10" i="9"/>
  <c r="AX12" i="9"/>
  <c r="AX11" i="9"/>
  <c r="AX10" i="9"/>
  <c r="AX9" i="9"/>
  <c r="AX8" i="9"/>
  <c r="N4" i="4"/>
  <c r="N24" i="4" s="1"/>
  <c r="N14" i="4" l="1"/>
  <c r="N23" i="4"/>
  <c r="N18" i="4"/>
  <c r="N21" i="4"/>
  <c r="N15" i="4"/>
  <c r="N17" i="4"/>
  <c r="N13" i="4"/>
  <c r="N19" i="4"/>
  <c r="N12" i="4"/>
  <c r="N16" i="4"/>
  <c r="N20" i="4"/>
  <c r="N22" i="4"/>
  <c r="Y18" i="9"/>
  <c r="Y14" i="9"/>
  <c r="N7" i="4"/>
  <c r="N8" i="4"/>
  <c r="N9" i="4"/>
  <c r="N10" i="4"/>
  <c r="N11" i="4"/>
  <c r="Q7" i="4" l="1"/>
  <c r="Q8" i="4"/>
  <c r="Q9" i="4"/>
  <c r="Q10" i="4"/>
  <c r="Q11" i="4"/>
  <c r="N13" i="9"/>
  <c r="L20" i="10"/>
  <c r="I20" i="10"/>
  <c r="L19" i="10"/>
  <c r="I19" i="10"/>
  <c r="L18" i="10"/>
  <c r="I18" i="10"/>
  <c r="L17" i="10"/>
  <c r="I17" i="10"/>
  <c r="L14" i="10"/>
  <c r="I14" i="10"/>
  <c r="I12" i="9" l="1"/>
  <c r="N12" i="9" s="1"/>
  <c r="I8" i="9"/>
  <c r="N8" i="9" s="1"/>
  <c r="I11" i="9"/>
  <c r="N11" i="9" s="1"/>
  <c r="I10" i="9"/>
  <c r="N10" i="9" s="1"/>
  <c r="I9" i="9"/>
  <c r="N9" i="9" s="1"/>
  <c r="M20" i="10"/>
  <c r="N20" i="10" s="1"/>
  <c r="O20" i="10" s="1"/>
  <c r="M19" i="10"/>
  <c r="N19" i="10" s="1"/>
  <c r="O19" i="10" s="1"/>
  <c r="M18" i="10"/>
  <c r="N18" i="10" s="1"/>
  <c r="O18" i="10" s="1"/>
  <c r="M14" i="10"/>
  <c r="M17" i="10"/>
  <c r="N17" i="10" s="1"/>
  <c r="O17" i="10" s="1"/>
  <c r="J7" i="9"/>
  <c r="H7" i="9"/>
  <c r="G7" i="9"/>
  <c r="B7" i="9"/>
  <c r="N14" i="10" l="1"/>
  <c r="O14" i="10" s="1"/>
  <c r="M4" i="10"/>
  <c r="AX7" i="9"/>
  <c r="AY7" i="9" s="1"/>
  <c r="K7" i="9"/>
  <c r="L7" i="9" s="1"/>
  <c r="L4" i="9" s="1"/>
  <c r="L6" i="4" l="1"/>
  <c r="N6" i="4" l="1"/>
  <c r="F15" i="10"/>
  <c r="F16" i="10" s="1"/>
  <c r="B71" i="10" s="1"/>
  <c r="AP26" i="9"/>
  <c r="G15" i="10"/>
  <c r="B4" i="5" a="1"/>
  <c r="B4" i="5" s="1"/>
  <c r="G3" i="5"/>
  <c r="G2" i="5"/>
  <c r="C10" i="5"/>
  <c r="G5" i="5" l="1"/>
  <c r="D12" i="10"/>
  <c r="Q6" i="4"/>
  <c r="D71" i="10" l="1"/>
  <c r="I7" i="9"/>
  <c r="F19" i="10"/>
  <c r="G16" i="10" l="1"/>
  <c r="G19" i="10"/>
  <c r="N7" i="9"/>
  <c r="G17" i="10" l="1"/>
  <c r="G20" i="10" s="1"/>
  <c r="C62" i="10"/>
  <c r="X5" i="9" l="1"/>
  <c r="O6" i="4" l="1"/>
  <c r="M7" i="9" l="1"/>
  <c r="P8" i="4" l="1"/>
  <c r="C14" i="5" s="1"/>
  <c r="P12" i="4"/>
  <c r="C18" i="5" s="1"/>
  <c r="P7" i="4"/>
  <c r="C13" i="5" s="1"/>
  <c r="P13" i="4"/>
  <c r="C19" i="5" s="1"/>
  <c r="P15" i="4"/>
  <c r="C21" i="5" s="1"/>
  <c r="P20" i="4"/>
  <c r="C26" i="5" s="1"/>
  <c r="P11" i="4"/>
  <c r="C17" i="5" s="1"/>
  <c r="P10" i="4"/>
  <c r="C16" i="5" s="1"/>
  <c r="P23" i="4"/>
  <c r="C29" i="5" s="1"/>
  <c r="P22" i="4"/>
  <c r="C28" i="5" s="1"/>
  <c r="P21" i="4"/>
  <c r="C27" i="5" s="1"/>
  <c r="P19" i="4"/>
  <c r="C25" i="5" s="1"/>
  <c r="P18" i="4"/>
  <c r="C24" i="5" s="1"/>
  <c r="P17" i="4"/>
  <c r="C23" i="5" s="1"/>
  <c r="P16" i="4"/>
  <c r="C22" i="5" s="1"/>
  <c r="P14" i="4"/>
  <c r="C20" i="5" s="1"/>
  <c r="P6" i="4"/>
  <c r="C12" i="5" s="1"/>
  <c r="P9" i="4"/>
  <c r="C15" i="5" s="1"/>
  <c r="H20" i="5" l="1"/>
  <c r="U20" i="5"/>
  <c r="Q20" i="5"/>
  <c r="AJ15" i="9" s="1"/>
  <c r="J20" i="5"/>
  <c r="AC15" i="9" s="1"/>
  <c r="V20" i="5"/>
  <c r="G20" i="5"/>
  <c r="P20" i="5"/>
  <c r="AI15" i="9" s="1"/>
  <c r="P22" i="5"/>
  <c r="AI17" i="9" s="1"/>
  <c r="J22" i="5"/>
  <c r="V22" i="5"/>
  <c r="AO17" i="9" s="1"/>
  <c r="Q22" i="5"/>
  <c r="AJ17" i="9" s="1"/>
  <c r="H22" i="5"/>
  <c r="AA17" i="9" s="1"/>
  <c r="U22" i="5"/>
  <c r="AN17" i="9" s="1"/>
  <c r="G22" i="5"/>
  <c r="Z17" i="9" s="1"/>
  <c r="J23" i="5"/>
  <c r="AC18" i="9" s="1"/>
  <c r="V23" i="5"/>
  <c r="AO18" i="9" s="1"/>
  <c r="H23" i="5"/>
  <c r="U23" i="5"/>
  <c r="AN18" i="9" s="1"/>
  <c r="P23" i="5"/>
  <c r="AI18" i="9" s="1"/>
  <c r="Q23" i="5"/>
  <c r="AJ18" i="9" s="1"/>
  <c r="H28" i="5"/>
  <c r="AA23" i="9" s="1"/>
  <c r="U28" i="5"/>
  <c r="AN23" i="9" s="1"/>
  <c r="Q28" i="5"/>
  <c r="AJ23" i="9" s="1"/>
  <c r="J28" i="5"/>
  <c r="AC23" i="9" s="1"/>
  <c r="V28" i="5"/>
  <c r="P28" i="5"/>
  <c r="AI23" i="9" s="1"/>
  <c r="G28" i="5"/>
  <c r="Z23" i="9" s="1"/>
  <c r="Q13" i="5"/>
  <c r="AJ8" i="9" s="1"/>
  <c r="P13" i="5"/>
  <c r="H13" i="5"/>
  <c r="AA8" i="9" s="1"/>
  <c r="U13" i="5"/>
  <c r="AN8" i="9" s="1"/>
  <c r="J13" i="5"/>
  <c r="AC8" i="9" s="1"/>
  <c r="V13" i="5"/>
  <c r="H24" i="5"/>
  <c r="AA19" i="9" s="1"/>
  <c r="U24" i="5"/>
  <c r="AN19" i="9" s="1"/>
  <c r="Q24" i="5"/>
  <c r="AJ19" i="9" s="1"/>
  <c r="G24" i="5"/>
  <c r="J24" i="5"/>
  <c r="AC19" i="9" s="1"/>
  <c r="V24" i="5"/>
  <c r="AO19" i="9" s="1"/>
  <c r="P24" i="5"/>
  <c r="Q29" i="5"/>
  <c r="P29" i="5"/>
  <c r="AI24" i="9" s="1"/>
  <c r="H29" i="5"/>
  <c r="AA24" i="9" s="1"/>
  <c r="U29" i="5"/>
  <c r="AN24" i="9" s="1"/>
  <c r="J29" i="5"/>
  <c r="V29" i="5"/>
  <c r="P26" i="5"/>
  <c r="AI21" i="9" s="1"/>
  <c r="J26" i="5"/>
  <c r="AC21" i="9" s="1"/>
  <c r="V26" i="5"/>
  <c r="AO21" i="9" s="1"/>
  <c r="Q26" i="5"/>
  <c r="AJ21" i="9" s="1"/>
  <c r="G26" i="5"/>
  <c r="Z21" i="9" s="1"/>
  <c r="H26" i="5"/>
  <c r="AA21" i="9" s="1"/>
  <c r="U26" i="5"/>
  <c r="P18" i="5"/>
  <c r="AI13" i="9" s="1"/>
  <c r="J18" i="5"/>
  <c r="AC13" i="9" s="1"/>
  <c r="V18" i="5"/>
  <c r="AO13" i="9" s="1"/>
  <c r="G18" i="5"/>
  <c r="Q18" i="5"/>
  <c r="AJ13" i="9" s="1"/>
  <c r="H18" i="5"/>
  <c r="AA13" i="9" s="1"/>
  <c r="U18" i="5"/>
  <c r="AN13" i="9" s="1"/>
  <c r="J15" i="5"/>
  <c r="AC10" i="9" s="1"/>
  <c r="V15" i="5"/>
  <c r="AO10" i="9" s="1"/>
  <c r="H15" i="5"/>
  <c r="U15" i="5"/>
  <c r="AN10" i="9" s="1"/>
  <c r="P15" i="5"/>
  <c r="AI10" i="9" s="1"/>
  <c r="Q15" i="5"/>
  <c r="AJ10" i="9" s="1"/>
  <c r="J27" i="5"/>
  <c r="AC22" i="9" s="1"/>
  <c r="V27" i="5"/>
  <c r="AO22" i="9" s="1"/>
  <c r="H27" i="5"/>
  <c r="AA22" i="9" s="1"/>
  <c r="U27" i="5"/>
  <c r="AN22" i="9" s="1"/>
  <c r="P27" i="5"/>
  <c r="AI22" i="9" s="1"/>
  <c r="Q27" i="5"/>
  <c r="AJ22" i="9" s="1"/>
  <c r="Q17" i="5"/>
  <c r="P17" i="5"/>
  <c r="H17" i="5"/>
  <c r="AA12" i="9" s="1"/>
  <c r="U17" i="5"/>
  <c r="AN12" i="9" s="1"/>
  <c r="V17" i="5"/>
  <c r="AO12" i="9" s="1"/>
  <c r="J17" i="5"/>
  <c r="AC12" i="9" s="1"/>
  <c r="J19" i="5"/>
  <c r="AC14" i="9" s="1"/>
  <c r="V19" i="5"/>
  <c r="AO14" i="9" s="1"/>
  <c r="G19" i="5"/>
  <c r="Z14" i="9" s="1"/>
  <c r="H19" i="5"/>
  <c r="U19" i="5"/>
  <c r="AN14" i="9" s="1"/>
  <c r="P19" i="5"/>
  <c r="AI14" i="9" s="1"/>
  <c r="Q19" i="5"/>
  <c r="AJ14" i="9" s="1"/>
  <c r="Q25" i="5"/>
  <c r="AJ20" i="9" s="1"/>
  <c r="G25" i="5"/>
  <c r="Z20" i="9" s="1"/>
  <c r="P25" i="5"/>
  <c r="AI20" i="9" s="1"/>
  <c r="H25" i="5"/>
  <c r="AA20" i="9" s="1"/>
  <c r="U25" i="5"/>
  <c r="AN20" i="9" s="1"/>
  <c r="J25" i="5"/>
  <c r="AC20" i="9" s="1"/>
  <c r="V25" i="5"/>
  <c r="AO20" i="9" s="1"/>
  <c r="H16" i="5"/>
  <c r="U16" i="5"/>
  <c r="Q16" i="5"/>
  <c r="AJ11" i="9" s="1"/>
  <c r="J16" i="5"/>
  <c r="AC11" i="9" s="1"/>
  <c r="V16" i="5"/>
  <c r="P16" i="5"/>
  <c r="AI11" i="9" s="1"/>
  <c r="Q21" i="5"/>
  <c r="AJ16" i="9" s="1"/>
  <c r="P21" i="5"/>
  <c r="AI16" i="9" s="1"/>
  <c r="H21" i="5"/>
  <c r="AA16" i="9" s="1"/>
  <c r="U21" i="5"/>
  <c r="AN16" i="9" s="1"/>
  <c r="J21" i="5"/>
  <c r="AC16" i="9" s="1"/>
  <c r="V21" i="5"/>
  <c r="AO16" i="9" s="1"/>
  <c r="P14" i="5"/>
  <c r="AI9" i="9" s="1"/>
  <c r="J14" i="5"/>
  <c r="AC9" i="9" s="1"/>
  <c r="V14" i="5"/>
  <c r="AO9" i="9" s="1"/>
  <c r="Q14" i="5"/>
  <c r="AJ9" i="9" s="1"/>
  <c r="U14" i="5"/>
  <c r="H14" i="5"/>
  <c r="AA9" i="9" s="1"/>
  <c r="E27" i="5"/>
  <c r="E28" i="5"/>
  <c r="O23" i="9" s="1"/>
  <c r="P23" i="9" s="1"/>
  <c r="T28" i="5"/>
  <c r="AM23" i="9" s="1"/>
  <c r="E26" i="5"/>
  <c r="O21" i="9" s="1"/>
  <c r="P21" i="9" s="1"/>
  <c r="M25" i="5"/>
  <c r="AF20" i="9" s="1"/>
  <c r="E25" i="5"/>
  <c r="O20" i="9" s="1"/>
  <c r="P20" i="9" s="1"/>
  <c r="E20" i="5"/>
  <c r="O15" i="9" s="1"/>
  <c r="P15" i="9" s="1"/>
  <c r="E29" i="5"/>
  <c r="O24" i="9" s="1"/>
  <c r="P24" i="9" s="1"/>
  <c r="E13" i="5"/>
  <c r="O8" i="9" s="1"/>
  <c r="P8" i="9" s="1"/>
  <c r="M22" i="5"/>
  <c r="AF17" i="9" s="1"/>
  <c r="E22" i="5"/>
  <c r="O17" i="9" s="1"/>
  <c r="P17" i="9" s="1"/>
  <c r="E16" i="5"/>
  <c r="O11" i="9" s="1"/>
  <c r="P11" i="9" s="1"/>
  <c r="E18" i="5"/>
  <c r="O13" i="9" s="1"/>
  <c r="P13" i="9" s="1"/>
  <c r="E23" i="5"/>
  <c r="E17" i="5"/>
  <c r="E21" i="5"/>
  <c r="O16" i="9" s="1"/>
  <c r="P16" i="9" s="1"/>
  <c r="E14" i="5"/>
  <c r="O9" i="9" s="1"/>
  <c r="P9" i="9" s="1"/>
  <c r="E15" i="5"/>
  <c r="O10" i="9" s="1"/>
  <c r="P10" i="9" s="1"/>
  <c r="K24" i="5"/>
  <c r="AD19" i="9" s="1"/>
  <c r="E24" i="5"/>
  <c r="O19" i="9" s="1"/>
  <c r="P19" i="9" s="1"/>
  <c r="E19" i="5"/>
  <c r="S28" i="5"/>
  <c r="AL23" i="9" s="1"/>
  <c r="AN15" i="9"/>
  <c r="AA15" i="9"/>
  <c r="F20" i="5"/>
  <c r="T20" i="5"/>
  <c r="AM15" i="9" s="1"/>
  <c r="L20" i="5"/>
  <c r="AE15" i="9" s="1"/>
  <c r="S20" i="5"/>
  <c r="AL15" i="9" s="1"/>
  <c r="O20" i="5"/>
  <c r="AH15" i="9" s="1"/>
  <c r="K20" i="5"/>
  <c r="AD15" i="9" s="1"/>
  <c r="K29" i="5"/>
  <c r="AD24" i="9" s="1"/>
  <c r="Z24" i="9"/>
  <c r="S29" i="5"/>
  <c r="AL24" i="9" s="1"/>
  <c r="O29" i="5"/>
  <c r="AH24" i="9" s="1"/>
  <c r="AO24" i="9"/>
  <c r="F29" i="5"/>
  <c r="Y24" i="9" s="1"/>
  <c r="I29" i="5"/>
  <c r="AB24" i="9" s="1"/>
  <c r="AC24" i="9"/>
  <c r="M29" i="5"/>
  <c r="AF24" i="9" s="1"/>
  <c r="N29" i="5"/>
  <c r="AG24" i="9" s="1"/>
  <c r="L29" i="5"/>
  <c r="AE24" i="9" s="1"/>
  <c r="AJ24" i="9"/>
  <c r="AI8" i="9"/>
  <c r="F13" i="5"/>
  <c r="N13" i="5"/>
  <c r="AG8" i="9" s="1"/>
  <c r="L13" i="5"/>
  <c r="AE8" i="9" s="1"/>
  <c r="O13" i="5"/>
  <c r="AH8" i="9" s="1"/>
  <c r="M13" i="5"/>
  <c r="AF8" i="9" s="1"/>
  <c r="G13" i="5"/>
  <c r="Z8" i="9" s="1"/>
  <c r="T13" i="5"/>
  <c r="AM8" i="9" s="1"/>
  <c r="R13" i="5"/>
  <c r="AK8" i="9" s="1"/>
  <c r="I13" i="5"/>
  <c r="AB8" i="9" s="1"/>
  <c r="S13" i="5"/>
  <c r="AL8" i="9" s="1"/>
  <c r="K13" i="5"/>
  <c r="AD8" i="9" s="1"/>
  <c r="AO8" i="9"/>
  <c r="E12" i="5"/>
  <c r="O7" i="9" s="1"/>
  <c r="P12" i="5"/>
  <c r="AI7" i="9" s="1"/>
  <c r="S12" i="5"/>
  <c r="AL7" i="9" s="1"/>
  <c r="K12" i="5"/>
  <c r="AD7" i="9" s="1"/>
  <c r="M12" i="5"/>
  <c r="AF7" i="9" s="1"/>
  <c r="O12" i="5"/>
  <c r="AH7" i="9" s="1"/>
  <c r="R12" i="5"/>
  <c r="AK7" i="9" s="1"/>
  <c r="U12" i="5"/>
  <c r="AN7" i="9" s="1"/>
  <c r="I12" i="5"/>
  <c r="AB7" i="9" s="1"/>
  <c r="F12" i="5"/>
  <c r="H12" i="5"/>
  <c r="AA7" i="9" s="1"/>
  <c r="L12" i="5"/>
  <c r="AE7" i="9" s="1"/>
  <c r="N12" i="5"/>
  <c r="AG7" i="9" s="1"/>
  <c r="Q12" i="5"/>
  <c r="AJ7" i="9" s="1"/>
  <c r="T12" i="5"/>
  <c r="AM7" i="9" s="1"/>
  <c r="V12" i="5"/>
  <c r="AO7" i="9" s="1"/>
  <c r="J12" i="5"/>
  <c r="AC7" i="9" s="1"/>
  <c r="G12" i="5"/>
  <c r="AO15" i="9"/>
  <c r="M20" i="5"/>
  <c r="AF15" i="9" s="1"/>
  <c r="AC17" i="9"/>
  <c r="N22" i="5"/>
  <c r="AG17" i="9" s="1"/>
  <c r="I22" i="5"/>
  <c r="AB17" i="9" s="1"/>
  <c r="K22" i="5"/>
  <c r="AD17" i="9" s="1"/>
  <c r="L24" i="5"/>
  <c r="AE19" i="9" s="1"/>
  <c r="N24" i="5"/>
  <c r="AG19" i="9" s="1"/>
  <c r="Z19" i="9"/>
  <c r="L25" i="5"/>
  <c r="AE20" i="9" s="1"/>
  <c r="T25" i="5"/>
  <c r="AM20" i="9" s="1"/>
  <c r="N25" i="5"/>
  <c r="AG20" i="9" s="1"/>
  <c r="K25" i="5"/>
  <c r="AD20" i="9" s="1"/>
  <c r="O25" i="5"/>
  <c r="AH20" i="9" s="1"/>
  <c r="R28" i="5"/>
  <c r="AK23" i="9" s="1"/>
  <c r="M28" i="5"/>
  <c r="AF23" i="9" s="1"/>
  <c r="N28" i="5"/>
  <c r="AG23" i="9" s="1"/>
  <c r="I28" i="5"/>
  <c r="AB23" i="9" s="1"/>
  <c r="AA11" i="9"/>
  <c r="R16" i="5"/>
  <c r="AK11" i="9" s="1"/>
  <c r="S16" i="5"/>
  <c r="AL11" i="9" s="1"/>
  <c r="T16" i="5"/>
  <c r="AM11" i="9" s="1"/>
  <c r="AO11" i="9"/>
  <c r="N16" i="5"/>
  <c r="AG11" i="9" s="1"/>
  <c r="AN11" i="9"/>
  <c r="O16" i="5"/>
  <c r="AH11" i="9" s="1"/>
  <c r="K16" i="5"/>
  <c r="AD11" i="9" s="1"/>
  <c r="F16" i="5"/>
  <c r="I16" i="5"/>
  <c r="AB11" i="9" s="1"/>
  <c r="M16" i="5"/>
  <c r="AF11" i="9" s="1"/>
  <c r="L16" i="5"/>
  <c r="AE11" i="9" s="1"/>
  <c r="G16" i="5"/>
  <c r="O18" i="5"/>
  <c r="AH13" i="9" s="1"/>
  <c r="N18" i="5"/>
  <c r="AG13" i="9" s="1"/>
  <c r="L18" i="5"/>
  <c r="AE13" i="9" s="1"/>
  <c r="Z13" i="9"/>
  <c r="I18" i="5"/>
  <c r="AB13" i="9" s="1"/>
  <c r="R18" i="5"/>
  <c r="AK13" i="9" s="1"/>
  <c r="T18" i="5"/>
  <c r="AM13" i="9" s="1"/>
  <c r="F18" i="5"/>
  <c r="M18" i="5"/>
  <c r="AF13" i="9" s="1"/>
  <c r="K18" i="5"/>
  <c r="AD13" i="9" s="1"/>
  <c r="S18" i="5"/>
  <c r="AL13" i="9" s="1"/>
  <c r="F22" i="5"/>
  <c r="T22" i="5"/>
  <c r="AM17" i="9" s="1"/>
  <c r="L22" i="5"/>
  <c r="AE17" i="9" s="1"/>
  <c r="F24" i="5"/>
  <c r="Y19" i="9" s="1"/>
  <c r="R24" i="5"/>
  <c r="AK19" i="9" s="1"/>
  <c r="M24" i="5"/>
  <c r="AF19" i="9" s="1"/>
  <c r="F25" i="5"/>
  <c r="Y20" i="9" s="1"/>
  <c r="F28" i="5"/>
  <c r="Y23" i="9" s="1"/>
  <c r="R21" i="5"/>
  <c r="AK16" i="9" s="1"/>
  <c r="N21" i="5"/>
  <c r="AG16" i="9" s="1"/>
  <c r="Z16" i="9"/>
  <c r="T21" i="5"/>
  <c r="AM16" i="9" s="1"/>
  <c r="I21" i="5"/>
  <c r="AB16" i="9" s="1"/>
  <c r="O21" i="5"/>
  <c r="AH16" i="9" s="1"/>
  <c r="F21" i="5"/>
  <c r="K21" i="5"/>
  <c r="AD16" i="9" s="1"/>
  <c r="L21" i="5"/>
  <c r="AE16" i="9" s="1"/>
  <c r="M21" i="5"/>
  <c r="AF16" i="9" s="1"/>
  <c r="S21" i="5"/>
  <c r="AL16" i="9" s="1"/>
  <c r="F14" i="5"/>
  <c r="R14" i="5"/>
  <c r="AK9" i="9" s="1"/>
  <c r="N14" i="5"/>
  <c r="AG9" i="9" s="1"/>
  <c r="K14" i="5"/>
  <c r="AD9" i="9" s="1"/>
  <c r="G14" i="5"/>
  <c r="Z9" i="9" s="1"/>
  <c r="O14" i="5"/>
  <c r="AH9" i="9" s="1"/>
  <c r="L14" i="5"/>
  <c r="AE9" i="9" s="1"/>
  <c r="S14" i="5"/>
  <c r="AL9" i="9" s="1"/>
  <c r="M14" i="5"/>
  <c r="AF9" i="9" s="1"/>
  <c r="AN9" i="9"/>
  <c r="I14" i="5"/>
  <c r="AB9" i="9" s="1"/>
  <c r="T14" i="5"/>
  <c r="AM9" i="9" s="1"/>
  <c r="N20" i="5"/>
  <c r="AG15" i="9" s="1"/>
  <c r="R20" i="5"/>
  <c r="AK15" i="9" s="1"/>
  <c r="I20" i="5"/>
  <c r="AB15" i="9" s="1"/>
  <c r="R22" i="5"/>
  <c r="AK17" i="9" s="1"/>
  <c r="S22" i="5"/>
  <c r="AL17" i="9" s="1"/>
  <c r="O22" i="5"/>
  <c r="AH17" i="9" s="1"/>
  <c r="I24" i="5"/>
  <c r="AB19" i="9" s="1"/>
  <c r="T24" i="5"/>
  <c r="AM19" i="9" s="1"/>
  <c r="S24" i="5"/>
  <c r="AL19" i="9" s="1"/>
  <c r="O24" i="5"/>
  <c r="AH19" i="9" s="1"/>
  <c r="I25" i="5"/>
  <c r="AB20" i="9" s="1"/>
  <c r="S25" i="5"/>
  <c r="AL20" i="9" s="1"/>
  <c r="R25" i="5"/>
  <c r="AK20" i="9" s="1"/>
  <c r="L28" i="5"/>
  <c r="AE23" i="9" s="1"/>
  <c r="AO23" i="9"/>
  <c r="K28" i="5"/>
  <c r="AD23" i="9" s="1"/>
  <c r="O28" i="5"/>
  <c r="AH23" i="9" s="1"/>
  <c r="T29" i="5"/>
  <c r="AM24" i="9" s="1"/>
  <c r="R29" i="5"/>
  <c r="AK24" i="9" s="1"/>
  <c r="AI12" i="9"/>
  <c r="O12" i="9"/>
  <c r="P12" i="9" s="1"/>
  <c r="R17" i="5"/>
  <c r="AK12" i="9" s="1"/>
  <c r="AJ12" i="9"/>
  <c r="S17" i="5"/>
  <c r="AL12" i="9" s="1"/>
  <c r="F26" i="5"/>
  <c r="Y21" i="9" s="1"/>
  <c r="T17" i="5"/>
  <c r="AM12" i="9" s="1"/>
  <c r="K17" i="5"/>
  <c r="AD12" i="9" s="1"/>
  <c r="T26" i="5"/>
  <c r="AM21" i="9" s="1"/>
  <c r="S26" i="5"/>
  <c r="AL21" i="9" s="1"/>
  <c r="AN21" i="9"/>
  <c r="L26" i="5"/>
  <c r="AE21" i="9" s="1"/>
  <c r="R26" i="5"/>
  <c r="AK21" i="9" s="1"/>
  <c r="K26" i="5"/>
  <c r="AD21" i="9" s="1"/>
  <c r="M17" i="5"/>
  <c r="AF12" i="9" s="1"/>
  <c r="O17" i="5"/>
  <c r="AH12" i="9" s="1"/>
  <c r="F17" i="5"/>
  <c r="Z12" i="9"/>
  <c r="L17" i="5"/>
  <c r="AE12" i="9" s="1"/>
  <c r="I26" i="5"/>
  <c r="AB21" i="9" s="1"/>
  <c r="M26" i="5"/>
  <c r="AF21" i="9" s="1"/>
  <c r="N26" i="5"/>
  <c r="AG21" i="9" s="1"/>
  <c r="O26" i="5"/>
  <c r="AH21" i="9" s="1"/>
  <c r="I17" i="5"/>
  <c r="AB12" i="9" s="1"/>
  <c r="N17" i="5"/>
  <c r="AG12" i="9" s="1"/>
  <c r="AP22" i="9" l="1"/>
  <c r="AA14" i="9"/>
  <c r="AP14" i="9" s="1"/>
  <c r="W19" i="5"/>
  <c r="U10" i="9"/>
  <c r="V10" i="9"/>
  <c r="R10" i="9"/>
  <c r="T10" i="9"/>
  <c r="AA10" i="9"/>
  <c r="AP10" i="9" s="1"/>
  <c r="W15" i="5"/>
  <c r="AA18" i="9"/>
  <c r="AP18" i="9" s="1"/>
  <c r="W23" i="5"/>
  <c r="R16" i="9"/>
  <c r="Q16" i="9" s="1"/>
  <c r="S16" i="9" s="1"/>
  <c r="T16" i="9"/>
  <c r="U16" i="9"/>
  <c r="V16" i="9"/>
  <c r="AP23" i="9"/>
  <c r="V19" i="9"/>
  <c r="T19" i="9"/>
  <c r="U19" i="9"/>
  <c r="R19" i="9"/>
  <c r="Q19" i="9" s="1"/>
  <c r="S19" i="9" s="1"/>
  <c r="R17" i="9"/>
  <c r="Q17" i="9" s="1"/>
  <c r="S17" i="9" s="1"/>
  <c r="T17" i="9"/>
  <c r="U17" i="9"/>
  <c r="V17" i="9"/>
  <c r="T13" i="9"/>
  <c r="U13" i="9"/>
  <c r="R13" i="9"/>
  <c r="Q13" i="9" s="1"/>
  <c r="S13" i="9" s="1"/>
  <c r="V13" i="9"/>
  <c r="W17" i="5"/>
  <c r="Y12" i="9"/>
  <c r="AP12" i="9" s="1"/>
  <c r="Y16" i="9"/>
  <c r="AP16" i="9" s="1"/>
  <c r="W21" i="5"/>
  <c r="R23" i="9"/>
  <c r="Q23" i="9" s="1"/>
  <c r="S23" i="9" s="1"/>
  <c r="T23" i="9"/>
  <c r="U23" i="9"/>
  <c r="V23" i="9"/>
  <c r="G39" i="10"/>
  <c r="G46" i="10" s="1"/>
  <c r="AI19" i="9"/>
  <c r="AP19" i="9" s="1"/>
  <c r="Y13" i="9"/>
  <c r="AP13" i="9" s="1"/>
  <c r="W18" i="5"/>
  <c r="O18" i="9"/>
  <c r="P18" i="9" s="1"/>
  <c r="Z11" i="9"/>
  <c r="R11" i="9"/>
  <c r="Q11" i="9" s="1"/>
  <c r="S11" i="9" s="1"/>
  <c r="V11" i="9"/>
  <c r="U11" i="9"/>
  <c r="T11" i="9"/>
  <c r="P7" i="9"/>
  <c r="P4" i="9" s="1"/>
  <c r="W13" i="5"/>
  <c r="Y8" i="9"/>
  <c r="AP8" i="9" s="1"/>
  <c r="V21" i="9"/>
  <c r="R21" i="9"/>
  <c r="Q21" i="9" s="1"/>
  <c r="S21" i="9" s="1"/>
  <c r="U21" i="9"/>
  <c r="T21" i="9"/>
  <c r="AP21" i="9"/>
  <c r="W14" i="5"/>
  <c r="Y9" i="9"/>
  <c r="AP9" i="9" s="1"/>
  <c r="U20" i="9"/>
  <c r="T20" i="9"/>
  <c r="V20" i="9"/>
  <c r="R20" i="9"/>
  <c r="Q20" i="9" s="1"/>
  <c r="S20" i="9" s="1"/>
  <c r="W16" i="5"/>
  <c r="Y11" i="9"/>
  <c r="R8" i="9"/>
  <c r="Q8" i="9" s="1"/>
  <c r="S8" i="9" s="1"/>
  <c r="T8" i="9"/>
  <c r="U8" i="9"/>
  <c r="V8" i="9"/>
  <c r="AP24" i="9"/>
  <c r="R15" i="9"/>
  <c r="Q15" i="9" s="1"/>
  <c r="S15" i="9" s="1"/>
  <c r="U15" i="9"/>
  <c r="T15" i="9"/>
  <c r="V15" i="9"/>
  <c r="U12" i="9"/>
  <c r="V12" i="9"/>
  <c r="R12" i="9"/>
  <c r="Q12" i="9" s="1"/>
  <c r="S12" i="9" s="1"/>
  <c r="T12" i="9"/>
  <c r="R9" i="9"/>
  <c r="Q9" i="9" s="1"/>
  <c r="S9" i="9" s="1"/>
  <c r="V9" i="9"/>
  <c r="U9" i="9"/>
  <c r="T9" i="9"/>
  <c r="AP20" i="9"/>
  <c r="Y17" i="9"/>
  <c r="AP17" i="9" s="1"/>
  <c r="W22" i="5"/>
  <c r="Y15" i="9"/>
  <c r="W20" i="5"/>
  <c r="O14" i="9"/>
  <c r="P14" i="9" s="1"/>
  <c r="Z7" i="9"/>
  <c r="Y7" i="9"/>
  <c r="W12" i="5"/>
  <c r="AI4" i="9"/>
  <c r="R24" i="9"/>
  <c r="Q24" i="9" s="1"/>
  <c r="S24" i="9" s="1"/>
  <c r="U24" i="9"/>
  <c r="V24" i="9"/>
  <c r="T24" i="9"/>
  <c r="O22" i="9"/>
  <c r="P22" i="9" s="1"/>
  <c r="Z15" i="9"/>
  <c r="O4" i="9" l="1"/>
  <c r="AP7" i="9"/>
  <c r="Q10" i="9"/>
  <c r="S10" i="9" s="1"/>
  <c r="W10" i="9" s="1"/>
  <c r="AQ10" i="9" s="1"/>
  <c r="W19" i="9"/>
  <c r="AQ19" i="9" s="1"/>
  <c r="AP15" i="9"/>
  <c r="W20" i="9"/>
  <c r="AQ20" i="9" s="1"/>
  <c r="AP11" i="9"/>
  <c r="W24" i="9"/>
  <c r="AQ24" i="9" s="1"/>
  <c r="W21" i="9"/>
  <c r="AQ21" i="9" s="1"/>
  <c r="W13" i="9"/>
  <c r="AQ13" i="9" s="1"/>
  <c r="X7" i="9"/>
  <c r="W17" i="9"/>
  <c r="AQ17" i="9" s="1"/>
  <c r="W9" i="9"/>
  <c r="AQ9" i="9" s="1"/>
  <c r="W8" i="9"/>
  <c r="AQ8" i="9" s="1"/>
  <c r="T18" i="9"/>
  <c r="V18" i="9"/>
  <c r="R18" i="9"/>
  <c r="Q18" i="9" s="1"/>
  <c r="S18" i="9" s="1"/>
  <c r="U18" i="9"/>
  <c r="R22" i="9"/>
  <c r="Q22" i="9" s="1"/>
  <c r="S22" i="9" s="1"/>
  <c r="U22" i="9"/>
  <c r="V22" i="9"/>
  <c r="T22" i="9"/>
  <c r="V7" i="9"/>
  <c r="R7" i="9"/>
  <c r="T7" i="9"/>
  <c r="T4" i="9" s="1"/>
  <c r="U7" i="9"/>
  <c r="W23" i="9"/>
  <c r="AQ23" i="9" s="1"/>
  <c r="V14" i="9"/>
  <c r="U14" i="9"/>
  <c r="R14" i="9"/>
  <c r="Q14" i="9" s="1"/>
  <c r="S14" i="9" s="1"/>
  <c r="T14" i="9"/>
  <c r="W12" i="9"/>
  <c r="AQ12" i="9" s="1"/>
  <c r="W15" i="9"/>
  <c r="W11" i="9"/>
  <c r="W16" i="9"/>
  <c r="AQ16" i="9" s="1"/>
  <c r="V4" i="9" l="1"/>
  <c r="Q7" i="9"/>
  <c r="S7" i="9" s="1"/>
  <c r="S4" i="9" s="1"/>
  <c r="G24" i="10" s="1"/>
  <c r="R4" i="9"/>
  <c r="U4" i="9"/>
  <c r="G25" i="10" s="1"/>
  <c r="AP4" i="9"/>
  <c r="AS7" i="9"/>
  <c r="AU7" i="9" s="1"/>
  <c r="Q4" i="9"/>
  <c r="AS5" i="9" s="1"/>
  <c r="G26" i="10"/>
  <c r="AQ15" i="9"/>
  <c r="AQ11" i="9"/>
  <c r="W22" i="9"/>
  <c r="AQ22" i="9" s="1"/>
  <c r="W18" i="9"/>
  <c r="AQ18" i="9" s="1"/>
  <c r="W14" i="9"/>
  <c r="AQ14" i="9" s="1"/>
  <c r="W7" i="9"/>
  <c r="W4" i="9" l="1"/>
  <c r="AQ4" i="9" s="1"/>
  <c r="AP28" i="9" s="1"/>
  <c r="AP27" i="9" s="1"/>
  <c r="AP29" i="9" s="1"/>
  <c r="AV25" i="9" s="1"/>
  <c r="R24" i="4" s="1"/>
  <c r="AW7" i="9"/>
  <c r="G23" i="10"/>
  <c r="G27" i="10" s="1"/>
  <c r="G47" i="10" s="1"/>
  <c r="C64" i="10" s="1"/>
  <c r="C63" i="10" s="1"/>
  <c r="C65" i="10" s="1"/>
  <c r="AQ7" i="9"/>
  <c r="BA7" i="9" l="1"/>
  <c r="AT7" i="9"/>
  <c r="AV7" i="9"/>
  <c r="AV15" i="9"/>
  <c r="AV12" i="9"/>
  <c r="AV24" i="9"/>
  <c r="R23" i="4" s="1"/>
  <c r="AV22" i="9"/>
  <c r="AV8" i="9"/>
  <c r="AV10" i="9"/>
  <c r="AV13" i="9"/>
  <c r="AV21" i="9"/>
  <c r="AV18" i="9"/>
  <c r="AV14" i="9"/>
  <c r="AV17" i="9"/>
  <c r="AV19" i="9"/>
  <c r="AV23" i="9"/>
  <c r="AV20" i="9"/>
  <c r="AV16" i="9"/>
  <c r="AV9" i="9"/>
  <c r="AV11" i="9"/>
  <c r="R22" i="4" l="1"/>
  <c r="R18" i="4"/>
  <c r="R20" i="4"/>
  <c r="R21" i="4"/>
  <c r="R19" i="4"/>
  <c r="G58" i="10"/>
  <c r="S14" i="4" s="1"/>
  <c r="R14" i="4"/>
  <c r="R6" i="4"/>
  <c r="G50" i="10"/>
  <c r="S6" i="4" s="1"/>
  <c r="R10" i="4"/>
  <c r="G54" i="10"/>
  <c r="S10" i="4" s="1"/>
  <c r="G61" i="10"/>
  <c r="S17" i="4" s="1"/>
  <c r="R17" i="4"/>
  <c r="G60" i="10"/>
  <c r="S16" i="4" s="1"/>
  <c r="R16" i="4"/>
  <c r="R12" i="4"/>
  <c r="G56" i="10"/>
  <c r="S12" i="4" s="1"/>
  <c r="G51" i="10"/>
  <c r="S7" i="4" s="1"/>
  <c r="R7" i="4"/>
  <c r="G52" i="10"/>
  <c r="S8" i="4" s="1"/>
  <c r="R8" i="4"/>
  <c r="G59" i="10"/>
  <c r="S15" i="4" s="1"/>
  <c r="R15" i="4"/>
  <c r="G57" i="10"/>
  <c r="S13" i="4" s="1"/>
  <c r="R13" i="4"/>
  <c r="R9" i="4"/>
  <c r="G53" i="10"/>
  <c r="S9" i="4" s="1"/>
  <c r="G55" i="10"/>
  <c r="S11" i="4" s="1"/>
  <c r="R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tc={0C9ECCC5-3310-412D-8782-C1D3124F4B3E}</author>
  </authors>
  <commentList>
    <comment ref="E8" authorId="0" shapeId="0" xr:uid="{0C9ECCC5-3310-412D-8782-C1D3124F4B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Notar que regime tributário é o Simples Nacional, portanto a função não impacta no cálculo de impostos.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1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<sst xmlns="http://schemas.openxmlformats.org/spreadsheetml/2006/main" count="153" uniqueCount="127">
  <si>
    <t>Estimativa de Custo 100%</t>
  </si>
  <si>
    <t>REGIME TRIBUTÁRIO: LUCRO REAL/PRESUMIDO</t>
  </si>
  <si>
    <t>USO: REVENDA</t>
  </si>
  <si>
    <t>CONSIDERAR ICMS 2,6%</t>
  </si>
  <si>
    <t>PORTO SAÍDA: SHANGHAI</t>
  </si>
  <si>
    <t>PORTO ENTRADA:ITAPOA</t>
  </si>
  <si>
    <t>SIMULAÇÃO 100%</t>
  </si>
  <si>
    <t xml:space="preserve">REFERÊNCIA CÁLCULO BASE </t>
  </si>
  <si>
    <t>R$/USD:</t>
  </si>
  <si>
    <t>VALORES ADUANEIROS</t>
  </si>
  <si>
    <t>ITEM</t>
  </si>
  <si>
    <t>QTY</t>
  </si>
  <si>
    <t>BRL UNIT PRICE</t>
  </si>
  <si>
    <t>DISCRIMINAÇÃO</t>
  </si>
  <si>
    <t>QUANTIDADE</t>
  </si>
  <si>
    <t>PREÇO TOTAL USD</t>
  </si>
  <si>
    <t>R$</t>
  </si>
  <si>
    <t>TOTAL FOB</t>
  </si>
  <si>
    <t>PRODUTO + FRETE</t>
  </si>
  <si>
    <t>Seguro</t>
  </si>
  <si>
    <t>Frete</t>
  </si>
  <si>
    <t>TOTAL VALOR ADUANEIRO</t>
  </si>
  <si>
    <t>IMPOSTOS</t>
  </si>
  <si>
    <t>PERCENTUAL</t>
  </si>
  <si>
    <t>VALOR (R$)</t>
  </si>
  <si>
    <t xml:space="preserve">IMPOSTO. IMPORTAÇÃO  </t>
  </si>
  <si>
    <t xml:space="preserve">IPI </t>
  </si>
  <si>
    <t>PIS</t>
  </si>
  <si>
    <t>COFINS</t>
  </si>
  <si>
    <t>ICMS</t>
  </si>
  <si>
    <t>TOTAL VALOR IMPOSTOS</t>
  </si>
  <si>
    <t>TAXAS PORTUÁRIAS</t>
  </si>
  <si>
    <t>TOTAL VALOR DESEMBARAÇO ADUANEIRO</t>
  </si>
  <si>
    <t>TOTAL   (PARTE 1 + PARTE 2 + PARTE 3) ........................................................:</t>
  </si>
  <si>
    <t>TOTAL</t>
  </si>
  <si>
    <t>PREÇO FOB</t>
  </si>
  <si>
    <t>DESPESAS</t>
  </si>
  <si>
    <t>% DESPESAS/FOB</t>
  </si>
  <si>
    <t>LISTA DE COMPRA</t>
  </si>
  <si>
    <t>Item</t>
  </si>
  <si>
    <t>Produto</t>
  </si>
  <si>
    <t>NCM</t>
  </si>
  <si>
    <t>II</t>
  </si>
  <si>
    <t>IPI</t>
  </si>
  <si>
    <t xml:space="preserve">Quantidade </t>
  </si>
  <si>
    <t>Preço Unitário</t>
  </si>
  <si>
    <t>Preço Unitário Sub 50%</t>
  </si>
  <si>
    <t>Preço total por produto</t>
  </si>
  <si>
    <t>Preço total por produto Sub</t>
  </si>
  <si>
    <t>% Rateio Quantidade</t>
  </si>
  <si>
    <t>% Rateio Preço</t>
  </si>
  <si>
    <t>Preço nacionalizado</t>
  </si>
  <si>
    <t>Preço R$ Rolo nancionalizado</t>
  </si>
  <si>
    <t>DETALHES DO PRODUTO</t>
  </si>
  <si>
    <t>VALOR ADUANEIRO</t>
  </si>
  <si>
    <t>Nº</t>
  </si>
  <si>
    <t>Código</t>
  </si>
  <si>
    <t>Bitola (mm)</t>
  </si>
  <si>
    <t>Embal.</t>
  </si>
  <si>
    <t>QTD</t>
  </si>
  <si>
    <t>Preço unitário Fábrica (USD)</t>
  </si>
  <si>
    <t>Preço x QTD (Valor em USD)</t>
  </si>
  <si>
    <t>Preço x QTD (valor em BRL)</t>
  </si>
  <si>
    <t>Preço x QTD (valor em BRL) SUB</t>
  </si>
  <si>
    <t>THC (valor em BRL)</t>
  </si>
  <si>
    <t>Valor do frete (Valor em BRL)</t>
  </si>
  <si>
    <t>IMPOSTO DE IMPORTAÇÃO</t>
  </si>
  <si>
    <t>TOTAL IMPOSTOS</t>
  </si>
  <si>
    <t>TOTAL IMPOSTOS (SUB)</t>
  </si>
  <si>
    <t>TAXA SISCOMEX</t>
  </si>
  <si>
    <t>T.H.C|  CAPATAZIA</t>
  </si>
  <si>
    <t>LICENÇA DE IMPORTAÇÃO</t>
  </si>
  <si>
    <t>ISPS</t>
  </si>
  <si>
    <t>DAMAGE PROTECTION</t>
  </si>
  <si>
    <t>DESCONSOLIDAÇÃO</t>
  </si>
  <si>
    <t>SERVIÇO DE ENTREGA DE CONTAINER</t>
  </si>
  <si>
    <t>Delivery order</t>
  </si>
  <si>
    <t>AFRMM</t>
  </si>
  <si>
    <t xml:space="preserve">ARMAZENAGEM </t>
  </si>
  <si>
    <t>Import logistic fee</t>
  </si>
  <si>
    <t>Drop off</t>
  </si>
  <si>
    <t>TAXA</t>
  </si>
  <si>
    <t>FRETE RODOVIÁRIO</t>
  </si>
  <si>
    <t>DESEMBARAÇO ADUANEIRO</t>
  </si>
  <si>
    <t>TOTAL TAXAS DESEMBARAÇO</t>
  </si>
  <si>
    <t>TOTAL (sub)</t>
  </si>
  <si>
    <t xml:space="preserve">MÉTODO ANTIGO </t>
  </si>
  <si>
    <t>MÉTODO ANTIGO (sub)</t>
  </si>
  <si>
    <t xml:space="preserve">MÉTODO DANI </t>
  </si>
  <si>
    <t>MÉTODO DANI (sub)</t>
  </si>
  <si>
    <t xml:space="preserve">MÉTODO JULIANA </t>
  </si>
  <si>
    <t>MÉTODO JULIANA (sub)</t>
  </si>
  <si>
    <t>VALOR UNITÁRIO C/ COMISSÃO SEAWISE</t>
  </si>
  <si>
    <t>AAA</t>
  </si>
  <si>
    <t>8%%</t>
  </si>
  <si>
    <t xml:space="preserve">                                                                                         </t>
  </si>
  <si>
    <t>fob</t>
  </si>
  <si>
    <t>despesas</t>
  </si>
  <si>
    <t>total</t>
  </si>
  <si>
    <t>despesas/fob</t>
  </si>
  <si>
    <t>CÂMBIO</t>
  </si>
  <si>
    <t>FRETE</t>
  </si>
  <si>
    <t>Quantidade</t>
  </si>
  <si>
    <t>SEGURO</t>
  </si>
  <si>
    <t>PRODUTO: COOLER</t>
  </si>
  <si>
    <t>TOTAL VALOR COM I.I</t>
  </si>
  <si>
    <t>DIFERENÇA DO VALOR DO FRETE</t>
  </si>
  <si>
    <t>ANUENCIA DE LI</t>
  </si>
  <si>
    <t>FRETE: 4x40HC</t>
  </si>
  <si>
    <t>SPARE PARTS</t>
  </si>
  <si>
    <t>BAC 51 LR (127V)</t>
  </si>
  <si>
    <t>BAC 51 RL (127V)</t>
  </si>
  <si>
    <t>BAC 209A (220V)</t>
  </si>
  <si>
    <t>BAC 209 (127V)</t>
  </si>
  <si>
    <t>BAC 218SA (220V)</t>
  </si>
  <si>
    <t>BAC 218BA (220V)</t>
  </si>
  <si>
    <t>BAC 28 (127V)</t>
  </si>
  <si>
    <t>BAC 28A (220V)</t>
  </si>
  <si>
    <t>BAC 120A (220V)</t>
  </si>
  <si>
    <t>BAC 120 (127V)</t>
  </si>
  <si>
    <t>BAC111 (220V)</t>
  </si>
  <si>
    <t>BEC 100GD (127V)</t>
  </si>
  <si>
    <t>BEC 100GDA (220V)</t>
  </si>
  <si>
    <t>BEC 100SD (127V)</t>
  </si>
  <si>
    <t>UCH50BA (220V)</t>
  </si>
  <si>
    <t>UCH150SA (220V)</t>
  </si>
  <si>
    <t>BEC 100SDA (220V)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</si>
</sst>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[$R$-416]\ #,##0.00;\-[$R$-416]\ #,##0.00"/>
    <numFmt numFmtId="166" formatCode="_-[$USD]\ * #,##0.00_-;\-[$USD]\ * #,##0.00_-;_-[$USD]\ * &quot;-&quot;??_-;_-@_-"/>
    <numFmt numFmtId="167" formatCode="[$R$-416]\ #,##0.00"/>
    <numFmt numFmtId="168" formatCode="0.0%"/>
    <numFmt numFmtId="169" formatCode="_-[$R$-416]\ * #,##0.00_-;\-[$R$-416]\ * #,##0.00_-;_-[$R$-416]\ * &quot;-&quot;??_-;_-@_-"/>
    <numFmt numFmtId="170" formatCode="_-[$R$-416]\ * #,##0.0000_-;\-[$R$-416]\ * #,##0.0000_-;_-[$R$-416]\ * &quot;-&quot;????_-;_-@_-"/>
    <numFmt numFmtId="171" formatCode="_-[$$-409]* #,##0.00_ ;_-[$$-409]* \-#,##0.00\ ;_-[$$-409]* &quot;-&quot;??_ ;_-@_ "/>
    <numFmt numFmtId="172" formatCode="&quot;R$&quot;\ #,##0.00"/>
    <numFmt numFmtId="173" formatCode="[$USD]\ #,##0.00"/>
    <numFmt numFmtId="174" formatCode="_-[$R$-416]\ * #,##0_-;\-[$R$-416]\ * #,##0_-;_-[$R$-416]\ * &quot;-&quot;??_-;_-@_-"/>
    <numFmt numFmtId="175" formatCode="_-[$R$-416]\ * #,##0.0000_-;\-[$R$-416]\ * #,##0.0000_-;_-[$R$-416]\ * &quot;-&quot;??_-;_-@_-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4"/>
      <name val="Calibri"/>
      <family val="2"/>
      <scheme val="minor"/>
    </font>
    <font>
      <sz val="11"/>
      <color rgb="FF2A2E34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6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2"/>
      <name val="Calibri"/>
      <family val="2"/>
      <scheme val="minor"/>
    </font>
    <font>
      <b/>
      <sz val="10"/>
      <name val="Times New Roman"/>
      <family val="1"/>
    </font>
    <font>
      <b/>
      <sz val="14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3" fillId="0" borderId="0"/>
    <xf numFmtId="43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</cellStyleXfs>
  <cellXfs count="21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0" fontId="0" fillId="0" borderId="0" xfId="0" applyNumberFormat="1"/>
    <xf numFmtId="0" fontId="1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9" fontId="0" fillId="0" borderId="0" xfId="2" applyFont="1"/>
    <xf numFmtId="169" fontId="0" fillId="6" borderId="0" xfId="0" applyNumberFormat="1" applyFill="1" applyAlignment="1">
      <alignment horizontal="center" vertical="center"/>
    </xf>
    <xf numFmtId="169" fontId="0" fillId="0" borderId="0" xfId="0" applyNumberFormat="1"/>
    <xf numFmtId="171" fontId="0" fillId="0" borderId="0" xfId="0" applyNumberForma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8" fillId="7" borderId="0" xfId="0" applyFont="1" applyFill="1" applyAlignment="1">
      <alignment vertical="center"/>
    </xf>
    <xf numFmtId="169" fontId="0" fillId="0" borderId="0" xfId="0" applyNumberFormat="1" applyAlignment="1">
      <alignment vertical="center"/>
    </xf>
    <xf numFmtId="0" fontId="8" fillId="7" borderId="5" xfId="0" applyFont="1" applyFill="1" applyBorder="1" applyAlignment="1">
      <alignment horizontal="left" vertical="center"/>
    </xf>
    <xf numFmtId="0" fontId="9" fillId="7" borderId="12" xfId="0" applyFont="1" applyFill="1" applyBorder="1" applyAlignment="1">
      <alignment vertical="center"/>
    </xf>
    <xf numFmtId="0" fontId="9" fillId="7" borderId="12" xfId="0" applyFont="1" applyFill="1" applyBorder="1" applyAlignment="1">
      <alignment horizontal="center" vertical="center"/>
    </xf>
    <xf numFmtId="9" fontId="0" fillId="0" borderId="0" xfId="2" applyFont="1" applyAlignment="1">
      <alignment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right" vertical="center"/>
    </xf>
    <xf numFmtId="172" fontId="11" fillId="8" borderId="0" xfId="0" applyNumberFormat="1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2" fillId="8" borderId="5" xfId="0" applyFont="1" applyFill="1" applyBorder="1" applyAlignment="1">
      <alignment vertical="center"/>
    </xf>
    <xf numFmtId="0" fontId="3" fillId="10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9" fontId="0" fillId="0" borderId="1" xfId="0" applyNumberFormat="1" applyBorder="1"/>
    <xf numFmtId="169" fontId="0" fillId="0" borderId="1" xfId="0" applyNumberFormat="1" applyBorder="1" applyAlignment="1">
      <alignment vertical="center"/>
    </xf>
    <xf numFmtId="0" fontId="5" fillId="11" borderId="4" xfId="0" applyFont="1" applyFill="1" applyBorder="1"/>
    <xf numFmtId="1" fontId="5" fillId="11" borderId="0" xfId="4" applyNumberFormat="1" applyFont="1" applyFill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165" fontId="7" fillId="0" borderId="13" xfId="0" applyNumberFormat="1" applyFont="1" applyBorder="1" applyAlignment="1">
      <alignment vertical="center"/>
    </xf>
    <xf numFmtId="165" fontId="7" fillId="0" borderId="14" xfId="0" applyNumberFormat="1" applyFont="1" applyBorder="1" applyAlignment="1">
      <alignment vertical="center"/>
    </xf>
    <xf numFmtId="0" fontId="7" fillId="11" borderId="4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1" borderId="5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left" vertical="center"/>
    </xf>
    <xf numFmtId="43" fontId="0" fillId="0" borderId="0" xfId="0" applyNumberFormat="1" applyAlignment="1">
      <alignment vertical="center"/>
    </xf>
    <xf numFmtId="0" fontId="5" fillId="0" borderId="4" xfId="0" applyFont="1" applyBorder="1"/>
    <xf numFmtId="0" fontId="5" fillId="0" borderId="0" xfId="0" applyFont="1"/>
    <xf numFmtId="0" fontId="0" fillId="0" borderId="0" xfId="0" applyAlignment="1">
      <alignment horizontal="left" vertical="center"/>
    </xf>
    <xf numFmtId="9" fontId="5" fillId="0" borderId="0" xfId="2" applyFont="1"/>
    <xf numFmtId="172" fontId="7" fillId="0" borderId="14" xfId="0" applyNumberFormat="1" applyFont="1" applyBorder="1" applyAlignment="1">
      <alignment vertical="center"/>
    </xf>
    <xf numFmtId="0" fontId="8" fillId="12" borderId="6" xfId="0" applyFont="1" applyFill="1" applyBorder="1" applyAlignment="1">
      <alignment horizontal="left" vertical="center"/>
    </xf>
    <xf numFmtId="0" fontId="11" fillId="12" borderId="12" xfId="0" applyFont="1" applyFill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165" fontId="7" fillId="0" borderId="9" xfId="0" applyNumberFormat="1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167" fontId="7" fillId="0" borderId="0" xfId="0" applyNumberFormat="1" applyFont="1" applyAlignment="1">
      <alignment vertical="center"/>
    </xf>
    <xf numFmtId="0" fontId="5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9" fontId="7" fillId="0" borderId="12" xfId="2" applyFont="1" applyBorder="1" applyAlignment="1">
      <alignment vertical="center"/>
    </xf>
    <xf numFmtId="0" fontId="5" fillId="0" borderId="7" xfId="0" applyFont="1" applyBorder="1" applyAlignment="1">
      <alignment vertical="center"/>
    </xf>
    <xf numFmtId="166" fontId="5" fillId="0" borderId="0" xfId="0" applyNumberFormat="1" applyFont="1" applyAlignment="1">
      <alignment vertical="center"/>
    </xf>
    <xf numFmtId="169" fontId="5" fillId="0" borderId="0" xfId="1" applyNumberFormat="1" applyFont="1" applyAlignment="1">
      <alignment vertical="center"/>
    </xf>
    <xf numFmtId="0" fontId="8" fillId="7" borderId="0" xfId="0" applyFont="1" applyFill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9" fontId="0" fillId="0" borderId="0" xfId="2" applyFont="1" applyBorder="1" applyAlignment="1">
      <alignment vertical="center"/>
    </xf>
    <xf numFmtId="0" fontId="9" fillId="7" borderId="7" xfId="0" applyFont="1" applyFill="1" applyBorder="1" applyAlignment="1">
      <alignment horizontal="center" vertical="center"/>
    </xf>
    <xf numFmtId="0" fontId="10" fillId="11" borderId="4" xfId="0" applyFont="1" applyFill="1" applyBorder="1"/>
    <xf numFmtId="1" fontId="10" fillId="11" borderId="0" xfId="4" applyNumberFormat="1" applyFont="1" applyFill="1" applyAlignment="1">
      <alignment horizontal="center" vertical="center"/>
    </xf>
    <xf numFmtId="165" fontId="0" fillId="0" borderId="0" xfId="0" applyNumberForma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" fillId="0" borderId="17" xfId="0" applyFont="1" applyBorder="1"/>
    <xf numFmtId="0" fontId="1" fillId="13" borderId="17" xfId="0" applyFont="1" applyFill="1" applyBorder="1" applyAlignment="1">
      <alignment horizontal="centerContinuous"/>
    </xf>
    <xf numFmtId="0" fontId="1" fillId="14" borderId="17" xfId="0" applyFont="1" applyFill="1" applyBorder="1" applyAlignment="1">
      <alignment horizontal="centerContinuous"/>
    </xf>
    <xf numFmtId="0" fontId="1" fillId="14" borderId="17" xfId="0" applyFont="1" applyFill="1" applyBorder="1" applyAlignment="1">
      <alignment horizontal="centerContinuous" wrapText="1"/>
    </xf>
    <xf numFmtId="0" fontId="1" fillId="7" borderId="17" xfId="0" applyFont="1" applyFill="1" applyBorder="1" applyAlignment="1">
      <alignment horizontal="centerContinuous" wrapText="1"/>
    </xf>
    <xf numFmtId="0" fontId="1" fillId="7" borderId="17" xfId="0" applyFont="1" applyFill="1" applyBorder="1" applyAlignment="1">
      <alignment horizontal="centerContinuous"/>
    </xf>
    <xf numFmtId="0" fontId="1" fillId="15" borderId="17" xfId="0" applyFont="1" applyFill="1" applyBorder="1" applyAlignment="1">
      <alignment horizontal="centerContinuous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49" fontId="17" fillId="13" borderId="1" xfId="0" applyNumberFormat="1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/>
    </xf>
    <xf numFmtId="49" fontId="10" fillId="13" borderId="1" xfId="0" applyNumberFormat="1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169" fontId="7" fillId="14" borderId="1" xfId="0" applyNumberFormat="1" applyFont="1" applyFill="1" applyBorder="1" applyAlignment="1">
      <alignment horizontal="center" vertical="center" wrapText="1"/>
    </xf>
    <xf numFmtId="169" fontId="20" fillId="14" borderId="1" xfId="0" applyNumberFormat="1" applyFont="1" applyFill="1" applyBorder="1" applyAlignment="1">
      <alignment horizontal="center" vertical="center" wrapText="1"/>
    </xf>
    <xf numFmtId="169" fontId="20" fillId="17" borderId="1" xfId="0" applyNumberFormat="1" applyFont="1" applyFill="1" applyBorder="1" applyAlignment="1">
      <alignment horizontal="center" vertical="center" wrapText="1"/>
    </xf>
    <xf numFmtId="4" fontId="20" fillId="17" borderId="1" xfId="0" applyNumberFormat="1" applyFont="1" applyFill="1" applyBorder="1" applyAlignment="1">
      <alignment horizontal="center" vertical="center"/>
    </xf>
    <xf numFmtId="169" fontId="7" fillId="15" borderId="1" xfId="0" applyNumberFormat="1" applyFont="1" applyFill="1" applyBorder="1" applyAlignment="1">
      <alignment horizontal="center" vertical="center"/>
    </xf>
    <xf numFmtId="169" fontId="7" fillId="15" borderId="0" xfId="0" applyNumberFormat="1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49" fontId="10" fillId="13" borderId="0" xfId="0" applyNumberFormat="1" applyFont="1" applyFill="1" applyAlignment="1">
      <alignment horizontal="center" vertical="center"/>
    </xf>
    <xf numFmtId="0" fontId="19" fillId="13" borderId="0" xfId="0" applyFont="1" applyFill="1" applyAlignment="1">
      <alignment horizontal="center" vertical="center" wrapText="1"/>
    </xf>
    <xf numFmtId="169" fontId="7" fillId="14" borderId="0" xfId="0" applyNumberFormat="1" applyFont="1" applyFill="1" applyAlignment="1">
      <alignment horizontal="center" vertical="center" wrapText="1"/>
    </xf>
    <xf numFmtId="169" fontId="20" fillId="14" borderId="0" xfId="0" applyNumberFormat="1" applyFont="1" applyFill="1" applyAlignment="1">
      <alignment horizontal="center" vertical="center" wrapText="1"/>
    </xf>
    <xf numFmtId="169" fontId="20" fillId="17" borderId="0" xfId="0" applyNumberFormat="1" applyFont="1" applyFill="1" applyAlignment="1">
      <alignment horizontal="center" vertical="center" wrapText="1"/>
    </xf>
    <xf numFmtId="10" fontId="1" fillId="15" borderId="0" xfId="0" applyNumberFormat="1" applyFont="1" applyFill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3" fontId="0" fillId="0" borderId="0" xfId="0" applyNumberFormat="1"/>
    <xf numFmtId="9" fontId="0" fillId="0" borderId="0" xfId="0" applyNumberFormat="1"/>
    <xf numFmtId="9" fontId="0" fillId="0" borderId="0" xfId="5" applyFont="1"/>
    <xf numFmtId="0" fontId="4" fillId="2" borderId="1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166" fontId="4" fillId="2" borderId="18" xfId="0" applyNumberFormat="1" applyFont="1" applyFill="1" applyBorder="1" applyAlignment="1">
      <alignment horizontal="center" vertical="center" wrapText="1"/>
    </xf>
    <xf numFmtId="169" fontId="4" fillId="2" borderId="18" xfId="0" applyNumberFormat="1" applyFont="1" applyFill="1" applyBorder="1" applyAlignment="1">
      <alignment horizontal="center" vertical="center" wrapText="1"/>
    </xf>
    <xf numFmtId="9" fontId="4" fillId="2" borderId="18" xfId="2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168" fontId="0" fillId="0" borderId="18" xfId="2" applyNumberFormat="1" applyFont="1" applyBorder="1" applyAlignment="1">
      <alignment horizontal="center" vertical="center"/>
    </xf>
    <xf numFmtId="168" fontId="0" fillId="0" borderId="18" xfId="2" applyNumberFormat="1" applyFont="1" applyFill="1" applyBorder="1" applyAlignment="1">
      <alignment horizontal="center" vertical="center"/>
    </xf>
    <xf numFmtId="10" fontId="0" fillId="0" borderId="18" xfId="2" applyNumberFormat="1" applyFont="1" applyFill="1" applyBorder="1" applyAlignment="1">
      <alignment horizontal="center" vertical="center"/>
    </xf>
    <xf numFmtId="166" fontId="0" fillId="0" borderId="18" xfId="0" applyNumberFormat="1" applyBorder="1" applyAlignment="1">
      <alignment horizontal="center" vertical="center"/>
    </xf>
    <xf numFmtId="169" fontId="0" fillId="0" borderId="18" xfId="0" applyNumberFormat="1" applyBorder="1" applyAlignment="1">
      <alignment horizontal="center" vertical="center"/>
    </xf>
    <xf numFmtId="0" fontId="21" fillId="0" borderId="0" xfId="0" applyFont="1"/>
    <xf numFmtId="165" fontId="0" fillId="0" borderId="0" xfId="0" applyNumberFormat="1"/>
    <xf numFmtId="167" fontId="0" fillId="0" borderId="0" xfId="0" applyNumberFormat="1"/>
    <xf numFmtId="167" fontId="0" fillId="0" borderId="0" xfId="0" applyNumberFormat="1" applyAlignment="1">
      <alignment vertical="center"/>
    </xf>
    <xf numFmtId="169" fontId="1" fillId="0" borderId="0" xfId="0" applyNumberFormat="1" applyFont="1"/>
    <xf numFmtId="169" fontId="20" fillId="17" borderId="0" xfId="0" applyNumberFormat="1" applyFont="1" applyFill="1" applyAlignment="1">
      <alignment horizontal="center" vertical="center"/>
    </xf>
    <xf numFmtId="173" fontId="10" fillId="11" borderId="0" xfId="3" applyNumberFormat="1" applyFont="1" applyFill="1" applyAlignment="1">
      <alignment horizontal="center" vertical="center"/>
    </xf>
    <xf numFmtId="173" fontId="10" fillId="0" borderId="0" xfId="3" applyNumberFormat="1" applyFont="1" applyAlignment="1">
      <alignment horizontal="center" vertical="center"/>
    </xf>
    <xf numFmtId="165" fontId="10" fillId="0" borderId="5" xfId="4" applyNumberFormat="1" applyFont="1" applyBorder="1" applyAlignment="1">
      <alignment horizontal="center"/>
    </xf>
    <xf numFmtId="173" fontId="5" fillId="11" borderId="0" xfId="3" applyNumberFormat="1" applyFont="1" applyFill="1" applyAlignment="1">
      <alignment horizontal="center" vertical="center"/>
    </xf>
    <xf numFmtId="165" fontId="5" fillId="11" borderId="5" xfId="4" applyNumberFormat="1" applyFont="1" applyFill="1" applyBorder="1" applyAlignment="1">
      <alignment horizontal="center"/>
    </xf>
    <xf numFmtId="173" fontId="5" fillId="0" borderId="0" xfId="3" applyNumberFormat="1" applyFont="1" applyAlignment="1">
      <alignment horizontal="center" vertical="center"/>
    </xf>
    <xf numFmtId="165" fontId="5" fillId="0" borderId="5" xfId="4" applyNumberFormat="1" applyFont="1" applyBorder="1" applyAlignment="1">
      <alignment horizontal="center"/>
    </xf>
    <xf numFmtId="173" fontId="5" fillId="0" borderId="12" xfId="3" applyNumberFormat="1" applyFont="1" applyBorder="1" applyAlignment="1">
      <alignment horizontal="center" vertical="center"/>
    </xf>
    <xf numFmtId="165" fontId="5" fillId="0" borderId="7" xfId="4" applyNumberFormat="1" applyFont="1" applyBorder="1" applyAlignment="1">
      <alignment horizontal="center"/>
    </xf>
    <xf numFmtId="165" fontId="7" fillId="0" borderId="15" xfId="0" applyNumberFormat="1" applyFont="1" applyBorder="1" applyAlignment="1">
      <alignment horizontal="center" vertical="center"/>
    </xf>
    <xf numFmtId="167" fontId="5" fillId="11" borderId="5" xfId="0" applyNumberFormat="1" applyFont="1" applyFill="1" applyBorder="1" applyAlignment="1">
      <alignment horizontal="center" vertical="center"/>
    </xf>
    <xf numFmtId="172" fontId="7" fillId="0" borderId="15" xfId="0" applyNumberFormat="1" applyFont="1" applyBorder="1" applyAlignment="1">
      <alignment horizontal="center" vertical="center"/>
    </xf>
    <xf numFmtId="172" fontId="5" fillId="0" borderId="5" xfId="0" applyNumberFormat="1" applyFont="1" applyBorder="1" applyAlignment="1">
      <alignment horizontal="center"/>
    </xf>
    <xf numFmtId="172" fontId="11" fillId="8" borderId="16" xfId="0" applyNumberFormat="1" applyFont="1" applyFill="1" applyBorder="1" applyAlignment="1">
      <alignment horizontal="center"/>
    </xf>
    <xf numFmtId="10" fontId="13" fillId="11" borderId="0" xfId="0" applyNumberFormat="1" applyFont="1" applyFill="1" applyAlignment="1">
      <alignment horizontal="center" vertical="center"/>
    </xf>
    <xf numFmtId="0" fontId="11" fillId="8" borderId="6" xfId="0" applyFont="1" applyFill="1" applyBorder="1" applyAlignment="1">
      <alignment horizontal="left" vertical="center"/>
    </xf>
    <xf numFmtId="0" fontId="11" fillId="8" borderId="12" xfId="0" applyFont="1" applyFill="1" applyBorder="1" applyAlignment="1">
      <alignment horizontal="left" vertical="center"/>
    </xf>
    <xf numFmtId="0" fontId="10" fillId="14" borderId="4" xfId="0" applyFont="1" applyFill="1" applyBorder="1"/>
    <xf numFmtId="1" fontId="10" fillId="14" borderId="0" xfId="4" applyNumberFormat="1" applyFont="1" applyFill="1" applyAlignment="1">
      <alignment horizontal="center" vertical="center"/>
    </xf>
    <xf numFmtId="173" fontId="10" fillId="14" borderId="0" xfId="3" applyNumberFormat="1" applyFont="1" applyFill="1" applyAlignment="1">
      <alignment horizontal="center" vertical="center"/>
    </xf>
    <xf numFmtId="165" fontId="10" fillId="14" borderId="5" xfId="4" applyNumberFormat="1" applyFont="1" applyFill="1" applyBorder="1" applyAlignment="1">
      <alignment horizontal="center"/>
    </xf>
    <xf numFmtId="172" fontId="11" fillId="8" borderId="11" xfId="0" applyNumberFormat="1" applyFont="1" applyFill="1" applyBorder="1" applyAlignment="1">
      <alignment horizontal="center"/>
    </xf>
    <xf numFmtId="0" fontId="11" fillId="8" borderId="7" xfId="0" applyFont="1" applyFill="1" applyBorder="1" applyAlignment="1">
      <alignment horizontal="center" vertical="center"/>
    </xf>
    <xf numFmtId="167" fontId="8" fillId="12" borderId="11" xfId="0" applyNumberFormat="1" applyFont="1" applyFill="1" applyBorder="1" applyAlignment="1">
      <alignment horizontal="center"/>
    </xf>
    <xf numFmtId="14" fontId="8" fillId="7" borderId="5" xfId="0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" fillId="13" borderId="17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0" fontId="7" fillId="1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7" xfId="0" applyFont="1" applyBorder="1" applyAlignment="1">
      <alignment horizontal="center" vertical="center"/>
    </xf>
    <xf numFmtId="8" fontId="7" fillId="15" borderId="1" xfId="0" applyNumberFormat="1" applyFont="1" applyFill="1" applyBorder="1" applyAlignment="1">
      <alignment horizontal="center" vertical="center"/>
    </xf>
    <xf numFmtId="49" fontId="8" fillId="13" borderId="1" xfId="0" applyNumberFormat="1" applyFont="1" applyFill="1" applyBorder="1" applyAlignment="1">
      <alignment vertical="center"/>
    </xf>
    <xf numFmtId="0" fontId="1" fillId="13" borderId="17" xfId="0" applyFont="1" applyFill="1" applyBorder="1"/>
    <xf numFmtId="49" fontId="8" fillId="13" borderId="0" xfId="0" applyNumberFormat="1" applyFont="1" applyFill="1" applyAlignment="1">
      <alignment vertical="center"/>
    </xf>
    <xf numFmtId="49" fontId="17" fillId="13" borderId="1" xfId="0" applyNumberFormat="1" applyFont="1" applyFill="1" applyBorder="1" applyAlignment="1">
      <alignment vertical="center" wrapText="1"/>
    </xf>
    <xf numFmtId="0" fontId="16" fillId="0" borderId="0" xfId="0" applyFont="1" applyAlignment="1">
      <alignment vertical="center"/>
    </xf>
    <xf numFmtId="169" fontId="24" fillId="15" borderId="0" xfId="0" applyNumberFormat="1" applyFont="1" applyFill="1" applyAlignment="1">
      <alignment horizontal="center" vertical="center" wrapText="1"/>
    </xf>
    <xf numFmtId="174" fontId="0" fillId="0" borderId="0" xfId="0" applyNumberFormat="1"/>
    <xf numFmtId="0" fontId="25" fillId="0" borderId="0" xfId="0" applyFont="1"/>
    <xf numFmtId="1" fontId="26" fillId="17" borderId="0" xfId="0" applyNumberFormat="1" applyFont="1" applyFill="1" applyAlignment="1">
      <alignment horizontal="center" vertical="center" wrapText="1"/>
    </xf>
    <xf numFmtId="168" fontId="0" fillId="18" borderId="0" xfId="5" applyNumberFormat="1" applyFont="1" applyFill="1" applyBorder="1" applyAlignment="1">
      <alignment horizontal="center" vertical="center"/>
    </xf>
    <xf numFmtId="10" fontId="0" fillId="18" borderId="0" xfId="5" applyNumberFormat="1" applyFont="1" applyFill="1" applyBorder="1" applyAlignment="1">
      <alignment horizontal="center" vertical="center"/>
    </xf>
    <xf numFmtId="169" fontId="0" fillId="18" borderId="1" xfId="5" applyNumberFormat="1" applyFont="1" applyFill="1" applyBorder="1" applyAlignment="1">
      <alignment horizontal="center" vertical="center"/>
    </xf>
    <xf numFmtId="2" fontId="0" fillId="0" borderId="0" xfId="5" applyNumberFormat="1" applyFont="1"/>
    <xf numFmtId="169" fontId="1" fillId="15" borderId="1" xfId="0" applyNumberFormat="1" applyFont="1" applyFill="1" applyBorder="1" applyAlignment="1">
      <alignment horizontal="center" vertical="center"/>
    </xf>
    <xf numFmtId="175" fontId="0" fillId="0" borderId="0" xfId="0" applyNumberFormat="1"/>
    <xf numFmtId="169" fontId="0" fillId="0" borderId="0" xfId="2" applyNumberFormat="1" applyFont="1" applyBorder="1" applyAlignment="1">
      <alignment vertical="center"/>
    </xf>
    <xf numFmtId="175" fontId="4" fillId="2" borderId="18" xfId="0" applyNumberFormat="1" applyFont="1" applyFill="1" applyBorder="1" applyAlignment="1">
      <alignment horizontal="center" vertical="center" wrapText="1"/>
    </xf>
    <xf numFmtId="175" fontId="7" fillId="14" borderId="0" xfId="0" applyNumberFormat="1" applyFont="1" applyFill="1" applyAlignment="1">
      <alignment horizontal="center" vertical="center" wrapText="1"/>
    </xf>
    <xf numFmtId="169" fontId="0" fillId="6" borderId="0" xfId="2" applyNumberFormat="1" applyFont="1" applyFill="1" applyAlignment="1">
      <alignment horizontal="center" vertical="center"/>
    </xf>
    <xf numFmtId="174" fontId="0" fillId="6" borderId="0" xfId="0" applyNumberFormat="1" applyFill="1" applyAlignment="1">
      <alignment horizontal="center" vertical="center"/>
    </xf>
    <xf numFmtId="0" fontId="27" fillId="19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/>
    </xf>
    <xf numFmtId="173" fontId="0" fillId="0" borderId="0" xfId="0" applyNumberFormat="1" applyAlignment="1">
      <alignment vertical="center"/>
    </xf>
    <xf numFmtId="0" fontId="22" fillId="7" borderId="2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2" fillId="7" borderId="5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left" vertical="center"/>
    </xf>
    <xf numFmtId="0" fontId="11" fillId="8" borderId="12" xfId="0" applyFont="1" applyFill="1" applyBorder="1" applyAlignment="1">
      <alignment horizontal="left" vertical="center"/>
    </xf>
    <xf numFmtId="0" fontId="11" fillId="8" borderId="7" xfId="0" applyFont="1" applyFill="1" applyBorder="1" applyAlignment="1">
      <alignment horizontal="left" vertical="center"/>
    </xf>
    <xf numFmtId="0" fontId="8" fillId="7" borderId="0" xfId="0" applyFont="1" applyFill="1" applyAlignment="1">
      <alignment horizontal="left" vertical="top" wrapText="1"/>
    </xf>
    <xf numFmtId="0" fontId="11" fillId="9" borderId="2" xfId="0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 wrapText="1"/>
    </xf>
    <xf numFmtId="0" fontId="28" fillId="7" borderId="12" xfId="0" applyFont="1" applyFill="1" applyBorder="1" applyAlignment="1">
      <alignment horizontal="center" vertical="center"/>
    </xf>
    <xf numFmtId="0" fontId="8" fillId="11" borderId="0" xfId="3" applyNumberFormat="1" applyFont="1" applyFill="1" applyAlignment="1">
      <alignment horizontal="center" vertical="center"/>
    </xf>
    <xf numFmtId="0" fontId="8" fillId="14" borderId="0" xfId="3" applyNumberFormat="1" applyFont="1" applyFill="1" applyAlignment="1">
      <alignment horizontal="center" vertical="center"/>
    </xf>
    <xf numFmtId="0" fontId="7" fillId="11" borderId="0" xfId="3" applyNumberFormat="1" applyFont="1" applyFill="1" applyAlignment="1">
      <alignment horizontal="center" vertical="center"/>
    </xf>
    <xf numFmtId="164" fontId="7" fillId="0" borderId="0" xfId="3" applyFont="1" applyAlignment="1">
      <alignment horizontal="center" vertical="center"/>
    </xf>
    <xf numFmtId="0" fontId="7" fillId="0" borderId="12" xfId="0" applyFont="1" applyBorder="1" applyAlignment="1">
      <alignment horizontal="center" vertical="center"/>
    </xf>
  </cellXfs>
  <cellStyles count="11">
    <cellStyle name="Moeda" xfId="1" builtinId="4"/>
    <cellStyle name="Moeda 2" xfId="3" xr:uid="{E0E3407B-4119-4CE1-B329-047C370A3B37}"/>
    <cellStyle name="Normal" xfId="0" builtinId="0"/>
    <cellStyle name="Normal 22" xfId="10" xr:uid="{13627948-E498-4FC6-AE31-581DE5C87B0B}"/>
    <cellStyle name="Normal 25" xfId="9" xr:uid="{27DC237B-44F5-4616-93B6-24DD96E8CA1A}"/>
    <cellStyle name="Porcentagem" xfId="5" builtinId="5"/>
    <cellStyle name="Porcentagem 2" xfId="2" xr:uid="{D9D601C8-BEA3-4A0D-8099-62F753563B82}"/>
    <cellStyle name="Vírgula 2" xfId="4" xr:uid="{D8108249-B196-416A-9FAC-57A2D0A0E417}"/>
    <cellStyle name="Vírgula 2 2" xfId="8" xr:uid="{3354E023-32EC-469B-AD9B-A4903CB97961}"/>
    <cellStyle name="Vírgula 3" xfId="6" xr:uid="{052E81B9-B3DA-4F08-9FE0-65CC69688476}"/>
    <cellStyle name="常规 4" xfId="7" xr:uid="{CD6D2986-4106-4947-ADDD-CE52C63DB7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ichStyles" Target="richData/richStyle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1.xml"/><Relationship Id="rId15" Type="http://schemas.microsoft.com/office/2017/06/relationships/rdSupportingPropertyBag" Target="richData/rdsupportingpropertybag.xml"/><Relationship Id="rId10" Type="http://schemas.openxmlformats.org/officeDocument/2006/relationships/sheetMetadata" Target="metadata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SupportingPropertyBagStructure" Target="richData/rdsupportingpropertybag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1000125</xdr:colOff>
      <xdr:row>0</xdr:row>
      <xdr:rowOff>63500</xdr:rowOff>
    </xdr:from>
    <xdr:to>
      <xdr:col>6</xdr:col>
      <xdr:colOff>2381251</xdr:colOff>
      <xdr:row>3</xdr:row>
      <xdr:rowOff>206374</xdr:rowOff>
    </xdr:to>
    <xdr:pic>
      <xdr:nvPicPr>
        <xdr:cNvPr id="2" name="Imagem 1" descr="Avaliações da empresa Seawise: Como é trabalhar nela? | Glassdoo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2725" y="63500"/>
          <a:ext cx="1381126" cy="1038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1492250</xdr:colOff>
      <xdr:row>61</xdr:row>
      <xdr:rowOff>142875</xdr:rowOff>
    </xdr:from>
    <xdr:to>
      <xdr:col>6</xdr:col>
      <xdr:colOff>2190750</xdr:colOff>
      <xdr:row>64</xdr:row>
      <xdr:rowOff>126999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74850" y="14716125"/>
          <a:ext cx="698500" cy="6985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304800</xdr:colOff>
      <xdr:row>8</xdr:row>
      <xdr:rowOff>66675</xdr:rowOff>
    </xdr:to>
    <xdr:sp macro="" textlink="">
      <xdr:nvSpPr>
        <xdr:cNvPr id="11267" name="AutoShape 3" descr="Magnetron Para Microondas 2m 219j">
          <a:extLst>
            <a:ext uri="{FF2B5EF4-FFF2-40B4-BE49-F238E27FC236}">
              <a16:creationId xmlns:a16="http://schemas.microsoft.com/office/drawing/2014/main" id="{00000000-0008-0000-0000-0000032C0000}"/>
            </a:ext>
          </a:extLst>
        </xdr:cNvPr>
        <xdr:cNvSpPr>
          <a:spLocks noChangeAspect="1" noChangeArrowheads="1"/>
        </xdr:cNvSpPr>
      </xdr:nvSpPr>
      <xdr:spPr bwMode="auto">
        <a:xfrm>
          <a:off x="1936432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963706</xdr:colOff>
      <xdr:row>0</xdr:row>
      <xdr:rowOff>0</xdr:rowOff>
    </xdr:from>
    <xdr:to>
      <xdr:col>19</xdr:col>
      <xdr:colOff>278854</xdr:colOff>
      <xdr:row>1</xdr:row>
      <xdr:rowOff>144556</xdr:rowOff>
    </xdr:to>
    <xdr:pic>
      <xdr:nvPicPr>
        <xdr:cNvPr id="9" name="Imagem 8" descr="Avaliações da empresa Seawise: Como é trabalhar nela? | Glassdoor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3735" y="0"/>
          <a:ext cx="637443" cy="480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201705</xdr:colOff>
      <xdr:row>22</xdr:row>
      <xdr:rowOff>302560</xdr:rowOff>
    </xdr:from>
    <xdr:to>
      <xdr:col>19</xdr:col>
      <xdr:colOff>901325</xdr:colOff>
      <xdr:row>26</xdr:row>
      <xdr:rowOff>87221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37558" y="16080442"/>
          <a:ext cx="699620" cy="6609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8a01a03989ce713/IMPORTA&#199;&#194;O/SEAWISE/CLIENTES/HORTAVIVA/Estimativas/2023/F&#225;brica%203/Estimativa%20de%20Custos%20-%20F&#193;BRICA%203%20-%20HORTAVIVA.xlsx" TargetMode="External"/><Relationship Id="rId1" Type="http://schemas.openxmlformats.org/officeDocument/2006/relationships/externalLinkPath" Target="https://seawiseexterior.sharepoint.com/68a01a03989ce713/IMPORTA&#199;&#194;O/SEAWISE/CLIENTES/HORTAVIVA/Estimativas/2023/F&#225;brica%203/Estimativa%20de%20Custos%20-%20F&#193;BRICA%203%20-%20HORTAVIV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8a01a03989ce713/IMPORTA&#199;&#194;O/SEAWISE/CLIENTES/PEVESUL/Estimativa%20de%20Custos%20-%20F&#225;brica%204.xlsx" TargetMode="External"/><Relationship Id="rId1" Type="http://schemas.openxmlformats.org/officeDocument/2006/relationships/externalLinkPath" Target="https://seawiseexterior.sharepoint.com/68a01a03989ce713/IMPORTA&#199;&#194;O/SEAWISE/CLIENTES/PEVESUL/Estimativa%20de%20Custos%20-%20F&#225;brica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1"/>
      <sheetName val="Estimativa (2)"/>
      <sheetName val="Est. Cust. Naci. 100%"/>
      <sheetName val="Rateio Custos Fixos"/>
      <sheetName val="Lista de Compra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26">
          <cell r="B26">
            <v>4.7972000000000001</v>
          </cell>
        </row>
      </sheetData>
      <sheetData sheetId="4" refreshError="1">
        <row r="4">
          <cell r="B4">
            <v>1</v>
          </cell>
          <cell r="J4">
            <v>15</v>
          </cell>
        </row>
        <row r="6">
          <cell r="B6">
            <v>3</v>
          </cell>
          <cell r="J6">
            <v>15</v>
          </cell>
        </row>
        <row r="7">
          <cell r="B7">
            <v>4</v>
          </cell>
          <cell r="J7">
            <v>15</v>
          </cell>
        </row>
        <row r="8">
          <cell r="B8">
            <v>5</v>
          </cell>
          <cell r="J8">
            <v>15</v>
          </cell>
        </row>
        <row r="9">
          <cell r="B9">
            <v>6</v>
          </cell>
          <cell r="J9">
            <v>15</v>
          </cell>
        </row>
      </sheetData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 de Compra"/>
      <sheetName val="Resumo 100%"/>
      <sheetName val="Estimativa 50%"/>
      <sheetName val="Resumo 50%"/>
      <sheetName val="Est. Cust. Naci. 50%"/>
      <sheetName val="Estimativa 100%"/>
      <sheetName val="Est. Cust. Naci."/>
      <sheetName val="Planilha2"/>
      <sheetName val="Rateio Custos Fixos"/>
      <sheetName val="Pedido"/>
      <sheetName val="Formulário"/>
      <sheetName val="Est. Cust. Nacionalização"/>
      <sheetName val="Resumo"/>
      <sheetName val="Planilha1"/>
    </sheetNames>
    <sheetDataSet>
      <sheetData sheetId="0">
        <row r="2">
          <cell r="Q2" t="str">
            <v>% Rateio Preço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F5">
            <v>0.47782963827304553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aroline Barbosa" id="{9814B698-D3DD-40C6-9CF7-C15691FC606F}" userId="640303dfd0d430f8" providerId="Windows Live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4">
  <rv s="0">
    <v>pt-BR</v>
    <v>avylgh</v>
    <v>268435456</v>
    <v>1</v>
    <v>Da plataforma Refinitiv</v>
    <v>0</v>
    <v>1</v>
    <v>USD/BRL</v>
    <v>3</v>
    <v>4</v>
    <v>Finance</v>
    <v>5</v>
    <v>6.3139000000000003</v>
    <v>5.2689000000000004</v>
    <v>5.3560999999999996</v>
    <v>5.3110999999999997</v>
    <v>USD</v>
    <v>5.3127000000000004</v>
    <v>45937.850902777776</v>
    <v>BRL</v>
    <v>US Dollar/Brazilian Real FX Spot Rate</v>
    <v>5.3129999999999997</v>
    <v>5.3525</v>
    <v>USDBRL</v>
    <v>Par de Moedas</v>
    <v>USD/BRL</v>
    <v>3.9800000000000002E-2</v>
    <v>7.4910000000000003E-3</v>
  </rv>
  <rv s="1">
    <v>0</v>
  </rv>
  <rv s="0">
    <v>pt-BR</v>
    <v>av8tf2</v>
    <v>268435456</v>
    <v>1</v>
    <v>Da plataforma Refinitiv</v>
    <v>0</v>
    <v>1</v>
    <v>EUR/BRL</v>
    <v>3</v>
    <v>4</v>
    <v>Finance</v>
    <v>5</v>
    <v>6.7522000000000002</v>
    <v>5.9242999999999997</v>
    <v>6.2465000000000002</v>
    <v>6.1920999999999999</v>
    <v>EUR</v>
    <v>6.2206000000000001</v>
    <v>45937.850902777776</v>
    <v>BRL</v>
    <v>Euro/Brazilian Real FX Cross Rate</v>
    <v>6.2222</v>
    <v>6.2373000000000003</v>
    <v>EURBRL</v>
    <v>Par de Moedas</v>
    <v>EUR/BRL</v>
    <v>1.67E-2</v>
    <v>2.6850000000000003E-3</v>
  </rv>
  <rv s="1">
    <v>2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lto"/>
    <k n="Baixo"/>
    <k n="Da moeda" t="s"/>
    <k n="Fechamento anterior"/>
    <k n="Hora da última transação"/>
    <k n="Moeda" t="s"/>
    <k n="Nome" t="s"/>
    <k n="Pendência"/>
    <k n="Preço"/>
    <k n="Símbolo do ticker" t="s"/>
    <k n="Tipo de instrumento" t="s"/>
    <k n="UniqueName" t="s"/>
    <k n="Variação"/>
    <k n="Variação (%)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8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Preço</v>
      <v t="s">_SubLabel</v>
      <v t="s">Hora da última transação</v>
      <v t="s">Símbolo do ticker</v>
      <v t="s">Variação</v>
      <v t="s">Variação (%)</v>
      <v t="s">Moeda</v>
      <v t="s">Da moeda</v>
      <v t="s">Fechamento anterior</v>
      <v t="s">Pendência</v>
      <v t="s">Alto</v>
      <v t="s">Baixo</v>
      <v t="s">52 semanas de alta</v>
      <v t="s">52 semanas de baixa</v>
      <v t="s">Tipo de instrumento</v>
      <v t="s">_Flags</v>
      <v t="s">UniqueName</v>
      <v t="s">_DisplayString</v>
      <v t="s">%ProviderInfo</v>
    </a>
  </spbArrays>
  <spbData count="6">
    <spb s="0">
      <v>High</v>
      <v>Name</v>
      <v>Low</v>
      <v>Currency</v>
      <v>Price</v>
      <v>From currency</v>
      <v>Change</v>
      <v>Open</v>
      <v>UniqueName</v>
      <v>Change (%)</v>
      <v>%ProviderInfo</v>
      <v>Ticker symbol</v>
      <v>52 week high</v>
      <v>52 week low</v>
      <v>Previous close</v>
      <v>Instrument type</v>
      <v>Last trade time</v>
    </spb>
    <spb s="1">
      <v>0</v>
      <v>Name</v>
    </spb>
    <spb s="2">
      <v>0</v>
      <v>0</v>
      <v>0</v>
    </spb>
    <spb s="3">
      <v>2</v>
      <v>2</v>
    </spb>
    <spb s="4">
      <v>1</v>
      <v>2</v>
      <v>1</v>
      <v>1</v>
      <v>1</v>
      <v>1</v>
      <v>3</v>
      <v>4</v>
      <v>1</v>
      <v>1</v>
      <v>1</v>
      <v>5</v>
    </spb>
    <spb s="5">
      <v>GMT</v>
    </spb>
  </spbData>
</supportingPropertyBags>
</file>

<file path=xl/richData/rdsupportingpropertybagstructure.xml><?xml version="1.0" encoding="utf-8"?>
<spbStructures xmlns="http://schemas.microsoft.com/office/spreadsheetml/2017/richdata2" count="6">
  <s>
    <k n="Alto" t="s"/>
    <k n="Nome" t="s"/>
    <k n="Baixo" t="s"/>
    <k n="Moeda" t="s"/>
    <k n="Preço" t="s"/>
    <k n="Da moeda" t="s"/>
    <k n="Variação" t="s"/>
    <k n="Pendência" t="s"/>
    <k n="UniqueName" t="s"/>
    <k n="Variação (%)" t="s"/>
    <k n="%ProviderInfo" t="s"/>
    <k n="Símbolo do ticker" t="s"/>
    <k n="52 semanas de alta" t="s"/>
    <k n="52 semanas de baixa" t="s"/>
    <k n="Fechamento anterior" t="s"/>
    <k n="Tipo de instrumento" t="s"/>
    <k n="Hora da última transação" t="s"/>
  </s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Alto" t="i"/>
    <k n="Nome" t="i"/>
    <k n="Baixo" t="i"/>
    <k n="Preço" t="i"/>
    <k n="Variação" t="i"/>
    <k n="Pendência" t="i"/>
    <k n="Variação (%)" t="i"/>
    <k n="`%EntityServiceId" t="i"/>
    <k n="52 semanas de alta" t="i"/>
    <k n="52 semanas de baixa" t="i"/>
    <k n="Fechamento anterior" t="i"/>
    <k n="Hora da última transação" t="i"/>
  </s>
  <s>
    <k n="Hora da última transação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0" formatCode="General"/>
    </x:dxf>
    <x:dxf>
      <x:numFmt numFmtId="14" formatCode="0.00%"/>
    </x:dxf>
    <x:dxf>
      <x:numFmt numFmtId="2" formatCode="0.00"/>
    </x:dxf>
    <x:dxf>
      <x:numFmt numFmtId="27" formatCode="dd/mm/yyyy\ hh:mm"/>
    </x:dxf>
  </dxfs>
  <richProperties>
    <rPr n="NumberFormat" t="s"/>
    <rPr n="IsTitleField" t="b"/>
  </richProperties>
  <richStyles>
    <rSty dxfid="0">
      <rpv i="0">_-[$R$-pt-BR] * #,##0.00_-;-[$R$-pt-BR] * #,##0.00_-;_-[$R$-pt-BR] * "-"??_-;_-@_-</rpv>
    </rSty>
    <rSty>
      <rpv i="1">1</rpv>
    </rSty>
    <rSty dxfid="1"/>
    <rSty dxfid="2">
      <rpv i="0">0.00</rpv>
    </rSty>
    <rSty dxfid="3"/>
  </richStyles>
</richStyleShee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" dT="2023-01-11T19:16:55.26" personId="{9814B698-D3DD-40C6-9CF7-C15691FC606F}" id="{0C9ECCC5-3310-412D-8782-C1D3124F4B3E}">
    <text>Notar que regime tributário é o Simples Nacional, portanto a função não impacta no cálculo de impostos.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FCC9-79BD-4E29-9B49-19F72F5CBFA8}">
  <sheetPr>
    <tabColor theme="5" tint="-0.249977111117893"/>
    <pageSetUpPr fitToPage="1"/>
  </sheetPr>
  <dimension ref="A1:R71"/>
  <sheetViews>
    <sheetView showGridLines="0" tabSelected="1" topLeftCell="A23" zoomScale="70" zoomScaleNormal="70" workbookViewId="0">
      <selection activeCell="G25" sqref="G25"/>
    </sheetView>
  </sheetViews>
  <sheetFormatPr defaultColWidth="8.85546875" defaultRowHeight="18.75" x14ac:dyDescent="0.25"/>
  <cols>
    <col min="1" max="1" width="11.7109375" style="1" customWidth="1"/>
    <col min="2" max="2" width="55.140625" style="11" customWidth="1"/>
    <col min="3" max="3" width="31.42578125" style="11" customWidth="1"/>
    <col min="4" max="4" width="30.140625" style="11" bestFit="1" customWidth="1"/>
    <col min="5" max="5" width="27" style="11" customWidth="1"/>
    <col min="6" max="6" width="42.28515625" style="11" customWidth="1"/>
    <col min="7" max="7" width="37.7109375" style="11" customWidth="1"/>
    <col min="8" max="8" width="41" style="1" customWidth="1"/>
    <col min="9" max="9" width="17.85546875" style="1" hidden="1" customWidth="1"/>
    <col min="10" max="10" width="43.28515625" style="1" hidden="1" customWidth="1"/>
    <col min="11" max="11" width="14.85546875" style="1" hidden="1" customWidth="1"/>
    <col min="12" max="12" width="8.85546875" style="1" hidden="1" customWidth="1"/>
    <col min="13" max="13" width="17.85546875" style="1" hidden="1" customWidth="1"/>
    <col min="14" max="14" width="18.140625" style="1" hidden="1" customWidth="1"/>
    <col min="15" max="15" width="24.42578125" style="1" hidden="1" customWidth="1"/>
    <col min="16" max="16" width="14" style="1" bestFit="1" customWidth="1"/>
    <col min="17" max="16384" width="8.85546875" style="1"/>
  </cols>
  <sheetData>
    <row r="1" spans="1:17" ht="20.25" customHeight="1" x14ac:dyDescent="0.25"/>
    <row r="3" spans="1:17" ht="31.5" x14ac:dyDescent="0.25">
      <c r="B3" s="12" t="s">
        <v>0</v>
      </c>
    </row>
    <row r="4" spans="1:17" ht="19.5" thickBot="1" x14ac:dyDescent="0.3">
      <c r="J4" s="1">
        <f>SUM(J6:J24)</f>
        <v>457</v>
      </c>
      <c r="K4" s="1">
        <f>SUM(K6:K24)</f>
        <v>6565</v>
      </c>
      <c r="M4" s="1">
        <f>SUM(M6:M24)</f>
        <v>84046.944000000003</v>
      </c>
    </row>
    <row r="5" spans="1:17" ht="27.75" customHeight="1" x14ac:dyDescent="0.25">
      <c r="B5" s="13"/>
      <c r="C5" s="198"/>
      <c r="D5" s="199"/>
      <c r="E5" s="199"/>
      <c r="F5" s="199"/>
      <c r="G5" s="200"/>
    </row>
    <row r="6" spans="1:17" x14ac:dyDescent="0.25">
      <c r="B6" s="14"/>
      <c r="C6" s="201"/>
      <c r="D6" s="202"/>
      <c r="E6" s="202"/>
      <c r="F6" s="202"/>
      <c r="G6" s="203"/>
      <c r="J6" s="1">
        <v>75</v>
      </c>
      <c r="K6" s="1">
        <v>269</v>
      </c>
    </row>
    <row r="7" spans="1:17" x14ac:dyDescent="0.25">
      <c r="B7" s="14"/>
      <c r="C7" s="201"/>
      <c r="D7" s="202"/>
      <c r="E7" s="202"/>
      <c r="F7" s="202"/>
      <c r="G7" s="203"/>
      <c r="J7" s="16">
        <v>50</v>
      </c>
      <c r="K7" s="1">
        <v>269</v>
      </c>
    </row>
    <row r="8" spans="1:17" x14ac:dyDescent="0.25">
      <c r="B8" s="14"/>
      <c r="C8" s="66" t="s">
        <v>1</v>
      </c>
      <c r="D8" s="15"/>
      <c r="E8" s="15" t="s">
        <v>2</v>
      </c>
      <c r="F8" s="15"/>
      <c r="G8" s="17" t="s">
        <v>3</v>
      </c>
      <c r="J8" s="1">
        <v>20</v>
      </c>
      <c r="K8" s="16">
        <v>456</v>
      </c>
      <c r="Q8"/>
    </row>
    <row r="9" spans="1:17" x14ac:dyDescent="0.25">
      <c r="B9" s="14"/>
      <c r="C9" s="211" t="s">
        <v>104</v>
      </c>
      <c r="D9" s="207"/>
      <c r="E9" s="15" t="s">
        <v>4</v>
      </c>
      <c r="F9" s="15"/>
      <c r="G9" s="159">
        <f ca="1">TODAY()</f>
        <v>45987</v>
      </c>
      <c r="J9" s="1">
        <v>34</v>
      </c>
      <c r="K9" s="16">
        <v>456</v>
      </c>
    </row>
    <row r="10" spans="1:17" ht="15" customHeight="1" x14ac:dyDescent="0.25">
      <c r="B10" s="14"/>
      <c r="C10" s="66" t="s">
        <v>108</v>
      </c>
      <c r="D10" s="66"/>
      <c r="E10" s="15" t="s">
        <v>5</v>
      </c>
      <c r="F10" s="15"/>
      <c r="G10" s="17" t="s">
        <v>6</v>
      </c>
      <c r="J10" s="1">
        <v>15</v>
      </c>
      <c r="K10" s="1">
        <v>823</v>
      </c>
    </row>
    <row r="11" spans="1:17" ht="15" customHeight="1" thickBot="1" x14ac:dyDescent="0.3">
      <c r="B11" s="67"/>
      <c r="C11" s="212"/>
      <c r="D11" s="19"/>
      <c r="E11" s="18"/>
      <c r="F11" s="18"/>
      <c r="G11" s="69"/>
      <c r="J11" s="1">
        <v>12</v>
      </c>
      <c r="K11" s="20">
        <v>818</v>
      </c>
    </row>
    <row r="12" spans="1:17" ht="36.75" customHeight="1" thickBot="1" x14ac:dyDescent="0.3">
      <c r="A12" s="11"/>
      <c r="B12" s="21" t="s">
        <v>7</v>
      </c>
      <c r="C12" s="24" t="s">
        <v>8</v>
      </c>
      <c r="D12" s="23">
        <f>'Rateio Custos Fixos'!B3</f>
        <v>5.3796999999999997</v>
      </c>
      <c r="E12" s="22"/>
      <c r="F12" s="24"/>
      <c r="G12" s="25"/>
      <c r="I12"/>
      <c r="J12">
        <v>40</v>
      </c>
      <c r="K12" s="1">
        <v>234</v>
      </c>
    </row>
    <row r="13" spans="1:17" ht="18.600000000000001" customHeight="1" thickBot="1" x14ac:dyDescent="0.3">
      <c r="B13" s="208" t="s">
        <v>9</v>
      </c>
      <c r="C13" s="209"/>
      <c r="D13" s="209"/>
      <c r="E13" s="209"/>
      <c r="F13" s="209"/>
      <c r="G13" s="210"/>
      <c r="I13" s="26" t="s">
        <v>10</v>
      </c>
      <c r="J13" s="26">
        <v>20</v>
      </c>
      <c r="K13" s="26">
        <v>234</v>
      </c>
      <c r="L13" s="26" t="s">
        <v>11</v>
      </c>
      <c r="M13" s="26"/>
      <c r="N13" s="26"/>
      <c r="O13" s="26" t="s">
        <v>12</v>
      </c>
    </row>
    <row r="14" spans="1:17" x14ac:dyDescent="0.25">
      <c r="B14" s="27" t="s">
        <v>13</v>
      </c>
      <c r="C14" s="28" t="s">
        <v>14</v>
      </c>
      <c r="D14" s="28"/>
      <c r="E14" s="28"/>
      <c r="F14" s="28" t="s">
        <v>15</v>
      </c>
      <c r="G14" s="29" t="s">
        <v>16</v>
      </c>
      <c r="I14" s="30">
        <f>'[1]Lista de Compra'!B4</f>
        <v>1</v>
      </c>
      <c r="J14" s="30">
        <v>20</v>
      </c>
      <c r="K14" s="30">
        <v>332</v>
      </c>
      <c r="L14" s="30">
        <f>'[1]Lista de Compra'!J4</f>
        <v>15</v>
      </c>
      <c r="M14" s="31">
        <f>K14*L14*'[1]Rateio Custos Fixos'!$B$26</f>
        <v>23890.056</v>
      </c>
      <c r="N14" s="32">
        <f t="shared" ref="N14:N20" si="0">M14+(M14*$K$11)</f>
        <v>19565955.864000004</v>
      </c>
      <c r="O14" s="32">
        <f>N14/L14</f>
        <v>1304397.0576000002</v>
      </c>
    </row>
    <row r="15" spans="1:17" x14ac:dyDescent="0.3">
      <c r="B15" s="70"/>
      <c r="C15" s="213">
        <f>'LISTA DE COMPRAS'!J4</f>
        <v>462</v>
      </c>
      <c r="D15" s="71"/>
      <c r="E15" s="135"/>
      <c r="F15" s="136">
        <f>'LISTA DE COMPRAS'!M4</f>
        <v>152021</v>
      </c>
      <c r="G15" s="137">
        <f>'Est. Cust. Naci.'!L4</f>
        <v>817827.3737</v>
      </c>
      <c r="I15" s="30"/>
      <c r="J15" s="30">
        <v>34</v>
      </c>
      <c r="K15" s="30">
        <v>332</v>
      </c>
      <c r="L15" s="30"/>
      <c r="M15" s="31"/>
      <c r="N15" s="32"/>
      <c r="O15" s="32"/>
    </row>
    <row r="16" spans="1:17" x14ac:dyDescent="0.3">
      <c r="B16" s="152" t="s">
        <v>17</v>
      </c>
      <c r="C16" s="214"/>
      <c r="D16" s="153"/>
      <c r="E16" s="154"/>
      <c r="F16" s="154">
        <f>SUM(F15:F15)</f>
        <v>152021</v>
      </c>
      <c r="G16" s="155">
        <f>SUM(G15:G15)</f>
        <v>817827.3737</v>
      </c>
      <c r="I16" s="30"/>
      <c r="J16" s="30">
        <v>14</v>
      </c>
      <c r="K16" s="30">
        <v>730</v>
      </c>
      <c r="L16" s="30"/>
      <c r="M16" s="31"/>
      <c r="N16" s="32"/>
      <c r="O16" s="32"/>
    </row>
    <row r="17" spans="1:18" x14ac:dyDescent="0.3">
      <c r="B17" s="33" t="s">
        <v>18</v>
      </c>
      <c r="C17" s="215"/>
      <c r="D17" s="34"/>
      <c r="E17" s="138"/>
      <c r="F17" s="2"/>
      <c r="G17" s="139">
        <f>G16+G19</f>
        <v>875174.97369999997</v>
      </c>
      <c r="I17" s="30">
        <f>'[1]Lista de Compra'!B6</f>
        <v>3</v>
      </c>
      <c r="J17" s="30">
        <v>45</v>
      </c>
      <c r="K17" s="30">
        <v>240</v>
      </c>
      <c r="L17" s="30">
        <f>'[1]Lista de Compra'!J6</f>
        <v>15</v>
      </c>
      <c r="M17" s="31">
        <f>K17*L17*'[1]Rateio Custos Fixos'!$B$26</f>
        <v>17269.920000000002</v>
      </c>
      <c r="N17" s="32">
        <f t="shared" si="0"/>
        <v>14144064.480000002</v>
      </c>
      <c r="O17" s="32">
        <f>N17/L17</f>
        <v>942937.6320000001</v>
      </c>
    </row>
    <row r="18" spans="1:18" x14ac:dyDescent="0.3">
      <c r="B18" s="35" t="s">
        <v>19</v>
      </c>
      <c r="C18" s="216"/>
      <c r="D18" s="36"/>
      <c r="E18" s="140"/>
      <c r="F18" s="140"/>
      <c r="G18" s="141"/>
      <c r="H18" s="197"/>
      <c r="I18" s="30">
        <f>'[1]Lista de Compra'!B7</f>
        <v>4</v>
      </c>
      <c r="J18" s="30">
        <v>20</v>
      </c>
      <c r="K18" s="30">
        <v>240</v>
      </c>
      <c r="L18" s="30">
        <f>'[1]Lista de Compra'!J7</f>
        <v>15</v>
      </c>
      <c r="M18" s="31">
        <f>K18*L18*'[1]Rateio Custos Fixos'!$B$26</f>
        <v>17269.920000000002</v>
      </c>
      <c r="N18" s="32">
        <f t="shared" si="0"/>
        <v>14144064.480000002</v>
      </c>
      <c r="O18" s="32">
        <f>N18/L18</f>
        <v>942937.6320000001</v>
      </c>
    </row>
    <row r="19" spans="1:18" ht="19.5" thickBot="1" x14ac:dyDescent="0.35">
      <c r="B19" s="37" t="s">
        <v>20</v>
      </c>
      <c r="C19" s="217"/>
      <c r="D19" s="39"/>
      <c r="E19" s="142"/>
      <c r="F19" s="140">
        <f>'Rateio Custos Fixos'!G5</f>
        <v>10659.999628232057</v>
      </c>
      <c r="G19" s="143">
        <f>F19*D12</f>
        <v>57347.599999999991</v>
      </c>
      <c r="H19" s="197"/>
      <c r="I19" s="30">
        <f>'[1]Lista de Compra'!B8</f>
        <v>5</v>
      </c>
      <c r="J19" s="30">
        <v>36</v>
      </c>
      <c r="K19" s="30">
        <v>243</v>
      </c>
      <c r="L19" s="30">
        <f>'[1]Lista de Compra'!J8</f>
        <v>15</v>
      </c>
      <c r="M19" s="31">
        <f>K19*L19*'[1]Rateio Custos Fixos'!$B$26</f>
        <v>17485.794000000002</v>
      </c>
      <c r="N19" s="32">
        <f t="shared" si="0"/>
        <v>14320865.286</v>
      </c>
      <c r="O19" s="32">
        <f>N19/L19</f>
        <v>954724.35239999997</v>
      </c>
    </row>
    <row r="20" spans="1:18" ht="15.75" customHeight="1" thickBot="1" x14ac:dyDescent="0.3">
      <c r="B20" s="40" t="s">
        <v>21</v>
      </c>
      <c r="C20" s="196"/>
      <c r="D20" s="41"/>
      <c r="E20" s="41"/>
      <c r="F20" s="41"/>
      <c r="G20" s="144">
        <f>G17</f>
        <v>875174.97369999997</v>
      </c>
      <c r="I20" s="30">
        <f>'[1]Lista de Compra'!B9</f>
        <v>6</v>
      </c>
      <c r="J20" s="30">
        <v>5</v>
      </c>
      <c r="K20" s="30">
        <v>113</v>
      </c>
      <c r="L20" s="30">
        <f>'[1]Lista de Compra'!J9</f>
        <v>15</v>
      </c>
      <c r="M20" s="31">
        <f>K20*L20*'[1]Rateio Custos Fixos'!$B$26</f>
        <v>8131.2539999999999</v>
      </c>
      <c r="N20" s="32">
        <f t="shared" si="0"/>
        <v>6659497.0259999996</v>
      </c>
      <c r="O20" s="32">
        <f>N20/L20</f>
        <v>443966.46839999995</v>
      </c>
    </row>
    <row r="21" spans="1:18" ht="18.600000000000001" customHeight="1" x14ac:dyDescent="0.25">
      <c r="B21" s="208" t="s">
        <v>22</v>
      </c>
      <c r="C21" s="209"/>
      <c r="D21" s="209"/>
      <c r="E21" s="209"/>
      <c r="F21" s="209"/>
      <c r="G21" s="210"/>
      <c r="J21" s="1">
        <v>2</v>
      </c>
      <c r="K21" s="1">
        <v>339</v>
      </c>
    </row>
    <row r="22" spans="1:18" s="2" customFormat="1" ht="15" customHeight="1" x14ac:dyDescent="0.25">
      <c r="B22" s="42" t="s">
        <v>22</v>
      </c>
      <c r="C22" s="43" t="s">
        <v>23</v>
      </c>
      <c r="D22" s="43"/>
      <c r="E22" s="43"/>
      <c r="F22" s="43"/>
      <c r="G22" s="44" t="s">
        <v>24</v>
      </c>
      <c r="J22" s="2">
        <v>13</v>
      </c>
      <c r="K22" s="2">
        <v>243</v>
      </c>
      <c r="P22" s="1"/>
    </row>
    <row r="23" spans="1:18" s="2" customFormat="1" x14ac:dyDescent="0.25">
      <c r="B23" s="45" t="s">
        <v>25</v>
      </c>
      <c r="C23" s="149"/>
      <c r="D23" s="43"/>
      <c r="E23" s="43"/>
      <c r="F23" s="43"/>
      <c r="G23" s="145">
        <f>'Est. Cust. Naci.'!R4</f>
        <v>110509.29145619999</v>
      </c>
      <c r="K23" s="2">
        <v>95</v>
      </c>
      <c r="R23" s="1"/>
    </row>
    <row r="24" spans="1:18" s="2" customFormat="1" x14ac:dyDescent="0.25">
      <c r="B24" s="45" t="s">
        <v>26</v>
      </c>
      <c r="C24" s="149" t="s">
        <v>109</v>
      </c>
      <c r="D24" s="43"/>
      <c r="E24" s="43"/>
      <c r="F24" s="43"/>
      <c r="G24" s="145">
        <f>'Est. Cust. Naci.'!S4</f>
        <v>96287.798115229496</v>
      </c>
      <c r="J24" s="2">
        <v>2</v>
      </c>
      <c r="K24" s="2">
        <v>99</v>
      </c>
      <c r="R24" s="1"/>
    </row>
    <row r="25" spans="1:18" s="2" customFormat="1" x14ac:dyDescent="0.25">
      <c r="B25" s="45" t="s">
        <v>28</v>
      </c>
      <c r="C25" s="149"/>
      <c r="D25" s="43"/>
      <c r="E25" s="43"/>
      <c r="F25" s="43"/>
      <c r="G25" s="145">
        <f>'Est. Cust. Naci.'!U4</f>
        <v>84636.084329550024</v>
      </c>
    </row>
    <row r="26" spans="1:18" s="2" customFormat="1" ht="19.5" thickBot="1" x14ac:dyDescent="0.3">
      <c r="B26" s="45" t="s">
        <v>29</v>
      </c>
      <c r="C26" s="149"/>
      <c r="D26" s="43"/>
      <c r="E26" s="43"/>
      <c r="F26" s="43"/>
      <c r="G26" s="145">
        <f>'Est. Cust. Naci.'!V4</f>
        <v>35082.31474799999</v>
      </c>
    </row>
    <row r="27" spans="1:18" s="2" customFormat="1" ht="19.5" thickBot="1" x14ac:dyDescent="0.3">
      <c r="B27" s="40" t="s">
        <v>30</v>
      </c>
      <c r="C27" s="41"/>
      <c r="D27" s="41"/>
      <c r="E27" s="41"/>
      <c r="F27" s="41"/>
      <c r="G27" s="144">
        <f>SUM(G23:G26)</f>
        <v>326515.48864897952</v>
      </c>
    </row>
    <row r="28" spans="1:18" ht="18.600000000000001" customHeight="1" x14ac:dyDescent="0.25">
      <c r="A28" s="46"/>
      <c r="B28" s="208" t="s">
        <v>31</v>
      </c>
      <c r="C28" s="209"/>
      <c r="D28" s="209"/>
      <c r="E28" s="209"/>
      <c r="F28" s="209"/>
      <c r="G28" s="210"/>
    </row>
    <row r="29" spans="1:18" ht="18.600000000000001" customHeight="1" x14ac:dyDescent="0.3">
      <c r="A29" s="46"/>
      <c r="B29" s="47" t="str">
        <f>'Rateio Custos Fixos'!F10</f>
        <v>TAXA SISCOMEX</v>
      </c>
      <c r="C29" s="48"/>
      <c r="D29" s="48"/>
      <c r="E29" s="48"/>
      <c r="F29" s="48"/>
      <c r="G29" s="147">
        <f>'Rateio Custos Fixos'!F11</f>
        <v>224</v>
      </c>
    </row>
    <row r="30" spans="1:18" ht="18.600000000000001" customHeight="1" x14ac:dyDescent="0.3">
      <c r="A30" s="46"/>
      <c r="B30" s="47" t="str">
        <f>'Rateio Custos Fixos'!G10</f>
        <v>ANUENCIA DE LI</v>
      </c>
      <c r="C30" s="48"/>
      <c r="D30" s="48"/>
      <c r="E30" s="48"/>
      <c r="F30" s="48"/>
      <c r="G30" s="147">
        <f>'Rateio Custos Fixos'!G11</f>
        <v>107.06</v>
      </c>
    </row>
    <row r="31" spans="1:18" ht="18.600000000000001" customHeight="1" x14ac:dyDescent="0.3">
      <c r="A31" s="46"/>
      <c r="B31" s="47" t="str">
        <f>'Rateio Custos Fixos'!H10</f>
        <v>DIFERENÇA DO VALOR DO FRETE</v>
      </c>
      <c r="C31" s="48"/>
      <c r="D31" s="48"/>
      <c r="E31" s="48"/>
      <c r="F31" s="48"/>
      <c r="G31" s="147">
        <f>'Rateio Custos Fixos'!H11</f>
        <v>11657.97</v>
      </c>
    </row>
    <row r="32" spans="1:18" ht="18.600000000000001" hidden="1" customHeight="1" x14ac:dyDescent="0.3">
      <c r="A32" s="46"/>
      <c r="B32" s="47" t="str">
        <f>'Rateio Custos Fixos'!I10</f>
        <v>T.H.C|  CAPATAZIA</v>
      </c>
      <c r="C32" s="48"/>
      <c r="D32" s="48"/>
      <c r="E32" s="48"/>
      <c r="F32" s="48"/>
      <c r="G32" s="147">
        <f>'Rateio Custos Fixos'!I11</f>
        <v>0</v>
      </c>
      <c r="H32" s="49"/>
    </row>
    <row r="33" spans="1:8" ht="18.600000000000001" customHeight="1" x14ac:dyDescent="0.3">
      <c r="A33" s="46"/>
      <c r="B33" s="47" t="str">
        <f>'Rateio Custos Fixos'!J10</f>
        <v>LICENÇA DE IMPORTAÇÃO</v>
      </c>
      <c r="C33" s="48"/>
      <c r="D33" s="48"/>
      <c r="E33" s="48"/>
      <c r="F33" s="48"/>
      <c r="G33" s="147">
        <f>'Rateio Custos Fixos'!J11</f>
        <v>130</v>
      </c>
    </row>
    <row r="34" spans="1:8" ht="18.600000000000001" hidden="1" customHeight="1" x14ac:dyDescent="0.3">
      <c r="A34" s="46"/>
      <c r="B34" s="47" t="str">
        <f>'Rateio Custos Fixos'!K10</f>
        <v>ISPS</v>
      </c>
      <c r="C34" s="48"/>
      <c r="D34" s="48"/>
      <c r="E34" s="48"/>
      <c r="F34" s="48"/>
      <c r="G34" s="147">
        <f>'Rateio Custos Fixos'!K11</f>
        <v>0</v>
      </c>
    </row>
    <row r="35" spans="1:8" ht="18.600000000000001" hidden="1" customHeight="1" x14ac:dyDescent="0.3">
      <c r="A35" s="46"/>
      <c r="B35" s="47" t="str">
        <f>'Rateio Custos Fixos'!L10</f>
        <v>DAMAGE PROTECTION</v>
      </c>
      <c r="C35" s="48"/>
      <c r="D35" s="48"/>
      <c r="E35" s="48"/>
      <c r="F35" s="48"/>
      <c r="G35" s="147">
        <f>'Rateio Custos Fixos'!L11</f>
        <v>0</v>
      </c>
      <c r="H35"/>
    </row>
    <row r="36" spans="1:8" ht="18.600000000000001" hidden="1" customHeight="1" x14ac:dyDescent="0.3">
      <c r="A36" s="46"/>
      <c r="B36" s="47" t="str">
        <f>'Rateio Custos Fixos'!M10</f>
        <v>DESCONSOLIDAÇÃO</v>
      </c>
      <c r="C36" s="48"/>
      <c r="D36" s="48"/>
      <c r="E36" s="48"/>
      <c r="F36" s="48"/>
      <c r="G36" s="147">
        <f>'Rateio Custos Fixos'!M11</f>
        <v>0</v>
      </c>
    </row>
    <row r="37" spans="1:8" hidden="1" x14ac:dyDescent="0.3">
      <c r="A37" s="46"/>
      <c r="B37" s="47" t="str">
        <f>'Rateio Custos Fixos'!N10</f>
        <v>SERVIÇO DE ENTREGA DE CONTAINER</v>
      </c>
      <c r="C37" s="48"/>
      <c r="D37" s="48"/>
      <c r="E37" s="48"/>
      <c r="F37" s="48"/>
      <c r="G37" s="147">
        <f>'Rateio Custos Fixos'!N11</f>
        <v>0</v>
      </c>
    </row>
    <row r="38" spans="1:8" ht="18.600000000000001" hidden="1" customHeight="1" x14ac:dyDescent="0.3">
      <c r="A38" s="46"/>
      <c r="B38" s="47" t="str">
        <f>'Rateio Custos Fixos'!O10</f>
        <v>Delivery order</v>
      </c>
      <c r="D38" s="48"/>
      <c r="E38" s="48"/>
      <c r="F38" s="48"/>
      <c r="G38" s="147">
        <f>'Rateio Custos Fixos'!O11</f>
        <v>0</v>
      </c>
    </row>
    <row r="39" spans="1:8" ht="18.600000000000001" customHeight="1" x14ac:dyDescent="0.3">
      <c r="A39" s="46"/>
      <c r="B39" s="47" t="str">
        <f>'Rateio Custos Fixos'!P10</f>
        <v>AFRMM</v>
      </c>
      <c r="C39" s="50">
        <v>0.08</v>
      </c>
      <c r="D39" s="48"/>
      <c r="E39" s="48"/>
      <c r="F39" s="48"/>
      <c r="G39" s="147">
        <f>'Rateio Custos Fixos'!P24</f>
        <v>226.01731601731601</v>
      </c>
      <c r="H39" s="72"/>
    </row>
    <row r="40" spans="1:8" ht="18.600000000000001" customHeight="1" x14ac:dyDescent="0.3">
      <c r="A40" s="46"/>
      <c r="B40" s="47" t="str">
        <f>'Rateio Custos Fixos'!Q10</f>
        <v xml:space="preserve">ARMAZENAGEM </v>
      </c>
      <c r="D40" s="48"/>
      <c r="E40" s="48"/>
      <c r="F40" s="48"/>
      <c r="G40" s="147">
        <f>'Rateio Custos Fixos'!Q11</f>
        <v>24000</v>
      </c>
    </row>
    <row r="41" spans="1:8" ht="18" hidden="1" customHeight="1" x14ac:dyDescent="0.3">
      <c r="A41" s="46"/>
      <c r="B41" s="47" t="str">
        <f>'Rateio Custos Fixos'!R10</f>
        <v>Import logistic fee</v>
      </c>
      <c r="C41" s="48"/>
      <c r="D41" s="48"/>
      <c r="E41" s="48"/>
      <c r="F41" s="48"/>
      <c r="G41" s="147">
        <f>'Rateio Custos Fixos'!R11</f>
        <v>0</v>
      </c>
    </row>
    <row r="42" spans="1:8" ht="18" hidden="1" customHeight="1" x14ac:dyDescent="0.3">
      <c r="A42" s="46"/>
      <c r="B42" s="47" t="str">
        <f>'Rateio Custos Fixos'!S10</f>
        <v>Drop off</v>
      </c>
      <c r="C42" s="48"/>
      <c r="D42" s="48"/>
      <c r="E42" s="48"/>
      <c r="F42" s="48"/>
      <c r="G42" s="147">
        <f>'Rateio Custos Fixos'!S11</f>
        <v>0</v>
      </c>
    </row>
    <row r="43" spans="1:8" ht="18.600000000000001" hidden="1" customHeight="1" x14ac:dyDescent="0.3">
      <c r="A43" s="46"/>
      <c r="B43" s="47" t="str">
        <f>'Rateio Custos Fixos'!T10</f>
        <v>TAXA</v>
      </c>
      <c r="C43" s="48"/>
      <c r="D43" s="48"/>
      <c r="E43" s="48"/>
      <c r="F43" s="48"/>
      <c r="G43" s="147">
        <f>'Rateio Custos Fixos'!T11</f>
        <v>0</v>
      </c>
    </row>
    <row r="44" spans="1:8" ht="18.600000000000001" customHeight="1" x14ac:dyDescent="0.3">
      <c r="A44" s="46"/>
      <c r="B44" s="47" t="str">
        <f>'Rateio Custos Fixos'!U10</f>
        <v>FRETE RODOVIÁRIO</v>
      </c>
      <c r="C44" s="48"/>
      <c r="D44" s="48"/>
      <c r="E44" s="48"/>
      <c r="F44" s="48"/>
      <c r="G44" s="147">
        <f>'Rateio Custos Fixos'!U11</f>
        <v>12200</v>
      </c>
      <c r="H44" s="72"/>
    </row>
    <row r="45" spans="1:8" ht="18.600000000000001" customHeight="1" thickBot="1" x14ac:dyDescent="0.35">
      <c r="A45" s="46"/>
      <c r="B45" s="47" t="str">
        <f>'Rateio Custos Fixos'!V10</f>
        <v>DESEMBARAÇO ADUANEIRO</v>
      </c>
      <c r="C45" s="48"/>
      <c r="D45" s="48"/>
      <c r="E45" s="48"/>
      <c r="F45" s="48"/>
      <c r="G45" s="147">
        <f>'Rateio Custos Fixos'!V11</f>
        <v>1390</v>
      </c>
    </row>
    <row r="46" spans="1:8" ht="18.600000000000001" customHeight="1" thickBot="1" x14ac:dyDescent="0.3">
      <c r="A46" s="46"/>
      <c r="B46" s="40" t="s">
        <v>32</v>
      </c>
      <c r="C46" s="51"/>
      <c r="D46" s="51"/>
      <c r="E46" s="51"/>
      <c r="F46" s="51"/>
      <c r="G46" s="146">
        <f>SUM(G29:G45)</f>
        <v>49935.047316017313</v>
      </c>
    </row>
    <row r="47" spans="1:8" ht="19.5" thickBot="1" x14ac:dyDescent="0.35">
      <c r="B47" s="204" t="s">
        <v>33</v>
      </c>
      <c r="C47" s="205"/>
      <c r="D47" s="205"/>
      <c r="E47" s="205"/>
      <c r="F47" s="206"/>
      <c r="G47" s="148">
        <f>G20+G27+G46</f>
        <v>1251625.5096649968</v>
      </c>
    </row>
    <row r="48" spans="1:8" ht="19.5" thickBot="1" x14ac:dyDescent="0.35">
      <c r="B48" s="150"/>
      <c r="C48" s="151"/>
      <c r="D48" s="151"/>
      <c r="E48" s="151"/>
      <c r="F48" s="157"/>
      <c r="G48" s="156" t="s">
        <v>34</v>
      </c>
    </row>
    <row r="49" spans="2:7" ht="19.5" thickBot="1" x14ac:dyDescent="0.35">
      <c r="B49" s="150"/>
      <c r="C49" s="151"/>
      <c r="D49" s="151"/>
      <c r="E49" s="151"/>
      <c r="F49" s="157"/>
      <c r="G49" s="156"/>
    </row>
    <row r="50" spans="2:7" ht="19.5" hidden="1" thickBot="1" x14ac:dyDescent="0.35">
      <c r="B50" s="52" t="str">
        <f>'LISTA DE COMPRAS'!C6</f>
        <v>BAC 51 LR (127V)</v>
      </c>
      <c r="C50" s="53"/>
      <c r="D50" s="53"/>
      <c r="E50" s="53"/>
      <c r="F50" s="158"/>
      <c r="G50" s="158">
        <f>'Est. Cust. Naci.'!AV7</f>
        <v>2261.3487908339043</v>
      </c>
    </row>
    <row r="51" spans="2:7" ht="19.5" hidden="1" thickBot="1" x14ac:dyDescent="0.35">
      <c r="B51" s="52" t="str">
        <f>'LISTA DE COMPRAS'!C7</f>
        <v>BAC 51 RL (127V)</v>
      </c>
      <c r="C51" s="53"/>
      <c r="D51" s="53"/>
      <c r="E51" s="53"/>
      <c r="F51" s="158"/>
      <c r="G51" s="158">
        <f>'Est. Cust. Naci.'!AV8</f>
        <v>2261.3487908339043</v>
      </c>
    </row>
    <row r="52" spans="2:7" ht="19.5" hidden="1" thickBot="1" x14ac:dyDescent="0.35">
      <c r="B52" s="52" t="str">
        <f>'LISTA DE COMPRAS'!C8</f>
        <v>BAC 209A (220V)</v>
      </c>
      <c r="C52" s="53"/>
      <c r="D52" s="53"/>
      <c r="E52" s="53"/>
      <c r="F52" s="158"/>
      <c r="G52" s="158">
        <f>'Est. Cust. Naci.'!AV9</f>
        <v>3833.36449301212</v>
      </c>
    </row>
    <row r="53" spans="2:7" ht="19.5" hidden="1" thickBot="1" x14ac:dyDescent="0.35">
      <c r="B53" s="52" t="str">
        <f>'LISTA DE COMPRAS'!C9</f>
        <v>BAC 209 (127V)</v>
      </c>
      <c r="C53" s="53"/>
      <c r="D53" s="53"/>
      <c r="E53" s="53"/>
      <c r="F53" s="158"/>
      <c r="G53" s="158">
        <f>'Est. Cust. Naci.'!AV10</f>
        <v>3833.36449301212</v>
      </c>
    </row>
    <row r="54" spans="2:7" ht="19.5" hidden="1" thickBot="1" x14ac:dyDescent="0.35">
      <c r="B54" s="52" t="str">
        <f>'LISTA DE COMPRAS'!C10</f>
        <v>BAC 218SA (220V)</v>
      </c>
      <c r="C54" s="53"/>
      <c r="D54" s="53"/>
      <c r="E54" s="53"/>
      <c r="F54" s="158"/>
      <c r="G54" s="158">
        <f>'Est. Cust. Naci.'!AV11</f>
        <v>6918.5503898003835</v>
      </c>
    </row>
    <row r="55" spans="2:7" ht="19.5" hidden="1" thickBot="1" x14ac:dyDescent="0.35">
      <c r="B55" s="52" t="str">
        <f>'LISTA DE COMPRAS'!C11</f>
        <v>BAC 218BA (220V)</v>
      </c>
      <c r="C55" s="53"/>
      <c r="D55" s="53"/>
      <c r="E55" s="53"/>
      <c r="F55" s="158"/>
      <c r="G55" s="158">
        <f>'Est. Cust. Naci.'!AV12</f>
        <v>6876.5178843945496</v>
      </c>
    </row>
    <row r="56" spans="2:7" ht="19.5" hidden="1" thickBot="1" x14ac:dyDescent="0.35">
      <c r="B56" s="52" t="str">
        <f>'LISTA DE COMPRAS'!C12</f>
        <v>BAC 28 (127V)</v>
      </c>
      <c r="C56" s="53"/>
      <c r="D56" s="53"/>
      <c r="E56" s="53"/>
      <c r="F56" s="158"/>
      <c r="G56" s="158">
        <f>'Est. Cust. Naci.'!AV13</f>
        <v>1967.1212529930617</v>
      </c>
    </row>
    <row r="57" spans="2:7" ht="19.5" hidden="1" thickBot="1" x14ac:dyDescent="0.35">
      <c r="B57" s="52" t="str">
        <f>'LISTA DE COMPRAS'!C13</f>
        <v>BAC 28A (220V)</v>
      </c>
      <c r="C57" s="53"/>
      <c r="D57" s="53"/>
      <c r="E57" s="53"/>
      <c r="F57" s="158"/>
      <c r="G57" s="158">
        <f>'Est. Cust. Naci.'!AV14</f>
        <v>1967.1212529930617</v>
      </c>
    </row>
    <row r="58" spans="2:7" ht="19.5" hidden="1" thickBot="1" x14ac:dyDescent="0.35">
      <c r="B58" s="52" t="str">
        <f>'LISTA DE COMPRAS'!C14</f>
        <v>BAC 120A (220V)</v>
      </c>
      <c r="C58" s="53"/>
      <c r="D58" s="53"/>
      <c r="E58" s="53"/>
      <c r="F58" s="158"/>
      <c r="G58" s="158">
        <f>'Est. Cust. Naci.'!AV15</f>
        <v>2790.9583589474214</v>
      </c>
    </row>
    <row r="59" spans="2:7" ht="19.5" hidden="1" thickBot="1" x14ac:dyDescent="0.35">
      <c r="B59" s="52" t="str">
        <f>'LISTA DE COMPRAS'!C15</f>
        <v>BAC 120 (127V)</v>
      </c>
      <c r="C59" s="53"/>
      <c r="D59" s="53"/>
      <c r="E59" s="53"/>
      <c r="F59" s="158"/>
      <c r="G59" s="158">
        <f>'Est. Cust. Naci.'!AV16</f>
        <v>2790.9583589474209</v>
      </c>
    </row>
    <row r="60" spans="2:7" ht="19.5" hidden="1" thickBot="1" x14ac:dyDescent="0.35">
      <c r="B60" s="52" t="str">
        <f>'LISTA DE COMPRAS'!C16</f>
        <v>BAC111 (220V)</v>
      </c>
      <c r="C60" s="53"/>
      <c r="D60" s="53"/>
      <c r="E60" s="53"/>
      <c r="F60" s="158"/>
      <c r="G60" s="158">
        <f>'Est. Cust. Naci.'!AV17</f>
        <v>6136.7457892518596</v>
      </c>
    </row>
    <row r="61" spans="2:7" ht="23.45" hidden="1" customHeight="1" thickBot="1" x14ac:dyDescent="0.35">
      <c r="B61" s="52" t="str">
        <f>'LISTA DE COMPRAS'!C17</f>
        <v>BEC 100GD (127V)</v>
      </c>
      <c r="C61" s="53"/>
      <c r="D61" s="53"/>
      <c r="E61" s="53"/>
      <c r="F61" s="158"/>
      <c r="G61" s="158">
        <f>'Est. Cust. Naci.'!AV18</f>
        <v>2017.5602594800632</v>
      </c>
    </row>
    <row r="62" spans="2:7" x14ac:dyDescent="0.25">
      <c r="B62" s="54" t="s">
        <v>35</v>
      </c>
      <c r="C62" s="55">
        <f>G16</f>
        <v>817827.3737</v>
      </c>
      <c r="D62" s="56"/>
      <c r="E62" s="56"/>
      <c r="F62" s="56"/>
      <c r="G62" s="57"/>
    </row>
    <row r="63" spans="2:7" x14ac:dyDescent="0.25">
      <c r="B63" s="58" t="s">
        <v>36</v>
      </c>
      <c r="C63" s="59">
        <f>C64-C62</f>
        <v>433798.13596499676</v>
      </c>
      <c r="G63" s="60"/>
    </row>
    <row r="64" spans="2:7" x14ac:dyDescent="0.25">
      <c r="B64" s="58" t="s">
        <v>34</v>
      </c>
      <c r="C64" s="59">
        <f>G47</f>
        <v>1251625.5096649968</v>
      </c>
      <c r="G64" s="60"/>
    </row>
    <row r="65" spans="1:16" ht="19.5" thickBot="1" x14ac:dyDescent="0.3">
      <c r="B65" s="61" t="s">
        <v>37</v>
      </c>
      <c r="C65" s="62">
        <f>C63/C62</f>
        <v>0.53042750819456552</v>
      </c>
      <c r="D65" s="38"/>
      <c r="E65" s="38"/>
      <c r="F65" s="38"/>
      <c r="G65" s="63"/>
    </row>
    <row r="68" spans="1:16" s="11" customFormat="1" x14ac:dyDescent="0.25">
      <c r="A68" s="1"/>
      <c r="F68"/>
      <c r="H68" s="1"/>
      <c r="I68" s="1"/>
      <c r="J68" s="1"/>
      <c r="K68" s="1"/>
      <c r="L68" s="1"/>
      <c r="M68" s="1"/>
      <c r="N68" s="1"/>
      <c r="O68" s="1"/>
      <c r="P68" s="1"/>
    </row>
    <row r="71" spans="1:16" s="11" customFormat="1" hidden="1" x14ac:dyDescent="0.25">
      <c r="A71" s="1"/>
      <c r="B71" s="64">
        <f>F16+(F16*3.5%)</f>
        <v>157341.73499999999</v>
      </c>
      <c r="D71" s="65">
        <f>(B71-F16)*D12</f>
        <v>28623.958079499924</v>
      </c>
      <c r="H71" s="1"/>
      <c r="I71" s="1"/>
      <c r="J71" s="1"/>
      <c r="K71" s="1"/>
      <c r="L71" s="1"/>
      <c r="M71" s="1"/>
      <c r="N71" s="1"/>
      <c r="O71" s="1"/>
      <c r="P71" s="1"/>
    </row>
  </sheetData>
  <mergeCells count="6">
    <mergeCell ref="C5:G7"/>
    <mergeCell ref="B47:F47"/>
    <mergeCell ref="C9:D9"/>
    <mergeCell ref="B13:G13"/>
    <mergeCell ref="B21:G21"/>
    <mergeCell ref="B28:G28"/>
  </mergeCells>
  <phoneticPr fontId="15" type="noConversion"/>
  <pageMargins left="0.70866141732283472" right="0.23622047244094491" top="0.74803149606299213" bottom="0.74803149606299213" header="0.31496062992125984" footer="0.31496062992125984"/>
  <pageSetup paperSize="9" scale="58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3868-631E-4CA2-9AA0-E67134B0A4CB}">
  <sheetPr>
    <pageSetUpPr fitToPage="1"/>
  </sheetPr>
  <dimension ref="A1:AB28"/>
  <sheetViews>
    <sheetView tabSelected="1" view="pageBreakPreview" topLeftCell="A17" zoomScale="60" zoomScaleNormal="85" workbookViewId="0">
      <selection activeCell="G25" sqref="G25"/>
    </sheetView>
  </sheetViews>
  <sheetFormatPr defaultRowHeight="15" x14ac:dyDescent="0.25"/>
  <cols>
    <col min="1" max="1" width="9.28515625" customWidth="1"/>
    <col min="2" max="2" width="14.42578125" style="2" hidden="1" customWidth="1"/>
    <col min="3" max="3" width="25.85546875" customWidth="1"/>
    <col min="4" max="4" width="10.28515625" style="1" customWidth="1"/>
    <col min="5" max="5" width="10" style="1" customWidth="1"/>
    <col min="6" max="6" width="12.85546875" customWidth="1"/>
    <col min="7" max="7" width="8.7109375" customWidth="1"/>
    <col min="8" max="8" width="8" bestFit="1" customWidth="1"/>
    <col min="9" max="9" width="7.7109375" customWidth="1"/>
    <col min="10" max="10" width="13.140625" bestFit="1" customWidth="1"/>
    <col min="11" max="11" width="17.42578125" customWidth="1"/>
    <col min="12" max="12" width="14.7109375" hidden="1" customWidth="1"/>
    <col min="13" max="13" width="17.28515625" customWidth="1"/>
    <col min="14" max="14" width="17.42578125" customWidth="1"/>
    <col min="15" max="15" width="14.7109375" hidden="1" customWidth="1"/>
    <col min="16" max="16" width="10.5703125" customWidth="1"/>
    <col min="17" max="17" width="12.7109375" customWidth="1"/>
    <col min="18" max="18" width="19.85546875" bestFit="1" customWidth="1"/>
    <col min="19" max="19" width="18.7109375" style="2" hidden="1" customWidth="1"/>
    <col min="20" max="22" width="16.28515625" customWidth="1"/>
    <col min="23" max="23" width="10.28515625" customWidth="1"/>
    <col min="24" max="24" width="9.140625" customWidth="1"/>
    <col min="25" max="25" width="16.28515625" customWidth="1"/>
    <col min="26" max="26" width="13.28515625" customWidth="1"/>
    <col min="27" max="27" width="9.140625" customWidth="1"/>
    <col min="28" max="28" width="11.7109375" customWidth="1"/>
  </cols>
  <sheetData>
    <row r="1" spans="1:28" ht="26.25" x14ac:dyDescent="0.4">
      <c r="A1" s="129" t="s">
        <v>38</v>
      </c>
      <c r="X1" s="132"/>
      <c r="Y1" s="132"/>
      <c r="Z1" s="132"/>
      <c r="AA1" s="132"/>
    </row>
    <row r="2" spans="1:28" x14ac:dyDescent="0.25">
      <c r="X2" s="132"/>
      <c r="Y2" s="132"/>
      <c r="Z2" s="132"/>
      <c r="AA2" s="132"/>
    </row>
    <row r="3" spans="1:28" ht="47.25" x14ac:dyDescent="0.25">
      <c r="A3" s="114" t="s">
        <v>39</v>
      </c>
      <c r="B3" s="114" t="s">
        <v>0</v>
      </c>
      <c r="C3" s="115" t="s">
        <v>40</v>
      </c>
      <c r="D3" s="114" t="s">
        <v>41</v>
      </c>
      <c r="E3" s="116" t="s">
        <v>42</v>
      </c>
      <c r="F3" s="116" t="s">
        <v>43</v>
      </c>
      <c r="G3" s="116" t="s">
        <v>27</v>
      </c>
      <c r="H3" s="116" t="s">
        <v>28</v>
      </c>
      <c r="I3" s="116" t="s">
        <v>29</v>
      </c>
      <c r="J3" s="115" t="s">
        <v>44</v>
      </c>
      <c r="K3" s="115" t="s">
        <v>45</v>
      </c>
      <c r="L3" s="115" t="s">
        <v>46</v>
      </c>
      <c r="M3" s="115" t="s">
        <v>47</v>
      </c>
      <c r="N3" s="115" t="s">
        <v>47</v>
      </c>
      <c r="O3" s="115" t="s">
        <v>48</v>
      </c>
      <c r="P3" s="115" t="s">
        <v>49</v>
      </c>
      <c r="Q3" s="115" t="s">
        <v>50</v>
      </c>
      <c r="R3" s="117" t="s">
        <v>51</v>
      </c>
      <c r="S3" s="117" t="s">
        <v>52</v>
      </c>
      <c r="T3" s="72"/>
      <c r="U3" s="72"/>
      <c r="V3" s="72"/>
      <c r="W3" s="72"/>
      <c r="X3" s="132"/>
      <c r="Y3" s="132"/>
      <c r="Z3" s="132"/>
      <c r="AA3" s="132"/>
      <c r="AB3" s="130"/>
    </row>
    <row r="4" spans="1:28" ht="15.75" x14ac:dyDescent="0.25">
      <c r="A4" s="114"/>
      <c r="B4" s="114"/>
      <c r="C4" s="115"/>
      <c r="D4" s="114"/>
      <c r="E4" s="116"/>
      <c r="F4" s="116"/>
      <c r="G4" s="116"/>
      <c r="H4" s="116"/>
      <c r="I4" s="116"/>
      <c r="J4" s="115">
        <f>SUM(J6:J24)</f>
        <v>462</v>
      </c>
      <c r="K4" s="118">
        <f>SUM(K6:K24)</f>
        <v>6565</v>
      </c>
      <c r="L4" s="118"/>
      <c r="M4" s="118">
        <f>SUM(M6:M24)</f>
        <v>152021</v>
      </c>
      <c r="N4" s="190">
        <f>F28</f>
        <v>5.3796999999999997</v>
      </c>
      <c r="O4" s="119"/>
      <c r="P4" s="120">
        <v>1</v>
      </c>
      <c r="Q4" s="120">
        <v>1</v>
      </c>
      <c r="R4" s="121"/>
      <c r="S4" s="121"/>
      <c r="T4" s="132"/>
      <c r="U4" s="132"/>
      <c r="V4" s="132"/>
      <c r="W4" s="132"/>
      <c r="X4" s="132"/>
      <c r="Y4" s="132"/>
      <c r="Z4" s="132"/>
      <c r="AA4" s="132"/>
      <c r="AB4" s="131"/>
    </row>
    <row r="5" spans="1:28" ht="15.75" x14ac:dyDescent="0.25">
      <c r="A5" s="114"/>
      <c r="B5" s="114"/>
      <c r="C5" s="160"/>
      <c r="D5" s="114"/>
      <c r="E5" s="116"/>
      <c r="F5" s="116"/>
      <c r="G5" s="116"/>
      <c r="H5" s="116"/>
      <c r="I5" s="116"/>
      <c r="J5" s="115"/>
      <c r="K5" s="118"/>
      <c r="L5" s="118"/>
      <c r="M5" s="118"/>
      <c r="N5" s="119"/>
      <c r="O5" s="119"/>
      <c r="P5" s="120"/>
      <c r="Q5" s="120"/>
      <c r="R5" s="121"/>
      <c r="S5" s="121"/>
      <c r="T5" s="132"/>
      <c r="U5" s="132"/>
      <c r="V5" s="132"/>
      <c r="W5" s="132"/>
      <c r="X5" s="132"/>
      <c r="Y5" s="132"/>
      <c r="Z5" s="132"/>
      <c r="AA5" s="132"/>
      <c r="AB5" s="131"/>
    </row>
    <row r="6" spans="1:28" ht="75" customHeight="1" x14ac:dyDescent="0.25">
      <c r="A6" s="122">
        <v>1</v>
      </c>
      <c r="C6" s="5" t="s">
        <v>110</v>
      </c>
      <c r="D6" s="123">
        <v>84186999</v>
      </c>
      <c r="E6" s="124">
        <v>0.126</v>
      </c>
      <c r="F6" s="126">
        <v>9.7500000000000003E-2</v>
      </c>
      <c r="G6" s="125">
        <v>2.1000000000000001E-2</v>
      </c>
      <c r="H6" s="126">
        <v>9.6500000000000002E-2</v>
      </c>
      <c r="I6" s="126">
        <v>0.04</v>
      </c>
      <c r="J6" s="194">
        <v>75</v>
      </c>
      <c r="K6" s="127">
        <v>269</v>
      </c>
      <c r="L6" s="127">
        <f>K6/2</f>
        <v>134.5</v>
      </c>
      <c r="M6" s="127">
        <f>K6*J6</f>
        <v>20175</v>
      </c>
      <c r="N6" s="128">
        <f>M6*$N$4</f>
        <v>108535.44749999999</v>
      </c>
      <c r="O6" s="128">
        <f>L6*J6*$N$4</f>
        <v>54267.723749999997</v>
      </c>
      <c r="P6" s="126">
        <f>(J6*$P$4)/$J$4</f>
        <v>0.16233766233766234</v>
      </c>
      <c r="Q6" s="126">
        <f>(K6*$Q$4)/$K$4</f>
        <v>4.0974866717440973E-2</v>
      </c>
      <c r="R6" s="128">
        <f>'Est. Cust. Naci.'!AV7</f>
        <v>2261.3487908339043</v>
      </c>
      <c r="S6" s="128">
        <f>'Resumo 100%'!G50</f>
        <v>2261.3487908339043</v>
      </c>
      <c r="T6" s="189"/>
      <c r="U6" s="68"/>
      <c r="V6" s="68"/>
      <c r="W6" s="68"/>
      <c r="X6" s="132"/>
      <c r="Y6" s="132"/>
      <c r="Z6" s="132"/>
      <c r="AA6" s="132"/>
      <c r="AB6" s="112"/>
    </row>
    <row r="7" spans="1:28" ht="75" customHeight="1" x14ac:dyDescent="0.25">
      <c r="A7" s="2">
        <v>2</v>
      </c>
      <c r="C7" s="5" t="s">
        <v>111</v>
      </c>
      <c r="D7" s="1">
        <v>84186999</v>
      </c>
      <c r="E7" s="124">
        <v>0.126</v>
      </c>
      <c r="F7" s="126">
        <v>9.7500000000000003E-2</v>
      </c>
      <c r="G7" s="125">
        <v>2.1000000000000001E-2</v>
      </c>
      <c r="H7" s="126">
        <v>9.6500000000000002E-2</v>
      </c>
      <c r="I7" s="126">
        <v>0.04</v>
      </c>
      <c r="J7" s="194">
        <v>50</v>
      </c>
      <c r="K7" s="127">
        <v>269</v>
      </c>
      <c r="L7" s="161"/>
      <c r="M7" s="127">
        <f t="shared" ref="M7:M23" si="0">K7*J7</f>
        <v>13450</v>
      </c>
      <c r="N7" s="128">
        <f t="shared" ref="N7:N23" si="1">M7*$N$4</f>
        <v>72356.964999999997</v>
      </c>
      <c r="O7" s="162"/>
      <c r="P7" s="126">
        <f t="shared" ref="P7:P23" si="2">(J7*$P$4)/$J$4</f>
        <v>0.10822510822510822</v>
      </c>
      <c r="Q7" s="126">
        <f t="shared" ref="Q7:Q23" si="3">(K7*$Q$4)/$K$4</f>
        <v>4.0974866717440973E-2</v>
      </c>
      <c r="R7" s="128">
        <f>'Est. Cust. Naci.'!AV8</f>
        <v>2261.3487908339043</v>
      </c>
      <c r="S7" s="128">
        <f>'Resumo 100%'!G51</f>
        <v>2261.3487908339043</v>
      </c>
      <c r="T7" s="189"/>
      <c r="U7" s="68"/>
      <c r="V7" s="68"/>
      <c r="W7" s="68"/>
      <c r="X7" s="132"/>
      <c r="Y7" s="132"/>
      <c r="Z7" s="132"/>
      <c r="AA7" s="132"/>
      <c r="AB7" s="112"/>
    </row>
    <row r="8" spans="1:28" ht="75" customHeight="1" x14ac:dyDescent="0.25">
      <c r="A8" s="2">
        <v>3</v>
      </c>
      <c r="C8" s="5" t="s">
        <v>112</v>
      </c>
      <c r="D8" s="1">
        <v>84186999</v>
      </c>
      <c r="E8" s="124">
        <v>0.126</v>
      </c>
      <c r="F8" s="126">
        <v>9.7500000000000003E-2</v>
      </c>
      <c r="G8" s="125">
        <v>2.1000000000000001E-2</v>
      </c>
      <c r="H8" s="126">
        <v>9.6500000000000002E-2</v>
      </c>
      <c r="I8" s="126">
        <v>2.5999999999999999E-2</v>
      </c>
      <c r="J8" s="194">
        <v>20</v>
      </c>
      <c r="K8" s="127">
        <v>456</v>
      </c>
      <c r="L8" s="161"/>
      <c r="M8" s="127">
        <f t="shared" si="0"/>
        <v>9120</v>
      </c>
      <c r="N8" s="128">
        <f t="shared" si="1"/>
        <v>49062.863999999994</v>
      </c>
      <c r="O8" s="162"/>
      <c r="P8" s="126">
        <f t="shared" si="2"/>
        <v>4.3290043290043288E-2</v>
      </c>
      <c r="Q8" s="126">
        <f t="shared" si="3"/>
        <v>6.9459253617669456E-2</v>
      </c>
      <c r="R8" s="128">
        <f>'Est. Cust. Naci.'!AV9</f>
        <v>3833.36449301212</v>
      </c>
      <c r="S8" s="128">
        <f>'Resumo 100%'!G52</f>
        <v>3833.36449301212</v>
      </c>
      <c r="T8" s="189"/>
      <c r="U8" s="68"/>
      <c r="V8" s="68"/>
      <c r="W8" s="68"/>
      <c r="X8" s="132"/>
      <c r="Y8" s="132"/>
      <c r="Z8" s="132"/>
      <c r="AA8" s="132"/>
      <c r="AB8" s="112"/>
    </row>
    <row r="9" spans="1:28" ht="75" customHeight="1" x14ac:dyDescent="0.25">
      <c r="A9" s="2">
        <v>4</v>
      </c>
      <c r="C9" s="5" t="s">
        <v>113</v>
      </c>
      <c r="D9" s="123">
        <v>84186999</v>
      </c>
      <c r="E9" s="124">
        <v>0.126</v>
      </c>
      <c r="F9" s="126">
        <v>9.7500000000000003E-2</v>
      </c>
      <c r="G9" s="125">
        <v>2.1000000000000001E-2</v>
      </c>
      <c r="H9" s="126">
        <v>9.6500000000000002E-2</v>
      </c>
      <c r="I9" s="126">
        <v>2.5999999999999999E-2</v>
      </c>
      <c r="J9" s="194">
        <v>34</v>
      </c>
      <c r="K9" s="127">
        <v>456</v>
      </c>
      <c r="L9" s="161"/>
      <c r="M9" s="127">
        <f t="shared" si="0"/>
        <v>15504</v>
      </c>
      <c r="N9" s="128">
        <f t="shared" si="1"/>
        <v>83406.868799999997</v>
      </c>
      <c r="O9" s="162"/>
      <c r="P9" s="126">
        <f t="shared" si="2"/>
        <v>7.3593073593073599E-2</v>
      </c>
      <c r="Q9" s="126">
        <f t="shared" si="3"/>
        <v>6.9459253617669456E-2</v>
      </c>
      <c r="R9" s="128">
        <f>'Est. Cust. Naci.'!AV10</f>
        <v>3833.36449301212</v>
      </c>
      <c r="S9" s="128">
        <f>'Resumo 100%'!G53</f>
        <v>3833.36449301212</v>
      </c>
      <c r="T9" s="189"/>
      <c r="U9" s="68"/>
      <c r="V9" s="68"/>
      <c r="W9" s="68"/>
      <c r="X9" s="132"/>
      <c r="Y9" s="132"/>
      <c r="Z9" s="132"/>
      <c r="AA9" s="132"/>
      <c r="AB9" s="112"/>
    </row>
    <row r="10" spans="1:28" ht="75" customHeight="1" x14ac:dyDescent="0.25">
      <c r="A10" s="2">
        <v>5</v>
      </c>
      <c r="C10" s="5" t="s">
        <v>114</v>
      </c>
      <c r="D10" s="1">
        <v>84186999</v>
      </c>
      <c r="E10" s="124">
        <v>0.126</v>
      </c>
      <c r="F10" s="126">
        <v>9.7500000000000003E-2</v>
      </c>
      <c r="G10" s="125">
        <v>2.1000000000000001E-2</v>
      </c>
      <c r="H10" s="126">
        <v>9.6500000000000002E-2</v>
      </c>
      <c r="I10" s="126">
        <v>2.5999999999999999E-2</v>
      </c>
      <c r="J10" s="194">
        <v>15</v>
      </c>
      <c r="K10" s="127">
        <v>823</v>
      </c>
      <c r="L10" s="161"/>
      <c r="M10" s="127">
        <f t="shared" si="0"/>
        <v>12345</v>
      </c>
      <c r="N10" s="128">
        <f t="shared" si="1"/>
        <v>66412.396500000003</v>
      </c>
      <c r="O10" s="162"/>
      <c r="P10" s="126">
        <f t="shared" si="2"/>
        <v>3.2467532467532464E-2</v>
      </c>
      <c r="Q10" s="126">
        <f t="shared" si="3"/>
        <v>0.12536176694592535</v>
      </c>
      <c r="R10" s="128">
        <f>'Est. Cust. Naci.'!AV11</f>
        <v>6918.5503898003835</v>
      </c>
      <c r="S10" s="128">
        <f>'Resumo 100%'!G54</f>
        <v>6918.5503898003835</v>
      </c>
      <c r="T10" s="189"/>
      <c r="U10" s="68"/>
      <c r="V10" s="68"/>
      <c r="W10" s="68"/>
      <c r="X10" s="132"/>
      <c r="Y10" s="132"/>
      <c r="Z10" s="132"/>
      <c r="AA10" s="132"/>
      <c r="AB10" s="112"/>
    </row>
    <row r="11" spans="1:28" ht="75" customHeight="1" x14ac:dyDescent="0.25">
      <c r="A11" s="2">
        <v>6</v>
      </c>
      <c r="C11" s="5" t="s">
        <v>115</v>
      </c>
      <c r="D11" s="1">
        <v>84186999</v>
      </c>
      <c r="E11" s="124">
        <v>0.126</v>
      </c>
      <c r="F11" s="126">
        <v>9.7500000000000003E-2</v>
      </c>
      <c r="G11" s="125">
        <v>2.1000000000000001E-2</v>
      </c>
      <c r="H11" s="126">
        <v>9.6500000000000002E-2</v>
      </c>
      <c r="I11" s="126">
        <v>2.5999999999999999E-2</v>
      </c>
      <c r="J11" s="194">
        <v>12</v>
      </c>
      <c r="K11" s="127">
        <v>818</v>
      </c>
      <c r="L11" s="161"/>
      <c r="M11" s="127">
        <f t="shared" si="0"/>
        <v>9816</v>
      </c>
      <c r="N11" s="128">
        <f t="shared" si="1"/>
        <v>52807.135199999997</v>
      </c>
      <c r="O11" s="162"/>
      <c r="P11" s="126">
        <f t="shared" si="2"/>
        <v>2.5974025974025976E-2</v>
      </c>
      <c r="Q11" s="126">
        <f t="shared" si="3"/>
        <v>0.1246001523229246</v>
      </c>
      <c r="R11" s="128">
        <f>'Est. Cust. Naci.'!AV12</f>
        <v>6876.5178843945496</v>
      </c>
      <c r="S11" s="128">
        <f>'Resumo 100%'!G55</f>
        <v>6876.5178843945496</v>
      </c>
      <c r="T11" s="189"/>
      <c r="U11" s="68"/>
      <c r="V11" s="68"/>
      <c r="W11" s="68"/>
      <c r="X11" s="132"/>
      <c r="Y11" s="132"/>
      <c r="Z11" s="132"/>
      <c r="AA11" s="132"/>
      <c r="AB11" s="112"/>
    </row>
    <row r="12" spans="1:28" ht="75" customHeight="1" x14ac:dyDescent="0.25">
      <c r="A12" s="2">
        <v>7</v>
      </c>
      <c r="C12" s="5" t="s">
        <v>116</v>
      </c>
      <c r="D12" s="123">
        <v>84186999</v>
      </c>
      <c r="E12" s="124">
        <v>0.126</v>
      </c>
      <c r="F12" s="126">
        <v>9.7500000000000003E-2</v>
      </c>
      <c r="G12" s="125">
        <v>2.1000000000000001E-2</v>
      </c>
      <c r="H12" s="126">
        <v>9.6500000000000002E-2</v>
      </c>
      <c r="I12" s="126">
        <v>2.5999999999999999E-2</v>
      </c>
      <c r="J12" s="194">
        <v>40</v>
      </c>
      <c r="K12" s="127">
        <v>234</v>
      </c>
      <c r="L12" s="161"/>
      <c r="M12" s="127">
        <f t="shared" si="0"/>
        <v>9360</v>
      </c>
      <c r="N12" s="128">
        <f t="shared" si="1"/>
        <v>50353.991999999998</v>
      </c>
      <c r="O12" s="162"/>
      <c r="P12" s="126">
        <f t="shared" si="2"/>
        <v>8.6580086580086577E-2</v>
      </c>
      <c r="Q12" s="126">
        <f t="shared" si="3"/>
        <v>3.5643564356435641E-2</v>
      </c>
      <c r="R12" s="128">
        <f>'Est. Cust. Naci.'!AV13</f>
        <v>1967.1212529930617</v>
      </c>
      <c r="S12" s="128">
        <f>'Resumo 100%'!G56</f>
        <v>1967.1212529930617</v>
      </c>
      <c r="T12" s="68"/>
      <c r="U12" s="68"/>
      <c r="V12" s="68"/>
      <c r="W12" s="68"/>
      <c r="X12" s="132"/>
      <c r="Y12" s="132"/>
      <c r="Z12" s="132"/>
      <c r="AA12" s="132"/>
      <c r="AB12" s="112"/>
    </row>
    <row r="13" spans="1:28" ht="75" customHeight="1" x14ac:dyDescent="0.25">
      <c r="A13" s="2">
        <v>8</v>
      </c>
      <c r="C13" s="5" t="s">
        <v>117</v>
      </c>
      <c r="D13" s="1">
        <v>84186999</v>
      </c>
      <c r="E13" s="124">
        <v>0.126</v>
      </c>
      <c r="F13" s="126">
        <v>9.7500000000000003E-2</v>
      </c>
      <c r="G13" s="125">
        <v>2.1000000000000001E-2</v>
      </c>
      <c r="H13" s="126">
        <v>9.6500000000000002E-2</v>
      </c>
      <c r="I13" s="126">
        <v>2.5999999999999999E-2</v>
      </c>
      <c r="J13" s="194">
        <v>20</v>
      </c>
      <c r="K13" s="127">
        <v>234</v>
      </c>
      <c r="L13" s="161"/>
      <c r="M13" s="127">
        <f t="shared" si="0"/>
        <v>4680</v>
      </c>
      <c r="N13" s="128">
        <f t="shared" si="1"/>
        <v>25176.995999999999</v>
      </c>
      <c r="O13" s="162"/>
      <c r="P13" s="126">
        <f t="shared" si="2"/>
        <v>4.3290043290043288E-2</v>
      </c>
      <c r="Q13" s="126">
        <f t="shared" si="3"/>
        <v>3.5643564356435641E-2</v>
      </c>
      <c r="R13" s="128">
        <f>'Est. Cust. Naci.'!AV14</f>
        <v>1967.1212529930617</v>
      </c>
      <c r="S13" s="128">
        <f>'Resumo 100%'!G57</f>
        <v>1967.1212529930617</v>
      </c>
      <c r="T13" s="68"/>
      <c r="U13" s="68"/>
      <c r="V13" s="68"/>
      <c r="W13" s="68"/>
      <c r="X13" s="132"/>
      <c r="Y13" s="132"/>
      <c r="Z13" s="132"/>
      <c r="AA13" s="132"/>
      <c r="AB13" s="112"/>
    </row>
    <row r="14" spans="1:28" ht="75" customHeight="1" x14ac:dyDescent="0.25">
      <c r="A14" s="2">
        <v>9</v>
      </c>
      <c r="C14" s="5" t="s">
        <v>118</v>
      </c>
      <c r="D14" s="1">
        <v>84186999</v>
      </c>
      <c r="E14" s="124">
        <v>0.126</v>
      </c>
      <c r="F14" s="126">
        <v>9.7500000000000003E-2</v>
      </c>
      <c r="G14" s="125">
        <v>2.1000000000000001E-2</v>
      </c>
      <c r="H14" s="126">
        <v>9.6500000000000002E-2</v>
      </c>
      <c r="I14" s="126">
        <v>2.5999999999999999E-2</v>
      </c>
      <c r="J14" s="194">
        <v>20</v>
      </c>
      <c r="K14" s="127">
        <v>332</v>
      </c>
      <c r="L14" s="161"/>
      <c r="M14" s="127">
        <f t="shared" si="0"/>
        <v>6640</v>
      </c>
      <c r="N14" s="128">
        <f t="shared" si="1"/>
        <v>35721.207999999999</v>
      </c>
      <c r="O14" s="162"/>
      <c r="P14" s="126">
        <f t="shared" si="2"/>
        <v>4.3290043290043288E-2</v>
      </c>
      <c r="Q14" s="126">
        <f t="shared" si="3"/>
        <v>5.057121096725057E-2</v>
      </c>
      <c r="R14" s="128">
        <f>'Est. Cust. Naci.'!AV15</f>
        <v>2790.9583589474214</v>
      </c>
      <c r="S14" s="128">
        <f>'Resumo 100%'!G58</f>
        <v>2790.9583589474214</v>
      </c>
      <c r="T14" s="68"/>
      <c r="U14" s="68"/>
      <c r="V14" s="68"/>
      <c r="W14" s="68"/>
      <c r="X14" s="132"/>
      <c r="Y14" s="132"/>
      <c r="Z14" s="132"/>
      <c r="AA14" s="132"/>
      <c r="AB14" s="112"/>
    </row>
    <row r="15" spans="1:28" ht="75" customHeight="1" x14ac:dyDescent="0.25">
      <c r="A15" s="2">
        <v>10</v>
      </c>
      <c r="C15" s="5" t="s">
        <v>119</v>
      </c>
      <c r="D15" s="123">
        <v>84186999</v>
      </c>
      <c r="E15" s="124">
        <v>0.126</v>
      </c>
      <c r="F15" s="126">
        <v>9.7500000000000003E-2</v>
      </c>
      <c r="G15" s="125">
        <v>2.1000000000000001E-2</v>
      </c>
      <c r="H15" s="126">
        <v>9.6500000000000002E-2</v>
      </c>
      <c r="I15" s="126">
        <v>2.5999999999999999E-2</v>
      </c>
      <c r="J15" s="194">
        <v>34</v>
      </c>
      <c r="K15" s="127">
        <v>332</v>
      </c>
      <c r="L15" s="161"/>
      <c r="M15" s="127">
        <f t="shared" si="0"/>
        <v>11288</v>
      </c>
      <c r="N15" s="128">
        <f t="shared" si="1"/>
        <v>60726.053599999999</v>
      </c>
      <c r="O15" s="162"/>
      <c r="P15" s="126">
        <f t="shared" si="2"/>
        <v>7.3593073593073599E-2</v>
      </c>
      <c r="Q15" s="126">
        <f t="shared" si="3"/>
        <v>5.057121096725057E-2</v>
      </c>
      <c r="R15" s="128">
        <f>'Est. Cust. Naci.'!AV16</f>
        <v>2790.9583589474209</v>
      </c>
      <c r="S15" s="128">
        <f>'Resumo 100%'!G59</f>
        <v>2790.9583589474209</v>
      </c>
      <c r="T15" s="68"/>
      <c r="U15" s="68"/>
      <c r="V15" s="68"/>
      <c r="W15" s="68"/>
      <c r="X15" s="132"/>
      <c r="Y15" s="132"/>
      <c r="Z15" s="132"/>
      <c r="AA15" s="132"/>
      <c r="AB15" s="112"/>
    </row>
    <row r="16" spans="1:28" ht="97.9" customHeight="1" x14ac:dyDescent="0.25">
      <c r="A16" s="2">
        <v>11</v>
      </c>
      <c r="C16" s="5" t="s">
        <v>120</v>
      </c>
      <c r="D16" s="1">
        <v>84186999</v>
      </c>
      <c r="E16" s="124">
        <v>0.126</v>
      </c>
      <c r="F16" s="126">
        <v>9.7500000000000003E-2</v>
      </c>
      <c r="G16" s="125">
        <v>2.1000000000000001E-2</v>
      </c>
      <c r="H16" s="126">
        <v>9.6500000000000002E-2</v>
      </c>
      <c r="I16" s="126">
        <v>2.5999999999999999E-2</v>
      </c>
      <c r="J16" s="194">
        <v>14</v>
      </c>
      <c r="K16" s="127">
        <v>730</v>
      </c>
      <c r="L16" s="161"/>
      <c r="M16" s="127">
        <f t="shared" si="0"/>
        <v>10220</v>
      </c>
      <c r="N16" s="128">
        <f t="shared" si="1"/>
        <v>54980.534</v>
      </c>
      <c r="O16" s="162"/>
      <c r="P16" s="126">
        <f t="shared" si="2"/>
        <v>3.0303030303030304E-2</v>
      </c>
      <c r="Q16" s="126">
        <f t="shared" si="3"/>
        <v>0.11119573495811119</v>
      </c>
      <c r="R16" s="128">
        <f>'Est. Cust. Naci.'!AV17</f>
        <v>6136.7457892518596</v>
      </c>
      <c r="S16" s="128">
        <f>'Resumo 100%'!G60</f>
        <v>6136.7457892518596</v>
      </c>
      <c r="T16" s="68"/>
      <c r="U16" s="68"/>
      <c r="V16" s="68"/>
      <c r="W16" s="68"/>
      <c r="X16" s="132"/>
      <c r="Y16" s="132"/>
      <c r="Z16" s="132"/>
      <c r="AA16" s="132"/>
      <c r="AB16" s="112"/>
    </row>
    <row r="17" spans="1:28" ht="75" customHeight="1" x14ac:dyDescent="0.25">
      <c r="A17" s="2">
        <v>12</v>
      </c>
      <c r="C17" s="5" t="s">
        <v>121</v>
      </c>
      <c r="D17" s="1">
        <v>84186999</v>
      </c>
      <c r="E17" s="124">
        <v>0.126</v>
      </c>
      <c r="F17" s="126">
        <v>9.7500000000000003E-2</v>
      </c>
      <c r="G17" s="125">
        <v>2.1000000000000001E-2</v>
      </c>
      <c r="H17" s="126">
        <v>9.6500000000000002E-2</v>
      </c>
      <c r="I17" s="126">
        <v>2.5999999999999999E-2</v>
      </c>
      <c r="J17" s="194">
        <v>45</v>
      </c>
      <c r="K17" s="127">
        <v>240</v>
      </c>
      <c r="L17" s="161"/>
      <c r="M17" s="127">
        <f t="shared" si="0"/>
        <v>10800</v>
      </c>
      <c r="N17" s="128">
        <f t="shared" si="1"/>
        <v>58100.759999999995</v>
      </c>
      <c r="O17" s="162"/>
      <c r="P17" s="126">
        <f t="shared" si="2"/>
        <v>9.7402597402597407E-2</v>
      </c>
      <c r="Q17" s="126">
        <f t="shared" si="3"/>
        <v>3.655750190403656E-2</v>
      </c>
      <c r="R17" s="128">
        <f>'Est. Cust. Naci.'!AV18</f>
        <v>2017.5602594800632</v>
      </c>
      <c r="S17" s="128">
        <f>'Resumo 100%'!G61</f>
        <v>2017.5602594800632</v>
      </c>
      <c r="T17" s="68"/>
      <c r="U17" s="68"/>
      <c r="V17" s="68"/>
      <c r="W17" s="68"/>
      <c r="X17" s="132"/>
      <c r="Y17" s="132"/>
      <c r="Z17" s="132"/>
      <c r="AA17" s="132"/>
      <c r="AB17" s="112"/>
    </row>
    <row r="18" spans="1:28" ht="75" customHeight="1" x14ac:dyDescent="0.25">
      <c r="A18" s="2">
        <v>13</v>
      </c>
      <c r="C18" s="5" t="s">
        <v>122</v>
      </c>
      <c r="D18" s="123">
        <v>84186999</v>
      </c>
      <c r="E18" s="124">
        <v>0.126</v>
      </c>
      <c r="F18" s="126">
        <v>9.7500000000000003E-2</v>
      </c>
      <c r="G18" s="125">
        <v>2.1000000000000001E-2</v>
      </c>
      <c r="H18" s="126">
        <v>9.6500000000000002E-2</v>
      </c>
      <c r="I18" s="126">
        <v>2.5999999999999999E-2</v>
      </c>
      <c r="J18" s="194">
        <v>20</v>
      </c>
      <c r="K18" s="127">
        <v>240</v>
      </c>
      <c r="L18" s="127"/>
      <c r="M18" s="127">
        <f t="shared" si="0"/>
        <v>4800</v>
      </c>
      <c r="N18" s="127">
        <f t="shared" si="1"/>
        <v>25822.559999999998</v>
      </c>
      <c r="O18" s="162"/>
      <c r="P18" s="126">
        <f t="shared" si="2"/>
        <v>4.3290043290043288E-2</v>
      </c>
      <c r="Q18" s="126">
        <f t="shared" si="3"/>
        <v>3.655750190403656E-2</v>
      </c>
      <c r="R18" s="128">
        <f>'Est. Cust. Naci.'!AV19</f>
        <v>2017.5602594800632</v>
      </c>
      <c r="S18" s="162"/>
      <c r="T18" s="68"/>
      <c r="U18" s="68"/>
      <c r="V18" s="68"/>
      <c r="W18" s="68"/>
      <c r="X18" s="132"/>
      <c r="Y18" s="132"/>
      <c r="Z18" s="132"/>
      <c r="AA18" s="132"/>
      <c r="AB18" s="112"/>
    </row>
    <row r="19" spans="1:28" ht="57" customHeight="1" x14ac:dyDescent="0.25">
      <c r="A19" s="2">
        <v>14</v>
      </c>
      <c r="C19" s="5" t="s">
        <v>123</v>
      </c>
      <c r="D19" s="123">
        <v>84186999</v>
      </c>
      <c r="E19" s="124">
        <v>0.126</v>
      </c>
      <c r="F19" s="126">
        <v>9.7500000000000003E-2</v>
      </c>
      <c r="G19" s="125">
        <v>2.1000000000000001E-2</v>
      </c>
      <c r="H19" s="126">
        <v>9.6500000000000002E-2</v>
      </c>
      <c r="I19" s="126">
        <v>2.5999999999999999E-2</v>
      </c>
      <c r="J19" s="195">
        <v>36</v>
      </c>
      <c r="K19" s="127">
        <v>243</v>
      </c>
      <c r="L19" s="127"/>
      <c r="M19" s="127">
        <f t="shared" si="0"/>
        <v>8748</v>
      </c>
      <c r="N19" s="127">
        <f t="shared" si="1"/>
        <v>47061.615599999997</v>
      </c>
      <c r="P19" s="126">
        <f t="shared" si="2"/>
        <v>7.792207792207792E-2</v>
      </c>
      <c r="Q19" s="126">
        <f t="shared" si="3"/>
        <v>3.7014470677837016E-2</v>
      </c>
      <c r="R19" s="128">
        <f>'Est. Cust. Naci.'!AV20</f>
        <v>2042.7797627235641</v>
      </c>
    </row>
    <row r="20" spans="1:28" x14ac:dyDescent="0.25">
      <c r="A20" s="2">
        <v>15</v>
      </c>
      <c r="C20" s="5" t="s">
        <v>124</v>
      </c>
      <c r="D20" s="123">
        <v>84186999</v>
      </c>
      <c r="E20" s="124">
        <v>0.126</v>
      </c>
      <c r="F20" s="126">
        <v>9.7500000000000003E-2</v>
      </c>
      <c r="G20" s="125">
        <v>2.1000000000000001E-2</v>
      </c>
      <c r="H20" s="126">
        <v>9.6500000000000002E-2</v>
      </c>
      <c r="I20" s="126">
        <v>2.5999999999999999E-2</v>
      </c>
      <c r="J20" s="195">
        <v>5</v>
      </c>
      <c r="K20" s="127">
        <v>113</v>
      </c>
      <c r="L20" s="127"/>
      <c r="M20" s="127">
        <f t="shared" si="0"/>
        <v>565</v>
      </c>
      <c r="N20" s="127">
        <f t="shared" si="1"/>
        <v>3039.5304999999998</v>
      </c>
      <c r="P20" s="126">
        <f t="shared" si="2"/>
        <v>1.0822510822510822E-2</v>
      </c>
      <c r="Q20" s="126">
        <f t="shared" si="3"/>
        <v>1.7212490479817214E-2</v>
      </c>
      <c r="R20" s="128">
        <f>'Est. Cust. Naci.'!AV21</f>
        <v>949.93462217186311</v>
      </c>
    </row>
    <row r="21" spans="1:28" x14ac:dyDescent="0.25">
      <c r="A21" s="2">
        <v>16</v>
      </c>
      <c r="C21" s="5" t="s">
        <v>125</v>
      </c>
      <c r="D21" s="123">
        <v>84186999</v>
      </c>
      <c r="E21" s="124">
        <v>0.126</v>
      </c>
      <c r="F21" s="126">
        <v>9.7500000000000003E-2</v>
      </c>
      <c r="G21" s="125">
        <v>2.1000000000000001E-2</v>
      </c>
      <c r="H21" s="126">
        <v>9.6500000000000002E-2</v>
      </c>
      <c r="I21" s="126">
        <v>2.5999999999999999E-2</v>
      </c>
      <c r="J21" s="195">
        <v>2</v>
      </c>
      <c r="K21" s="127">
        <v>339</v>
      </c>
      <c r="L21" s="127"/>
      <c r="M21" s="127">
        <f t="shared" si="0"/>
        <v>678</v>
      </c>
      <c r="N21" s="127">
        <f t="shared" si="1"/>
        <v>3647.4366</v>
      </c>
      <c r="P21" s="126">
        <f t="shared" si="2"/>
        <v>4.329004329004329E-3</v>
      </c>
      <c r="Q21" s="126">
        <f t="shared" si="3"/>
        <v>5.1637471439451639E-2</v>
      </c>
      <c r="R21" s="128">
        <f>'Est. Cust. Naci.'!AV22</f>
        <v>2849.8038665155896</v>
      </c>
    </row>
    <row r="22" spans="1:28" x14ac:dyDescent="0.25">
      <c r="A22" s="2">
        <v>17</v>
      </c>
      <c r="C22" s="5" t="s">
        <v>126</v>
      </c>
      <c r="D22" s="123">
        <v>84186999</v>
      </c>
      <c r="E22" s="124">
        <v>0.126</v>
      </c>
      <c r="F22" s="126">
        <v>9.7500000000000003E-2</v>
      </c>
      <c r="G22" s="125">
        <v>2.1000000000000001E-2</v>
      </c>
      <c r="H22" s="126">
        <v>9.6500000000000002E-2</v>
      </c>
      <c r="I22" s="126">
        <v>2.5999999999999999E-2</v>
      </c>
      <c r="J22" s="195">
        <v>13</v>
      </c>
      <c r="K22" s="127">
        <v>243</v>
      </c>
      <c r="L22" s="127"/>
      <c r="M22" s="127">
        <f t="shared" si="0"/>
        <v>3159</v>
      </c>
      <c r="N22" s="127">
        <f t="shared" si="1"/>
        <v>16994.472299999998</v>
      </c>
      <c r="P22" s="126">
        <f t="shared" si="2"/>
        <v>2.813852813852814E-2</v>
      </c>
      <c r="Q22" s="126">
        <f t="shared" si="3"/>
        <v>3.7014470677837016E-2</v>
      </c>
      <c r="R22" s="128">
        <f>'Est. Cust. Naci.'!AV23</f>
        <v>2042.7797627235636</v>
      </c>
    </row>
    <row r="23" spans="1:28" x14ac:dyDescent="0.25">
      <c r="A23" s="2">
        <v>18</v>
      </c>
      <c r="C23" s="195" t="s">
        <v>109</v>
      </c>
      <c r="D23" s="123">
        <v>84186999</v>
      </c>
      <c r="E23" s="124">
        <v>0.126</v>
      </c>
      <c r="F23" s="126">
        <v>9.7500000000000003E-2</v>
      </c>
      <c r="G23" s="125">
        <v>2.1000000000000001E-2</v>
      </c>
      <c r="H23" s="126">
        <v>9.6500000000000002E-2</v>
      </c>
      <c r="I23" s="126">
        <v>2.5999999999999999E-2</v>
      </c>
      <c r="J23" s="195">
        <v>5</v>
      </c>
      <c r="K23" s="127">
        <v>95</v>
      </c>
      <c r="L23" s="127"/>
      <c r="M23" s="127">
        <f t="shared" si="0"/>
        <v>475</v>
      </c>
      <c r="N23" s="127">
        <f t="shared" si="1"/>
        <v>2555.3575000000001</v>
      </c>
      <c r="P23" s="126">
        <f t="shared" si="2"/>
        <v>1.0822510822510822E-2</v>
      </c>
      <c r="Q23" s="126">
        <f t="shared" si="3"/>
        <v>1.4470677837014471E-2</v>
      </c>
      <c r="R23" s="128">
        <f>'Est. Cust. Naci.'!AV24</f>
        <v>798.61760271085836</v>
      </c>
      <c r="S23"/>
    </row>
    <row r="24" spans="1:28" x14ac:dyDescent="0.25">
      <c r="C24" s="195" t="s">
        <v>109</v>
      </c>
      <c r="D24" s="123">
        <v>84186999</v>
      </c>
      <c r="E24" s="124">
        <v>0.126</v>
      </c>
      <c r="F24" s="126">
        <v>9.7500000000000003E-2</v>
      </c>
      <c r="G24" s="125">
        <v>2.1000000000000001E-2</v>
      </c>
      <c r="H24" s="126">
        <v>9.6500000000000002E-2</v>
      </c>
      <c r="I24" s="126">
        <v>2.5999999999999999E-2</v>
      </c>
      <c r="J24" s="195">
        <v>2</v>
      </c>
      <c r="K24" s="127">
        <v>99</v>
      </c>
      <c r="L24" s="127"/>
      <c r="M24" s="127">
        <f t="shared" ref="M24" si="4">K24*J24</f>
        <v>198</v>
      </c>
      <c r="N24" s="127">
        <f t="shared" ref="N24" si="5">M24*$N$4</f>
        <v>1065.1805999999999</v>
      </c>
      <c r="P24" s="126">
        <f t="shared" ref="P24" si="6">(J24*$P$4)/$J$4</f>
        <v>4.329004329004329E-3</v>
      </c>
      <c r="Q24" s="126">
        <f t="shared" ref="Q24" si="7">(K24*$Q$4)/$K$4</f>
        <v>1.5079969535415081E-2</v>
      </c>
      <c r="R24" s="128">
        <f>'Est. Cust. Naci.'!AV25</f>
        <v>832.24360703552611</v>
      </c>
    </row>
    <row r="27" spans="1:28" x14ac:dyDescent="0.25">
      <c r="M27" s="4"/>
    </row>
    <row r="28" spans="1:28" x14ac:dyDescent="0.25">
      <c r="E28" s="1" t="e" vm="1">
        <v>#VALUE!</v>
      </c>
      <c r="F28" s="188">
        <v>5.3796999999999997</v>
      </c>
    </row>
  </sheetData>
  <phoneticPr fontId="15" type="noConversion"/>
  <pageMargins left="0.70866141732283472" right="0.23622047244094491" top="0.74803149606299213" bottom="0.74803149606299213" header="0.31496062992125984" footer="0.31496062992125984"/>
  <pageSetup paperSize="9" scale="63" fitToHeight="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4502-76C4-43B2-B029-6AE535E32796}">
  <dimension ref="A1:BC44"/>
  <sheetViews>
    <sheetView topLeftCell="B1" zoomScale="90" zoomScaleNormal="90" workbookViewId="0">
      <selection activeCell="AV4" sqref="AV4"/>
    </sheetView>
  </sheetViews>
  <sheetFormatPr defaultRowHeight="15" customHeight="1" x14ac:dyDescent="0.25"/>
  <cols>
    <col min="1" max="1" width="9.140625" hidden="1" customWidth="1"/>
    <col min="2" max="2" width="9.140625" style="2" customWidth="1"/>
    <col min="3" max="3" width="55.42578125" style="49" customWidth="1"/>
    <col min="4" max="6" width="8.140625" hidden="1" customWidth="1"/>
    <col min="7" max="7" width="10.85546875" bestFit="1" customWidth="1"/>
    <col min="8" max="8" width="20.28515625" customWidth="1"/>
    <col min="9" max="9" width="9.140625" customWidth="1"/>
    <col min="10" max="10" width="9.5703125" bestFit="1" customWidth="1"/>
    <col min="11" max="11" width="13.28515625" bestFit="1" customWidth="1"/>
    <col min="12" max="12" width="20" customWidth="1"/>
    <col min="13" max="13" width="15.5703125" hidden="1" customWidth="1"/>
    <col min="14" max="14" width="16" bestFit="1" customWidth="1"/>
    <col min="15" max="15" width="19.140625" customWidth="1"/>
    <col min="16" max="16" width="19.42578125" customWidth="1"/>
    <col min="17" max="17" width="20.140625" customWidth="1"/>
    <col min="18" max="18" width="20.140625" bestFit="1" customWidth="1"/>
    <col min="19" max="22" width="18.85546875" bestFit="1" customWidth="1"/>
    <col min="23" max="23" width="19.28515625" bestFit="1" customWidth="1"/>
    <col min="24" max="24" width="19.28515625" hidden="1" customWidth="1"/>
    <col min="25" max="25" width="14.5703125" bestFit="1" customWidth="1"/>
    <col min="26" max="27" width="19.7109375" customWidth="1"/>
    <col min="28" max="29" width="16.7109375" customWidth="1"/>
    <col min="30" max="30" width="15" customWidth="1"/>
    <col min="31" max="31" width="14.5703125" bestFit="1" customWidth="1"/>
    <col min="32" max="32" width="22.7109375" customWidth="1"/>
    <col min="33" max="33" width="21.28515625" customWidth="1"/>
    <col min="34" max="34" width="16.7109375" customWidth="1"/>
    <col min="35" max="35" width="12.7109375" bestFit="1" customWidth="1"/>
    <col min="36" max="36" width="18.5703125" customWidth="1"/>
    <col min="37" max="37" width="16.7109375" bestFit="1" customWidth="1"/>
    <col min="38" max="38" width="14.5703125" bestFit="1" customWidth="1"/>
    <col min="39" max="39" width="18.28515625" bestFit="1" customWidth="1"/>
    <col min="40" max="40" width="19.85546875" customWidth="1"/>
    <col min="41" max="41" width="16.7109375" bestFit="1" customWidth="1"/>
    <col min="42" max="42" width="24.85546875" bestFit="1" customWidth="1"/>
    <col min="43" max="43" width="22" bestFit="1" customWidth="1"/>
    <col min="44" max="47" width="19.7109375" hidden="1" customWidth="1"/>
    <col min="48" max="48" width="19.7109375" customWidth="1"/>
    <col min="49" max="51" width="19.7109375" hidden="1" customWidth="1"/>
    <col min="52" max="52" width="19.7109375" customWidth="1"/>
    <col min="53" max="53" width="14.28515625" hidden="1" customWidth="1"/>
    <col min="54" max="55" width="16.28515625" customWidth="1"/>
  </cols>
  <sheetData>
    <row r="1" spans="1:55" x14ac:dyDescent="0.25">
      <c r="A1" s="73"/>
      <c r="B1" s="73"/>
      <c r="C1" s="165"/>
      <c r="D1" s="73"/>
      <c r="E1" s="73"/>
      <c r="F1" s="73"/>
      <c r="G1" s="73"/>
      <c r="H1" s="73"/>
      <c r="I1" s="178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4"/>
      <c r="AR1" s="74"/>
      <c r="AS1" s="74"/>
      <c r="AT1" s="74"/>
      <c r="AU1" s="74"/>
      <c r="AV1" s="74"/>
      <c r="AW1" s="74"/>
      <c r="AX1" s="74"/>
      <c r="AY1" s="74"/>
      <c r="AZ1" s="74"/>
    </row>
    <row r="2" spans="1:55" x14ac:dyDescent="0.25">
      <c r="A2" s="75"/>
      <c r="B2" s="172"/>
      <c r="C2" s="166" t="s">
        <v>53</v>
      </c>
      <c r="D2" s="76"/>
      <c r="E2" s="76"/>
      <c r="F2" s="76"/>
      <c r="G2" s="76"/>
      <c r="H2" s="76"/>
      <c r="I2" s="175"/>
      <c r="J2" s="76"/>
      <c r="K2" s="76"/>
      <c r="L2" s="77" t="s">
        <v>54</v>
      </c>
      <c r="M2" s="77"/>
      <c r="N2" s="77"/>
      <c r="O2" s="77"/>
      <c r="P2" s="78"/>
      <c r="Q2" s="78"/>
      <c r="R2" s="79" t="s">
        <v>22</v>
      </c>
      <c r="S2" s="80"/>
      <c r="T2" s="80"/>
      <c r="U2" s="80"/>
      <c r="V2" s="80"/>
      <c r="W2" s="80"/>
      <c r="X2" s="80"/>
      <c r="Y2" s="81" t="s">
        <v>31</v>
      </c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2"/>
      <c r="AR2" s="82"/>
      <c r="AS2" s="82"/>
      <c r="AT2" s="82"/>
      <c r="AU2" s="82"/>
      <c r="AV2" s="82"/>
      <c r="AW2" s="82"/>
      <c r="AX2" s="82"/>
      <c r="AY2" s="82"/>
      <c r="AZ2" s="82"/>
    </row>
    <row r="3" spans="1:55" ht="60" x14ac:dyDescent="0.25">
      <c r="A3" s="83"/>
      <c r="B3" s="84" t="s">
        <v>55</v>
      </c>
      <c r="C3" s="167" t="s">
        <v>10</v>
      </c>
      <c r="D3" s="85" t="s">
        <v>56</v>
      </c>
      <c r="E3" s="85" t="s">
        <v>57</v>
      </c>
      <c r="F3" s="85" t="s">
        <v>58</v>
      </c>
      <c r="G3" s="84" t="s">
        <v>41</v>
      </c>
      <c r="H3" s="86" t="s">
        <v>59</v>
      </c>
      <c r="I3" s="177" t="s">
        <v>50</v>
      </c>
      <c r="J3" s="87" t="s">
        <v>60</v>
      </c>
      <c r="K3" s="85" t="s">
        <v>61</v>
      </c>
      <c r="L3" s="88" t="s">
        <v>62</v>
      </c>
      <c r="M3" s="88" t="s">
        <v>63</v>
      </c>
      <c r="N3" s="88" t="s">
        <v>64</v>
      </c>
      <c r="O3" s="88" t="s">
        <v>65</v>
      </c>
      <c r="P3" s="88" t="s">
        <v>21</v>
      </c>
      <c r="Q3" s="88" t="s">
        <v>105</v>
      </c>
      <c r="R3" s="89" t="s">
        <v>66</v>
      </c>
      <c r="S3" s="90" t="s">
        <v>43</v>
      </c>
      <c r="T3" s="90" t="s">
        <v>27</v>
      </c>
      <c r="U3" s="90" t="s">
        <v>28</v>
      </c>
      <c r="V3" s="90" t="s">
        <v>29</v>
      </c>
      <c r="W3" s="89" t="s">
        <v>67</v>
      </c>
      <c r="X3" s="89" t="s">
        <v>68</v>
      </c>
      <c r="Y3" s="179" t="str">
        <f>'Rateio Custos Fixos'!F10</f>
        <v>TAXA SISCOMEX</v>
      </c>
      <c r="Z3" s="179" t="str">
        <f>'Rateio Custos Fixos'!G10</f>
        <v>ANUENCIA DE LI</v>
      </c>
      <c r="AA3" s="179" t="str">
        <f>'Rateio Custos Fixos'!H10</f>
        <v>DIFERENÇA DO VALOR DO FRETE</v>
      </c>
      <c r="AB3" s="179" t="str">
        <f>'Rateio Custos Fixos'!I10</f>
        <v>T.H.C|  CAPATAZIA</v>
      </c>
      <c r="AC3" s="179" t="str">
        <f>'Rateio Custos Fixos'!J10</f>
        <v>LICENÇA DE IMPORTAÇÃO</v>
      </c>
      <c r="AD3" s="179" t="str">
        <f>'Rateio Custos Fixos'!K10</f>
        <v>ISPS</v>
      </c>
      <c r="AE3" s="179" t="str">
        <f>'Rateio Custos Fixos'!L10</f>
        <v>DAMAGE PROTECTION</v>
      </c>
      <c r="AF3" s="179" t="str">
        <f>'Rateio Custos Fixos'!M10</f>
        <v>DESCONSOLIDAÇÃO</v>
      </c>
      <c r="AG3" s="179" t="str">
        <f>'Rateio Custos Fixos'!N10</f>
        <v>SERVIÇO DE ENTREGA DE CONTAINER</v>
      </c>
      <c r="AH3" s="179" t="str">
        <f>'Rateio Custos Fixos'!O10</f>
        <v>Delivery order</v>
      </c>
      <c r="AI3" s="179" t="str">
        <f>'Rateio Custos Fixos'!P10</f>
        <v>AFRMM</v>
      </c>
      <c r="AJ3" s="179" t="str">
        <f>'Rateio Custos Fixos'!Q10</f>
        <v xml:space="preserve">ARMAZENAGEM </v>
      </c>
      <c r="AK3" s="179" t="str">
        <f>'Rateio Custos Fixos'!R10</f>
        <v>Import logistic fee</v>
      </c>
      <c r="AL3" s="179" t="str">
        <f>'Rateio Custos Fixos'!S10</f>
        <v>Drop off</v>
      </c>
      <c r="AM3" s="179" t="str">
        <f>'Rateio Custos Fixos'!T10</f>
        <v>TAXA</v>
      </c>
      <c r="AN3" s="179" t="str">
        <f>'Rateio Custos Fixos'!U10</f>
        <v>FRETE RODOVIÁRIO</v>
      </c>
      <c r="AO3" s="179" t="str">
        <f>'Rateio Custos Fixos'!V10</f>
        <v>DESEMBARAÇO ADUANEIRO</v>
      </c>
      <c r="AP3" s="91" t="s">
        <v>84</v>
      </c>
      <c r="AQ3" s="92" t="s">
        <v>34</v>
      </c>
      <c r="AR3" s="92" t="s">
        <v>85</v>
      </c>
      <c r="AS3" s="92" t="s">
        <v>85</v>
      </c>
      <c r="AT3" s="92" t="s">
        <v>86</v>
      </c>
      <c r="AU3" s="92" t="s">
        <v>87</v>
      </c>
      <c r="AV3" s="92" t="s">
        <v>88</v>
      </c>
      <c r="AW3" s="92" t="s">
        <v>89</v>
      </c>
      <c r="AX3" s="92" t="s">
        <v>90</v>
      </c>
      <c r="AY3" s="92" t="s">
        <v>91</v>
      </c>
      <c r="AZ3" s="92"/>
      <c r="BA3" s="92" t="s">
        <v>92</v>
      </c>
      <c r="BB3" s="3"/>
    </row>
    <row r="4" spans="1:55" ht="18.75" x14ac:dyDescent="0.25">
      <c r="A4" s="83" t="s">
        <v>55</v>
      </c>
      <c r="B4" s="83"/>
      <c r="C4" s="168"/>
      <c r="D4" s="93"/>
      <c r="E4" s="93"/>
      <c r="F4" s="93"/>
      <c r="G4" s="93"/>
      <c r="H4" s="94"/>
      <c r="I4" s="174"/>
      <c r="J4" s="95"/>
      <c r="K4" s="96"/>
      <c r="L4" s="97">
        <f>SUM(L7:L25)</f>
        <v>817827.3737</v>
      </c>
      <c r="M4" s="97">
        <v>4.8887</v>
      </c>
      <c r="N4" s="98">
        <v>0</v>
      </c>
      <c r="O4" s="97">
        <f>SUM(O7:O25)</f>
        <v>59230.494999999981</v>
      </c>
      <c r="P4" s="99">
        <f>SUM(P7:P25)</f>
        <v>877057.86870000011</v>
      </c>
      <c r="Q4" s="99">
        <f>SUM(P4+R4)</f>
        <v>987567.16015620006</v>
      </c>
      <c r="R4" s="185">
        <f t="shared" ref="R4:W4" si="0">SUM(R7:R25)</f>
        <v>110509.29145619999</v>
      </c>
      <c r="S4" s="185">
        <f t="shared" si="0"/>
        <v>96287.798115229496</v>
      </c>
      <c r="T4" s="185">
        <f t="shared" si="0"/>
        <v>18418.215242700004</v>
      </c>
      <c r="U4" s="185">
        <f t="shared" si="0"/>
        <v>84636.084329550024</v>
      </c>
      <c r="V4" s="185">
        <f t="shared" si="0"/>
        <v>35082.31474799999</v>
      </c>
      <c r="W4" s="100">
        <f t="shared" si="0"/>
        <v>344933.70389167947</v>
      </c>
      <c r="X4" s="100"/>
      <c r="Y4" s="101">
        <f>'Rateio Custos Fixos'!F11</f>
        <v>224</v>
      </c>
      <c r="Z4" s="102">
        <f>'Rateio Custos Fixos'!G11</f>
        <v>107.06</v>
      </c>
      <c r="AA4" s="102">
        <f>'Rateio Custos Fixos'!H11</f>
        <v>11657.97</v>
      </c>
      <c r="AB4" s="102">
        <f>'Rateio Custos Fixos'!I11</f>
        <v>0</v>
      </c>
      <c r="AC4" s="102">
        <f>'Rateio Custos Fixos'!J11</f>
        <v>130</v>
      </c>
      <c r="AD4" s="102">
        <f>'Rateio Custos Fixos'!K11</f>
        <v>0</v>
      </c>
      <c r="AE4" s="102">
        <f>'Rateio Custos Fixos'!L11</f>
        <v>0</v>
      </c>
      <c r="AF4" s="102">
        <f>'Rateio Custos Fixos'!M11</f>
        <v>0</v>
      </c>
      <c r="AG4" s="102">
        <f>'Rateio Custos Fixos'!N11</f>
        <v>0</v>
      </c>
      <c r="AH4" s="102">
        <f>'Rateio Custos Fixos'!O11</f>
        <v>0</v>
      </c>
      <c r="AI4" s="187">
        <f>SUM(AI7:AI18)</f>
        <v>4283.0281385281378</v>
      </c>
      <c r="AJ4" s="173">
        <f>'Rateio Custos Fixos'!Q11</f>
        <v>24000</v>
      </c>
      <c r="AK4" s="101">
        <f>'Rateio Custos Fixos'!R11</f>
        <v>0</v>
      </c>
      <c r="AL4" s="101">
        <f>'Rateio Custos Fixos'!S11</f>
        <v>0</v>
      </c>
      <c r="AM4" s="101">
        <f>'Rateio Custos Fixos'!T11</f>
        <v>0</v>
      </c>
      <c r="AN4" s="101">
        <f>'Rateio Custos Fixos'!U11</f>
        <v>12200</v>
      </c>
      <c r="AO4" s="101">
        <f>'Rateio Custos Fixos'!V11</f>
        <v>1390</v>
      </c>
      <c r="AP4" s="101">
        <f>SUM(AP7:AP25)</f>
        <v>55973.128268398264</v>
      </c>
      <c r="AQ4" s="102">
        <f>SUM(AP4+W4+P4)</f>
        <v>1277964.700860078</v>
      </c>
      <c r="AR4" s="102"/>
      <c r="AS4" s="102"/>
      <c r="AT4" s="102"/>
      <c r="AU4" s="102"/>
      <c r="AV4" s="102"/>
      <c r="AW4" s="102"/>
      <c r="AX4" s="102"/>
      <c r="AY4" s="102"/>
      <c r="AZ4" s="102"/>
    </row>
    <row r="5" spans="1:55" ht="18.75" x14ac:dyDescent="0.25">
      <c r="A5" s="5" t="s">
        <v>93</v>
      </c>
      <c r="B5" s="5"/>
      <c r="C5" s="169"/>
      <c r="D5" s="103"/>
      <c r="E5" s="103"/>
      <c r="F5" s="103"/>
      <c r="G5" s="103"/>
      <c r="H5" s="104"/>
      <c r="I5" s="176"/>
      <c r="J5" s="105"/>
      <c r="K5" s="181" t="e" vm="1">
        <v>#VALUE!</v>
      </c>
      <c r="L5" s="191">
        <v>5.3796999999999997</v>
      </c>
      <c r="M5" s="106"/>
      <c r="N5" s="107"/>
      <c r="O5" s="181"/>
      <c r="P5" s="182">
        <v>84186999</v>
      </c>
      <c r="Q5" s="108"/>
      <c r="R5" s="183">
        <f>'LISTA DE COMPRAS'!E6</f>
        <v>0.126</v>
      </c>
      <c r="S5" s="184">
        <f>'LISTA DE COMPRAS'!F6</f>
        <v>9.7500000000000003E-2</v>
      </c>
      <c r="T5" s="183">
        <f>'LISTA DE COMPRAS'!G6</f>
        <v>2.1000000000000001E-2</v>
      </c>
      <c r="U5" s="184">
        <f>'LISTA DE COMPRAS'!H6</f>
        <v>9.6500000000000002E-2</v>
      </c>
      <c r="V5" s="183">
        <f>'LISTA DE COMPRAS'!I6</f>
        <v>0.04</v>
      </c>
      <c r="W5" s="134"/>
      <c r="X5" s="134" t="e">
        <f>SUM(#REF!,X7)</f>
        <v>#REF!</v>
      </c>
      <c r="Y5" s="101"/>
      <c r="Z5" s="102"/>
      <c r="AA5" s="102"/>
      <c r="AB5" s="102"/>
      <c r="AC5" s="102"/>
      <c r="AD5" s="102"/>
      <c r="AE5" s="102"/>
      <c r="AF5" s="102"/>
      <c r="AG5" s="102"/>
      <c r="AH5" s="102"/>
      <c r="AI5" s="109" t="s">
        <v>94</v>
      </c>
      <c r="AJ5" s="110"/>
      <c r="AK5" s="102"/>
      <c r="AL5" s="102"/>
      <c r="AM5" s="102"/>
      <c r="AN5" s="102"/>
      <c r="AO5" s="102"/>
      <c r="AP5" s="102"/>
      <c r="AQ5" s="102"/>
      <c r="AR5" s="102">
        <v>21877.4247962101</v>
      </c>
      <c r="AS5" s="102" t="e">
        <f>AP5+X5+Q4+#REF!</f>
        <v>#REF!</v>
      </c>
      <c r="AT5" s="102"/>
      <c r="AU5" s="102"/>
      <c r="AV5" s="102"/>
      <c r="AW5" s="102"/>
      <c r="AX5" s="102"/>
      <c r="AY5" s="102"/>
      <c r="AZ5" s="102"/>
    </row>
    <row r="6" spans="1:55" ht="18.75" x14ac:dyDescent="0.25">
      <c r="A6" s="5"/>
      <c r="B6" s="5"/>
      <c r="C6" s="169"/>
      <c r="D6" s="103"/>
      <c r="E6" s="103"/>
      <c r="F6" s="103"/>
      <c r="G6" s="103"/>
      <c r="H6" s="104"/>
      <c r="I6" s="176"/>
      <c r="J6" s="105"/>
      <c r="K6" s="181"/>
      <c r="L6" s="106"/>
      <c r="M6" s="106"/>
      <c r="N6" s="107"/>
      <c r="O6" s="181"/>
      <c r="P6" s="182">
        <v>84189900</v>
      </c>
      <c r="Q6" s="108"/>
      <c r="R6" s="183">
        <f>'LISTA DE COMPRAS'!E12</f>
        <v>0.126</v>
      </c>
      <c r="S6" s="184">
        <f>'LISTA DE COMPRAS'!F12</f>
        <v>9.7500000000000003E-2</v>
      </c>
      <c r="T6" s="183">
        <f>'LISTA DE COMPRAS'!G12</f>
        <v>2.1000000000000001E-2</v>
      </c>
      <c r="U6" s="184">
        <f>'LISTA DE COMPRAS'!H12</f>
        <v>9.6500000000000002E-2</v>
      </c>
      <c r="V6" s="183">
        <f>'LISTA DE COMPRAS'!I12</f>
        <v>2.5999999999999999E-2</v>
      </c>
      <c r="W6" s="134"/>
      <c r="X6" s="134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9"/>
      <c r="AJ6" s="110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</row>
    <row r="7" spans="1:55" ht="39" customHeight="1" x14ac:dyDescent="0.25">
      <c r="A7" t="s">
        <v>93</v>
      </c>
      <c r="B7" s="2">
        <f>'LISTA DE COMPRAS'!A6</f>
        <v>1</v>
      </c>
      <c r="C7" s="170" t="str">
        <f>'LISTA DE COMPRAS'!C6</f>
        <v>BAC 51 LR (127V)</v>
      </c>
      <c r="G7" s="111">
        <f>'LISTA DE COMPRAS'!D6</f>
        <v>84186999</v>
      </c>
      <c r="H7" s="2">
        <f>'LISTA DE COMPRAS'!J6</f>
        <v>75</v>
      </c>
      <c r="I7" s="112">
        <f>'LISTA DE COMPRAS'!Q6</f>
        <v>4.0974866717440973E-2</v>
      </c>
      <c r="J7" s="10">
        <f>'LISTA DE COMPRAS'!K6</f>
        <v>269</v>
      </c>
      <c r="K7" s="10">
        <f>H7*J7</f>
        <v>20175</v>
      </c>
      <c r="L7" s="180">
        <f>K7*L$5</f>
        <v>108535.44749999999</v>
      </c>
      <c r="M7" s="9">
        <f>L7*50%</f>
        <v>54267.723749999997</v>
      </c>
      <c r="N7" s="4">
        <f t="shared" ref="N7:N13" si="1">$N$4*I7</f>
        <v>0</v>
      </c>
      <c r="O7" s="9">
        <f>'Rateio Custos Fixos'!E12</f>
        <v>9615.3400974025972</v>
      </c>
      <c r="P7" s="9">
        <f t="shared" ref="P7:P13" si="2">SUM(L7,O7)</f>
        <v>118150.7875974026</v>
      </c>
      <c r="Q7" s="9">
        <f>SUM(P7+R7)</f>
        <v>133037.78683467532</v>
      </c>
      <c r="R7" s="9">
        <f t="shared" ref="R7:R22" si="3">$P7*R$5</f>
        <v>14886.999237272727</v>
      </c>
      <c r="S7" s="9">
        <f>$Q7*S$5</f>
        <v>12971.184216380845</v>
      </c>
      <c r="T7" s="9">
        <f t="shared" ref="T7:V22" si="4">$P7*T$5</f>
        <v>2481.1665395454547</v>
      </c>
      <c r="U7" s="9">
        <f t="shared" si="4"/>
        <v>11401.55100314935</v>
      </c>
      <c r="V7" s="9">
        <f t="shared" si="4"/>
        <v>4726.0315038961044</v>
      </c>
      <c r="W7" s="9">
        <f t="shared" ref="W7:W13" si="5">SUM(R7:V7)</f>
        <v>46466.932500244482</v>
      </c>
      <c r="X7" s="9">
        <f>SUM(R13:V13)</f>
        <v>21820.306559830387</v>
      </c>
      <c r="Y7" s="9">
        <f>'Rateio Custos Fixos'!F12</f>
        <v>36.36363636363636</v>
      </c>
      <c r="Z7" s="9">
        <f>'Rateio Custos Fixos'!G12</f>
        <v>17.379870129870131</v>
      </c>
      <c r="AA7" s="9">
        <f>'Rateio Custos Fixos'!H12</f>
        <v>1892.5275974025972</v>
      </c>
      <c r="AB7" s="9">
        <f>'Rateio Custos Fixos'!I12</f>
        <v>0</v>
      </c>
      <c r="AC7" s="9">
        <f>'Rateio Custos Fixos'!J12</f>
        <v>21.103896103896105</v>
      </c>
      <c r="AD7" s="9">
        <f>'Rateio Custos Fixos'!K12</f>
        <v>0</v>
      </c>
      <c r="AE7" s="9">
        <f>'Rateio Custos Fixos'!L12</f>
        <v>0</v>
      </c>
      <c r="AF7" s="9">
        <f>'Rateio Custos Fixos'!M12</f>
        <v>0</v>
      </c>
      <c r="AG7" s="9">
        <f>'Rateio Custos Fixos'!N12</f>
        <v>0</v>
      </c>
      <c r="AH7" s="9">
        <f>'Rateio Custos Fixos'!O12</f>
        <v>0</v>
      </c>
      <c r="AI7" s="9">
        <f>'Rateio Custos Fixos'!P12</f>
        <v>847.56493506493507</v>
      </c>
      <c r="AJ7" s="9">
        <f>'Rateio Custos Fixos'!Q12</f>
        <v>3896.1038961038962</v>
      </c>
      <c r="AK7" s="9">
        <f>'Rateio Custos Fixos'!R12</f>
        <v>0</v>
      </c>
      <c r="AL7" s="9">
        <f>'Rateio Custos Fixos'!S12</f>
        <v>0</v>
      </c>
      <c r="AM7" s="9">
        <f>'Rateio Custos Fixos'!T12</f>
        <v>0</v>
      </c>
      <c r="AN7" s="9">
        <f>'Rateio Custos Fixos'!U12</f>
        <v>1980.5194805194806</v>
      </c>
      <c r="AO7" s="9">
        <f>'Rateio Custos Fixos'!V12</f>
        <v>225.64935064935065</v>
      </c>
      <c r="AP7" s="9">
        <f t="shared" ref="AP7:AP13" si="6">SUM(Y7:AO7)</f>
        <v>8917.2126623376607</v>
      </c>
      <c r="AQ7" s="9">
        <f t="shared" ref="AQ7:AQ13" si="7">AP7+W7+P7</f>
        <v>173534.93275998475</v>
      </c>
      <c r="AR7" s="9">
        <v>2595.3166170147351</v>
      </c>
      <c r="AS7" s="9">
        <f>AP7+X7+P7</f>
        <v>148888.30681957066</v>
      </c>
      <c r="AT7" s="9">
        <f>(AQ7/H7)</f>
        <v>2313.7991034664633</v>
      </c>
      <c r="AU7" s="9">
        <f>AS7/H7</f>
        <v>1985.1774242609422</v>
      </c>
      <c r="AV7" s="9">
        <f>(L7+(L7*AP$29))/H7</f>
        <v>2261.3487908339043</v>
      </c>
      <c r="AW7" s="9" t="e">
        <f>(AS7*#REF!)/'Est. Cust. Naci.'!H7</f>
        <v>#REF!</v>
      </c>
      <c r="AX7" s="9">
        <f>(J7*9)</f>
        <v>2421</v>
      </c>
      <c r="AY7" s="9">
        <f>AX7/2</f>
        <v>1210.5</v>
      </c>
      <c r="AZ7" s="186"/>
      <c r="BA7" s="9">
        <f>AQ7/H7</f>
        <v>2313.7991034664633</v>
      </c>
      <c r="BB7" s="9"/>
      <c r="BC7" s="10"/>
    </row>
    <row r="8" spans="1:55" ht="30" customHeight="1" x14ac:dyDescent="0.25">
      <c r="B8" s="2">
        <v>2</v>
      </c>
      <c r="C8" s="170" t="str">
        <f>'LISTA DE COMPRAS'!C7</f>
        <v>BAC 51 RL (127V)</v>
      </c>
      <c r="G8" s="111">
        <f>'LISTA DE COMPRAS'!D7</f>
        <v>84186999</v>
      </c>
      <c r="H8" s="2">
        <f>'LISTA DE COMPRAS'!J7</f>
        <v>50</v>
      </c>
      <c r="I8" s="112">
        <f>'LISTA DE COMPRAS'!Q7</f>
        <v>4.0974866717440973E-2</v>
      </c>
      <c r="J8" s="10">
        <f>'LISTA DE COMPRAS'!K7</f>
        <v>269</v>
      </c>
      <c r="K8" s="10">
        <f t="shared" ref="K8:K13" si="8">H8*J8</f>
        <v>13450</v>
      </c>
      <c r="L8" s="180">
        <f t="shared" ref="L8:L13" si="9">K8*L$5</f>
        <v>72356.964999999997</v>
      </c>
      <c r="N8" s="4">
        <f t="shared" si="1"/>
        <v>0</v>
      </c>
      <c r="O8" s="9">
        <f>'Rateio Custos Fixos'!E13</f>
        <v>6410.2267316017314</v>
      </c>
      <c r="P8" s="9">
        <f t="shared" si="2"/>
        <v>78767.191731601721</v>
      </c>
      <c r="Q8" s="9">
        <f t="shared" ref="Q8:Q25" si="10">SUM(P8+R8)</f>
        <v>88691.85788978354</v>
      </c>
      <c r="R8" s="9">
        <f t="shared" si="3"/>
        <v>9924.6661581818171</v>
      </c>
      <c r="S8" s="9">
        <f t="shared" ref="S8:S25" si="11">$Q8*S$5</f>
        <v>8647.4561442538961</v>
      </c>
      <c r="T8" s="9">
        <f t="shared" si="4"/>
        <v>1654.1110263636363</v>
      </c>
      <c r="U8" s="9">
        <f t="shared" si="4"/>
        <v>7601.0340020995664</v>
      </c>
      <c r="V8" s="9">
        <f t="shared" si="4"/>
        <v>3150.687669264069</v>
      </c>
      <c r="W8" s="9">
        <f t="shared" si="5"/>
        <v>30977.955000162987</v>
      </c>
      <c r="X8" s="133"/>
      <c r="Y8" s="9">
        <f>'Rateio Custos Fixos'!F13</f>
        <v>24.242424242424242</v>
      </c>
      <c r="Z8" s="9">
        <f>'Rateio Custos Fixos'!G13</f>
        <v>11.586580086580087</v>
      </c>
      <c r="AA8" s="9">
        <f>'Rateio Custos Fixos'!H13</f>
        <v>1261.6850649350649</v>
      </c>
      <c r="AB8" s="9">
        <f>'Rateio Custos Fixos'!I13</f>
        <v>0</v>
      </c>
      <c r="AC8" s="9">
        <f>'Rateio Custos Fixos'!J13</f>
        <v>14.069264069264069</v>
      </c>
      <c r="AD8" s="9">
        <f>'Rateio Custos Fixos'!K13</f>
        <v>0</v>
      </c>
      <c r="AE8" s="9">
        <f>'Rateio Custos Fixos'!L13</f>
        <v>0</v>
      </c>
      <c r="AF8" s="9">
        <f>'Rateio Custos Fixos'!M13</f>
        <v>0</v>
      </c>
      <c r="AG8" s="9">
        <f>'Rateio Custos Fixos'!N13</f>
        <v>0</v>
      </c>
      <c r="AH8" s="9">
        <f>'Rateio Custos Fixos'!O13</f>
        <v>0</v>
      </c>
      <c r="AI8" s="9">
        <f>'Rateio Custos Fixos'!P13</f>
        <v>565.04329004329009</v>
      </c>
      <c r="AJ8" s="9">
        <f>'Rateio Custos Fixos'!Q13</f>
        <v>2597.4025974025972</v>
      </c>
      <c r="AK8" s="9">
        <f>'Rateio Custos Fixos'!R13</f>
        <v>0</v>
      </c>
      <c r="AL8" s="9">
        <f>'Rateio Custos Fixos'!S13</f>
        <v>0</v>
      </c>
      <c r="AM8" s="9">
        <f>'Rateio Custos Fixos'!T13</f>
        <v>0</v>
      </c>
      <c r="AN8" s="9">
        <f>'Rateio Custos Fixos'!U13</f>
        <v>1320.3463203463202</v>
      </c>
      <c r="AO8" s="9">
        <f>'Rateio Custos Fixos'!V13</f>
        <v>150.43290043290042</v>
      </c>
      <c r="AP8" s="9">
        <f t="shared" si="6"/>
        <v>5944.8084415584408</v>
      </c>
      <c r="AQ8" s="9">
        <f t="shared" si="7"/>
        <v>115689.95517332315</v>
      </c>
      <c r="AR8" s="9"/>
      <c r="AS8" s="9"/>
      <c r="AU8" s="113"/>
      <c r="AV8" s="9">
        <f t="shared" ref="AV8:AV13" si="12">(L8+(L8*AP$29))/H8</f>
        <v>2261.3487908339043</v>
      </c>
      <c r="AW8" s="113"/>
      <c r="AX8" s="9">
        <f t="shared" ref="AX8:AX13" si="13">(J8*9)</f>
        <v>2421</v>
      </c>
      <c r="AY8" s="113"/>
      <c r="AZ8" s="186"/>
      <c r="BB8" s="9"/>
      <c r="BC8" s="10"/>
    </row>
    <row r="9" spans="1:55" ht="25.15" customHeight="1" x14ac:dyDescent="0.25">
      <c r="B9" s="2">
        <v>3</v>
      </c>
      <c r="C9" s="170" t="str">
        <f>'LISTA DE COMPRAS'!C8</f>
        <v>BAC 209A (220V)</v>
      </c>
      <c r="G9" s="111">
        <f>'LISTA DE COMPRAS'!D8</f>
        <v>84186999</v>
      </c>
      <c r="H9" s="2">
        <f>'LISTA DE COMPRAS'!J8</f>
        <v>20</v>
      </c>
      <c r="I9" s="112">
        <f>'LISTA DE COMPRAS'!Q8</f>
        <v>6.9459253617669456E-2</v>
      </c>
      <c r="J9" s="10">
        <f>'LISTA DE COMPRAS'!K8</f>
        <v>456</v>
      </c>
      <c r="K9" s="10">
        <f t="shared" si="8"/>
        <v>9120</v>
      </c>
      <c r="L9" s="180">
        <f t="shared" si="9"/>
        <v>49062.863999999994</v>
      </c>
      <c r="N9" s="4">
        <f t="shared" si="1"/>
        <v>0</v>
      </c>
      <c r="O9" s="9">
        <f>'Rateio Custos Fixos'!E14</f>
        <v>2564.0906926406924</v>
      </c>
      <c r="P9" s="9">
        <f t="shared" si="2"/>
        <v>51626.954692640684</v>
      </c>
      <c r="Q9" s="9">
        <f t="shared" si="10"/>
        <v>58131.950983913412</v>
      </c>
      <c r="R9" s="9">
        <f t="shared" si="3"/>
        <v>6504.996291272726</v>
      </c>
      <c r="S9" s="9">
        <f t="shared" si="11"/>
        <v>5667.8652209315578</v>
      </c>
      <c r="T9" s="9">
        <f t="shared" si="4"/>
        <v>1084.1660485454545</v>
      </c>
      <c r="U9" s="9">
        <f t="shared" si="4"/>
        <v>4982.001127839826</v>
      </c>
      <c r="V9" s="9">
        <f t="shared" si="4"/>
        <v>2065.0781877056274</v>
      </c>
      <c r="W9" s="9">
        <f t="shared" si="5"/>
        <v>20304.106876295191</v>
      </c>
      <c r="Y9" s="9">
        <f>'Rateio Custos Fixos'!F14</f>
        <v>9.6969696969696972</v>
      </c>
      <c r="Z9" s="9">
        <f>'Rateio Custos Fixos'!G14</f>
        <v>4.6346320346320349</v>
      </c>
      <c r="AA9" s="9">
        <f>'Rateio Custos Fixos'!H14</f>
        <v>504.67402597402594</v>
      </c>
      <c r="AB9" s="9">
        <f>'Rateio Custos Fixos'!I14</f>
        <v>0</v>
      </c>
      <c r="AC9" s="9">
        <f>'Rateio Custos Fixos'!J14</f>
        <v>5.6277056277056277</v>
      </c>
      <c r="AD9" s="9">
        <f>'Rateio Custos Fixos'!K14</f>
        <v>0</v>
      </c>
      <c r="AE9" s="9">
        <f>'Rateio Custos Fixos'!L14</f>
        <v>0</v>
      </c>
      <c r="AF9" s="9">
        <f>'Rateio Custos Fixos'!M14</f>
        <v>0</v>
      </c>
      <c r="AG9" s="9">
        <f>'Rateio Custos Fixos'!N14</f>
        <v>0</v>
      </c>
      <c r="AH9" s="9">
        <f>'Rateio Custos Fixos'!O14</f>
        <v>0</v>
      </c>
      <c r="AI9" s="9">
        <f>'Rateio Custos Fixos'!P14</f>
        <v>226.01731601731601</v>
      </c>
      <c r="AJ9" s="9">
        <f>'Rateio Custos Fixos'!Q14</f>
        <v>1038.9610389610389</v>
      </c>
      <c r="AK9" s="9">
        <f>'Rateio Custos Fixos'!R14</f>
        <v>0</v>
      </c>
      <c r="AL9" s="9">
        <f>'Rateio Custos Fixos'!S14</f>
        <v>0</v>
      </c>
      <c r="AM9" s="9">
        <f>'Rateio Custos Fixos'!T14</f>
        <v>0</v>
      </c>
      <c r="AN9" s="9">
        <f>'Rateio Custos Fixos'!U14</f>
        <v>528.13852813852816</v>
      </c>
      <c r="AO9" s="9">
        <f>'Rateio Custos Fixos'!V14</f>
        <v>60.17316017316017</v>
      </c>
      <c r="AP9" s="9">
        <f t="shared" si="6"/>
        <v>2377.923376623377</v>
      </c>
      <c r="AQ9" s="9">
        <f t="shared" si="7"/>
        <v>74308.984945559248</v>
      </c>
      <c r="AR9" s="9"/>
      <c r="AS9" s="9"/>
      <c r="AU9" s="113"/>
      <c r="AV9" s="9">
        <f t="shared" si="12"/>
        <v>3833.36449301212</v>
      </c>
      <c r="AW9" s="113"/>
      <c r="AX9" s="9">
        <f t="shared" si="13"/>
        <v>4104</v>
      </c>
      <c r="AY9" s="113"/>
      <c r="AZ9" s="186"/>
      <c r="BA9" t="s">
        <v>95</v>
      </c>
      <c r="BB9" s="9"/>
      <c r="BC9" s="10"/>
    </row>
    <row r="10" spans="1:55" ht="33.6" customHeight="1" x14ac:dyDescent="0.25">
      <c r="B10" s="2">
        <v>4</v>
      </c>
      <c r="C10" s="170" t="str">
        <f>'LISTA DE COMPRAS'!C9</f>
        <v>BAC 209 (127V)</v>
      </c>
      <c r="G10" s="111">
        <f>'LISTA DE COMPRAS'!D9</f>
        <v>84186999</v>
      </c>
      <c r="H10" s="2">
        <f>'LISTA DE COMPRAS'!J9</f>
        <v>34</v>
      </c>
      <c r="I10" s="112">
        <f>'LISTA DE COMPRAS'!Q9</f>
        <v>6.9459253617669456E-2</v>
      </c>
      <c r="J10" s="10">
        <f>'LISTA DE COMPRAS'!K9</f>
        <v>456</v>
      </c>
      <c r="K10" s="10">
        <f t="shared" si="8"/>
        <v>15504</v>
      </c>
      <c r="L10" s="180">
        <f t="shared" si="9"/>
        <v>83406.868799999997</v>
      </c>
      <c r="N10" s="4">
        <f t="shared" si="1"/>
        <v>0</v>
      </c>
      <c r="O10" s="9">
        <f>'Rateio Custos Fixos'!E15</f>
        <v>4358.9541774891777</v>
      </c>
      <c r="P10" s="9">
        <f t="shared" si="2"/>
        <v>87765.822977489181</v>
      </c>
      <c r="Q10" s="9">
        <f t="shared" si="10"/>
        <v>98824.316672652814</v>
      </c>
      <c r="R10" s="9">
        <f t="shared" si="3"/>
        <v>11058.493695163637</v>
      </c>
      <c r="S10" s="9">
        <f t="shared" si="11"/>
        <v>9635.3708755836506</v>
      </c>
      <c r="T10" s="9">
        <f t="shared" si="4"/>
        <v>1843.0822825272728</v>
      </c>
      <c r="U10" s="9">
        <f t="shared" si="4"/>
        <v>8469.4019173277065</v>
      </c>
      <c r="V10" s="9">
        <f t="shared" si="4"/>
        <v>3510.6329190995675</v>
      </c>
      <c r="W10" s="9">
        <f t="shared" si="5"/>
        <v>34516.981689701839</v>
      </c>
      <c r="Y10" s="9">
        <f>'Rateio Custos Fixos'!F15</f>
        <v>224</v>
      </c>
      <c r="Z10" s="9">
        <f>'Rateio Custos Fixos'!G15</f>
        <v>0</v>
      </c>
      <c r="AA10" s="9">
        <f>'Rateio Custos Fixos'!H15</f>
        <v>857.94584415584416</v>
      </c>
      <c r="AB10" s="9">
        <f>'Rateio Custos Fixos'!I15</f>
        <v>0</v>
      </c>
      <c r="AC10" s="9">
        <f>'Rateio Custos Fixos'!J15</f>
        <v>9.567099567099568</v>
      </c>
      <c r="AD10" s="9">
        <f>'Rateio Custos Fixos'!K15</f>
        <v>0</v>
      </c>
      <c r="AE10" s="9">
        <f>'Rateio Custos Fixos'!L15</f>
        <v>0</v>
      </c>
      <c r="AF10" s="9">
        <f>'Rateio Custos Fixos'!M15</f>
        <v>0</v>
      </c>
      <c r="AG10" s="9">
        <f>'Rateio Custos Fixos'!N15</f>
        <v>0</v>
      </c>
      <c r="AH10" s="9">
        <f>'Rateio Custos Fixos'!O15</f>
        <v>0</v>
      </c>
      <c r="AI10" s="9">
        <f>'Rateio Custos Fixos'!P15</f>
        <v>384.22943722943728</v>
      </c>
      <c r="AJ10" s="9">
        <f>'Rateio Custos Fixos'!Q15</f>
        <v>1766.2337662337663</v>
      </c>
      <c r="AK10" s="9">
        <f>'Rateio Custos Fixos'!R15</f>
        <v>0</v>
      </c>
      <c r="AL10" s="9">
        <f>'Rateio Custos Fixos'!S15</f>
        <v>0</v>
      </c>
      <c r="AM10" s="9">
        <f>'Rateio Custos Fixos'!T15</f>
        <v>0</v>
      </c>
      <c r="AN10" s="9">
        <f>'Rateio Custos Fixos'!U15</f>
        <v>897.8354978354979</v>
      </c>
      <c r="AO10" s="9">
        <f>'Rateio Custos Fixos'!V15</f>
        <v>102.29437229437231</v>
      </c>
      <c r="AP10" s="9">
        <f t="shared" si="6"/>
        <v>4242.1060173160176</v>
      </c>
      <c r="AQ10" s="9">
        <f t="shared" si="7"/>
        <v>126524.91068450703</v>
      </c>
      <c r="AR10" s="9"/>
      <c r="AS10" s="9"/>
      <c r="AU10" s="113"/>
      <c r="AV10" s="9">
        <f t="shared" si="12"/>
        <v>3833.36449301212</v>
      </c>
      <c r="AW10" s="113"/>
      <c r="AX10" s="9">
        <f t="shared" si="13"/>
        <v>4104</v>
      </c>
      <c r="AY10" s="113"/>
      <c r="AZ10" s="186"/>
      <c r="BB10" s="9"/>
      <c r="BC10" s="10"/>
    </row>
    <row r="11" spans="1:55" ht="34.15" customHeight="1" x14ac:dyDescent="0.25">
      <c r="B11" s="2">
        <v>5</v>
      </c>
      <c r="C11" s="170" t="str">
        <f>'LISTA DE COMPRAS'!C10</f>
        <v>BAC 218SA (220V)</v>
      </c>
      <c r="G11" s="111">
        <f>'LISTA DE COMPRAS'!D10</f>
        <v>84186999</v>
      </c>
      <c r="H11" s="2">
        <f>'LISTA DE COMPRAS'!J10</f>
        <v>15</v>
      </c>
      <c r="I11" s="112">
        <f>'LISTA DE COMPRAS'!Q10</f>
        <v>0.12536176694592535</v>
      </c>
      <c r="J11" s="10">
        <f>'LISTA DE COMPRAS'!K10</f>
        <v>823</v>
      </c>
      <c r="K11" s="10">
        <f t="shared" si="8"/>
        <v>12345</v>
      </c>
      <c r="L11" s="180">
        <f t="shared" si="9"/>
        <v>66412.396500000003</v>
      </c>
      <c r="N11" s="4">
        <f t="shared" si="1"/>
        <v>0</v>
      </c>
      <c r="O11" s="9">
        <f>'Rateio Custos Fixos'!E16</f>
        <v>1923.0680194805191</v>
      </c>
      <c r="P11" s="9">
        <f t="shared" si="2"/>
        <v>68335.46451948052</v>
      </c>
      <c r="Q11" s="9">
        <f t="shared" si="10"/>
        <v>76945.733048935072</v>
      </c>
      <c r="R11" s="9">
        <f t="shared" si="3"/>
        <v>8610.2685294545463</v>
      </c>
      <c r="S11" s="9">
        <f t="shared" si="11"/>
        <v>7502.2089722711698</v>
      </c>
      <c r="T11" s="9">
        <f t="shared" si="4"/>
        <v>1435.0447549090909</v>
      </c>
      <c r="U11" s="9">
        <f t="shared" si="4"/>
        <v>6594.3723261298701</v>
      </c>
      <c r="V11" s="9">
        <f t="shared" si="4"/>
        <v>2733.418580779221</v>
      </c>
      <c r="W11" s="9">
        <f t="shared" si="5"/>
        <v>26875.313163543895</v>
      </c>
      <c r="Y11" s="9">
        <f>'Rateio Custos Fixos'!F16</f>
        <v>7.2727272727272716</v>
      </c>
      <c r="Z11" s="9">
        <f>'Rateio Custos Fixos'!G16</f>
        <v>3.4759740259740259</v>
      </c>
      <c r="AA11" s="9">
        <f>'Rateio Custos Fixos'!H16</f>
        <v>378.50551948051941</v>
      </c>
      <c r="AB11" s="9">
        <f>'Rateio Custos Fixos'!I16</f>
        <v>0</v>
      </c>
      <c r="AC11" s="9">
        <f>'Rateio Custos Fixos'!J16</f>
        <v>4.2207792207792201</v>
      </c>
      <c r="AD11" s="9">
        <f>'Rateio Custos Fixos'!K16</f>
        <v>0</v>
      </c>
      <c r="AE11" s="9">
        <f>'Rateio Custos Fixos'!L16</f>
        <v>0</v>
      </c>
      <c r="AF11" s="9">
        <f>'Rateio Custos Fixos'!M16</f>
        <v>0</v>
      </c>
      <c r="AG11" s="9">
        <f>'Rateio Custos Fixos'!N16</f>
        <v>0</v>
      </c>
      <c r="AH11" s="9">
        <f>'Rateio Custos Fixos'!O16</f>
        <v>0</v>
      </c>
      <c r="AI11" s="9">
        <f>'Rateio Custos Fixos'!P16</f>
        <v>169.512987012987</v>
      </c>
      <c r="AJ11" s="9">
        <f>'Rateio Custos Fixos'!Q16</f>
        <v>779.22077922077915</v>
      </c>
      <c r="AK11" s="9">
        <f>'Rateio Custos Fixos'!R16</f>
        <v>0</v>
      </c>
      <c r="AL11" s="9">
        <f>'Rateio Custos Fixos'!S16</f>
        <v>0</v>
      </c>
      <c r="AM11" s="9">
        <f>'Rateio Custos Fixos'!T16</f>
        <v>0</v>
      </c>
      <c r="AN11" s="9">
        <f>'Rateio Custos Fixos'!U16</f>
        <v>396.10389610389609</v>
      </c>
      <c r="AO11" s="9">
        <f>'Rateio Custos Fixos'!V16</f>
        <v>45.129870129870127</v>
      </c>
      <c r="AP11" s="9">
        <f t="shared" si="6"/>
        <v>1783.4425324675321</v>
      </c>
      <c r="AQ11" s="9">
        <f t="shared" si="7"/>
        <v>96994.220215491951</v>
      </c>
      <c r="AR11" s="9"/>
      <c r="AS11" s="9"/>
      <c r="AU11" s="113"/>
      <c r="AV11" s="9">
        <f t="shared" si="12"/>
        <v>6918.5503898003835</v>
      </c>
      <c r="AW11" s="113"/>
      <c r="AX11" s="9">
        <f t="shared" si="13"/>
        <v>7407</v>
      </c>
      <c r="AY11" s="113"/>
      <c r="AZ11" s="186"/>
      <c r="BB11" s="9"/>
      <c r="BC11" s="10"/>
    </row>
    <row r="12" spans="1:55" ht="27.6" customHeight="1" x14ac:dyDescent="0.25">
      <c r="B12" s="2">
        <v>6</v>
      </c>
      <c r="C12" s="170" t="str">
        <f>'LISTA DE COMPRAS'!C11</f>
        <v>BAC 218BA (220V)</v>
      </c>
      <c r="G12" s="111">
        <f>'LISTA DE COMPRAS'!D11</f>
        <v>84186999</v>
      </c>
      <c r="H12" s="2">
        <f>'LISTA DE COMPRAS'!J11</f>
        <v>12</v>
      </c>
      <c r="I12" s="112">
        <f>'LISTA DE COMPRAS'!Q11</f>
        <v>0.1246001523229246</v>
      </c>
      <c r="J12" s="10">
        <f>'LISTA DE COMPRAS'!K11</f>
        <v>818</v>
      </c>
      <c r="K12" s="10">
        <f t="shared" si="8"/>
        <v>9816</v>
      </c>
      <c r="L12" s="180">
        <f t="shared" si="9"/>
        <v>52807.135199999997</v>
      </c>
      <c r="N12" s="4">
        <f t="shared" si="1"/>
        <v>0</v>
      </c>
      <c r="O12" s="9">
        <f>'Rateio Custos Fixos'!E17</f>
        <v>1538.4544155844155</v>
      </c>
      <c r="P12" s="9">
        <f t="shared" si="2"/>
        <v>54345.589615584409</v>
      </c>
      <c r="Q12" s="9">
        <f t="shared" si="10"/>
        <v>61193.133907148047</v>
      </c>
      <c r="R12" s="9">
        <f t="shared" si="3"/>
        <v>6847.5442915636359</v>
      </c>
      <c r="S12" s="9">
        <f t="shared" si="11"/>
        <v>5966.3305559469345</v>
      </c>
      <c r="T12" s="9">
        <f t="shared" si="4"/>
        <v>1141.2573819272727</v>
      </c>
      <c r="U12" s="9">
        <f t="shared" si="4"/>
        <v>5244.3493979038958</v>
      </c>
      <c r="V12" s="9">
        <f t="shared" si="4"/>
        <v>2173.8235846233765</v>
      </c>
      <c r="W12" s="9">
        <f t="shared" si="5"/>
        <v>21373.305211965115</v>
      </c>
      <c r="Y12" s="9">
        <f>'Rateio Custos Fixos'!F17</f>
        <v>5.8181818181818183</v>
      </c>
      <c r="Z12" s="9">
        <f>'Rateio Custos Fixos'!G17</f>
        <v>54.53</v>
      </c>
      <c r="AA12" s="9">
        <f>'Rateio Custos Fixos'!H17</f>
        <v>302.80441558441561</v>
      </c>
      <c r="AB12" s="9">
        <f>'Rateio Custos Fixos'!I17</f>
        <v>0</v>
      </c>
      <c r="AC12" s="9">
        <f>'Rateio Custos Fixos'!J17</f>
        <v>3.3766233766233769</v>
      </c>
      <c r="AD12" s="9">
        <f>'Rateio Custos Fixos'!K17</f>
        <v>0</v>
      </c>
      <c r="AE12" s="9">
        <f>'Rateio Custos Fixos'!L17</f>
        <v>0</v>
      </c>
      <c r="AF12" s="9">
        <f>'Rateio Custos Fixos'!M17</f>
        <v>0</v>
      </c>
      <c r="AG12" s="9">
        <f>'Rateio Custos Fixos'!N17</f>
        <v>0</v>
      </c>
      <c r="AH12" s="9">
        <f>'Rateio Custos Fixos'!O17</f>
        <v>0</v>
      </c>
      <c r="AI12" s="9">
        <f>'Rateio Custos Fixos'!P17</f>
        <v>135.61038961038963</v>
      </c>
      <c r="AJ12" s="9">
        <f>'Rateio Custos Fixos'!Q17</f>
        <v>623.37662337662346</v>
      </c>
      <c r="AK12" s="9">
        <f>'Rateio Custos Fixos'!R17</f>
        <v>0</v>
      </c>
      <c r="AL12" s="9">
        <f>'Rateio Custos Fixos'!S17</f>
        <v>0</v>
      </c>
      <c r="AM12" s="9">
        <f>'Rateio Custos Fixos'!T17</f>
        <v>0</v>
      </c>
      <c r="AN12" s="9">
        <f>'Rateio Custos Fixos'!U17</f>
        <v>316.88311688311688</v>
      </c>
      <c r="AO12" s="9">
        <f>'Rateio Custos Fixos'!V17</f>
        <v>36.103896103896105</v>
      </c>
      <c r="AP12" s="9">
        <f t="shared" si="6"/>
        <v>1478.5032467532469</v>
      </c>
      <c r="AQ12" s="9">
        <f t="shared" si="7"/>
        <v>77197.398074302764</v>
      </c>
      <c r="AR12" s="9"/>
      <c r="AS12" s="9"/>
      <c r="AU12" s="113"/>
      <c r="AV12" s="9">
        <f t="shared" si="12"/>
        <v>6876.5178843945496</v>
      </c>
      <c r="AW12" s="113"/>
      <c r="AX12" s="9">
        <f t="shared" si="13"/>
        <v>7362</v>
      </c>
      <c r="AY12" s="113"/>
      <c r="AZ12" s="186"/>
      <c r="BB12" s="9"/>
      <c r="BC12" s="10"/>
    </row>
    <row r="13" spans="1:55" x14ac:dyDescent="0.25">
      <c r="B13" s="2">
        <v>7</v>
      </c>
      <c r="C13" s="171" t="str">
        <f>'LISTA DE COMPRAS'!C12</f>
        <v>BAC 28 (127V)</v>
      </c>
      <c r="G13" s="111">
        <f>'LISTA DE COMPRAS'!D12</f>
        <v>84186999</v>
      </c>
      <c r="H13" s="2">
        <f>'LISTA DE COMPRAS'!J12</f>
        <v>40</v>
      </c>
      <c r="I13" s="112">
        <f>'LISTA DE COMPRAS'!Q12</f>
        <v>3.5643564356435641E-2</v>
      </c>
      <c r="J13" s="10">
        <f>'LISTA DE COMPRAS'!K12</f>
        <v>234</v>
      </c>
      <c r="K13" s="10">
        <f t="shared" si="8"/>
        <v>9360</v>
      </c>
      <c r="L13" s="180">
        <f t="shared" si="9"/>
        <v>50353.991999999998</v>
      </c>
      <c r="N13" s="4">
        <f t="shared" si="1"/>
        <v>0</v>
      </c>
      <c r="O13" s="9">
        <f>'Rateio Custos Fixos'!E18</f>
        <v>5128.1813852813848</v>
      </c>
      <c r="P13" s="9">
        <f t="shared" si="2"/>
        <v>55482.173385281385</v>
      </c>
      <c r="Q13" s="9">
        <f t="shared" si="10"/>
        <v>62472.927231826841</v>
      </c>
      <c r="R13" s="9">
        <f t="shared" si="3"/>
        <v>6990.7538465454545</v>
      </c>
      <c r="S13" s="9">
        <f t="shared" si="11"/>
        <v>6091.110405103117</v>
      </c>
      <c r="T13" s="9">
        <f t="shared" si="4"/>
        <v>1165.1256410909091</v>
      </c>
      <c r="U13" s="9">
        <f t="shared" si="4"/>
        <v>5354.0297316796541</v>
      </c>
      <c r="V13" s="9">
        <f t="shared" si="4"/>
        <v>2219.2869354112554</v>
      </c>
      <c r="W13" s="9">
        <f t="shared" si="5"/>
        <v>21820.306559830387</v>
      </c>
      <c r="Y13" s="9">
        <f>'Rateio Custos Fixos'!F18</f>
        <v>19.393939393939394</v>
      </c>
      <c r="Z13" s="9">
        <f>'Rateio Custos Fixos'!G18</f>
        <v>9.2692640692640698</v>
      </c>
      <c r="AA13" s="9">
        <f>'Rateio Custos Fixos'!H18</f>
        <v>1009.3480519480519</v>
      </c>
      <c r="AB13" s="9">
        <f>'Rateio Custos Fixos'!I18</f>
        <v>0</v>
      </c>
      <c r="AC13" s="9">
        <f>'Rateio Custos Fixos'!J18</f>
        <v>11.255411255411255</v>
      </c>
      <c r="AD13" s="9">
        <f>'Rateio Custos Fixos'!K18</f>
        <v>0</v>
      </c>
      <c r="AE13" s="9">
        <f>'Rateio Custos Fixos'!L18</f>
        <v>0</v>
      </c>
      <c r="AF13" s="9">
        <f>'Rateio Custos Fixos'!M18</f>
        <v>0</v>
      </c>
      <c r="AG13" s="9">
        <f>'Rateio Custos Fixos'!N18</f>
        <v>0</v>
      </c>
      <c r="AH13" s="9">
        <f>'Rateio Custos Fixos'!O18</f>
        <v>0</v>
      </c>
      <c r="AI13" s="9">
        <f>'Rateio Custos Fixos'!P18</f>
        <v>452.03463203463201</v>
      </c>
      <c r="AJ13" s="9">
        <f>'Rateio Custos Fixos'!Q18</f>
        <v>2077.9220779220777</v>
      </c>
      <c r="AK13" s="9">
        <f>'Rateio Custos Fixos'!R18</f>
        <v>0</v>
      </c>
      <c r="AL13" s="9">
        <f>'Rateio Custos Fixos'!S18</f>
        <v>0</v>
      </c>
      <c r="AM13" s="9">
        <f>'Rateio Custos Fixos'!T18</f>
        <v>0</v>
      </c>
      <c r="AN13" s="9">
        <f>'Rateio Custos Fixos'!U18</f>
        <v>1056.2770562770563</v>
      </c>
      <c r="AO13" s="9">
        <f>'Rateio Custos Fixos'!V18</f>
        <v>120.34632034632034</v>
      </c>
      <c r="AP13" s="9">
        <f t="shared" si="6"/>
        <v>4755.8467532467539</v>
      </c>
      <c r="AQ13" s="9">
        <f t="shared" si="7"/>
        <v>82058.32669835852</v>
      </c>
      <c r="AR13" s="9"/>
      <c r="AS13" s="9"/>
      <c r="AU13" s="113"/>
      <c r="AV13" s="9">
        <f t="shared" si="12"/>
        <v>1967.1212529930617</v>
      </c>
      <c r="AW13" s="113"/>
      <c r="AX13" s="9">
        <f t="shared" si="13"/>
        <v>2106</v>
      </c>
      <c r="AY13" s="113"/>
      <c r="AZ13" s="186"/>
      <c r="BB13" s="9"/>
      <c r="BC13" s="10"/>
    </row>
    <row r="14" spans="1:55" x14ac:dyDescent="0.25">
      <c r="B14" s="2">
        <v>8</v>
      </c>
      <c r="C14" s="171" t="str">
        <f>'LISTA DE COMPRAS'!C13</f>
        <v>BAC 28A (220V)</v>
      </c>
      <c r="G14" s="111">
        <f>'LISTA DE COMPRAS'!D13</f>
        <v>84186999</v>
      </c>
      <c r="H14" s="2">
        <f>'LISTA DE COMPRAS'!J13</f>
        <v>20</v>
      </c>
      <c r="I14" s="112">
        <f>'LISTA DE COMPRAS'!Q13</f>
        <v>3.5643564356435641E-2</v>
      </c>
      <c r="J14" s="10">
        <f>'LISTA DE COMPRAS'!K13</f>
        <v>234</v>
      </c>
      <c r="K14" s="10">
        <f t="shared" ref="K14:K24" si="14">H14*J14</f>
        <v>4680</v>
      </c>
      <c r="L14" s="180">
        <f t="shared" ref="L14:L24" si="15">K14*L$5</f>
        <v>25176.995999999999</v>
      </c>
      <c r="N14" s="4">
        <f t="shared" ref="N14:N24" si="16">$N$4*I14</f>
        <v>0</v>
      </c>
      <c r="O14" s="9">
        <f>'Rateio Custos Fixos'!E19</f>
        <v>2564.0906926406924</v>
      </c>
      <c r="P14" s="9">
        <f t="shared" ref="P14:P24" si="17">SUM(L14,O14)</f>
        <v>27741.086692640692</v>
      </c>
      <c r="Q14" s="9">
        <f t="shared" si="10"/>
        <v>31236.463615913421</v>
      </c>
      <c r="R14" s="9">
        <f t="shared" si="3"/>
        <v>3495.3769232727273</v>
      </c>
      <c r="S14" s="9">
        <f t="shared" si="11"/>
        <v>3045.5552025515585</v>
      </c>
      <c r="T14" s="9">
        <f t="shared" si="4"/>
        <v>582.56282054545454</v>
      </c>
      <c r="U14" s="9">
        <f t="shared" si="4"/>
        <v>2677.0148658398271</v>
      </c>
      <c r="V14" s="9">
        <f t="shared" si="4"/>
        <v>1109.6434677056277</v>
      </c>
      <c r="W14" s="9">
        <f t="shared" ref="W14:W24" si="18">SUM(R14:V14)</f>
        <v>10910.153279915194</v>
      </c>
      <c r="Y14" s="9">
        <f>'Rateio Custos Fixos'!F19</f>
        <v>224</v>
      </c>
      <c r="Z14" s="9">
        <f>'Rateio Custos Fixos'!G19</f>
        <v>4.6346320346320349</v>
      </c>
      <c r="AA14" s="9">
        <f>'Rateio Custos Fixos'!H19</f>
        <v>504.67402597402594</v>
      </c>
      <c r="AB14" s="9">
        <f>'Rateio Custos Fixos'!I19</f>
        <v>0</v>
      </c>
      <c r="AC14" s="9">
        <f>'Rateio Custos Fixos'!J19</f>
        <v>5.6277056277056277</v>
      </c>
      <c r="AD14" s="9">
        <f>'Rateio Custos Fixos'!K19</f>
        <v>0</v>
      </c>
      <c r="AE14" s="9">
        <f>'Rateio Custos Fixos'!L19</f>
        <v>0</v>
      </c>
      <c r="AF14" s="9">
        <f>'Rateio Custos Fixos'!M19</f>
        <v>0</v>
      </c>
      <c r="AG14" s="9">
        <f>'Rateio Custos Fixos'!N19</f>
        <v>0</v>
      </c>
      <c r="AH14" s="9">
        <f>'Rateio Custos Fixos'!O19</f>
        <v>0</v>
      </c>
      <c r="AI14" s="9">
        <f>'Rateio Custos Fixos'!P19</f>
        <v>226.01731601731601</v>
      </c>
      <c r="AJ14" s="9">
        <f>'Rateio Custos Fixos'!Q19</f>
        <v>1038.9610389610389</v>
      </c>
      <c r="AK14" s="9">
        <f>'Rateio Custos Fixos'!R19</f>
        <v>0</v>
      </c>
      <c r="AL14" s="9">
        <f>'Rateio Custos Fixos'!S19</f>
        <v>0</v>
      </c>
      <c r="AM14" s="9">
        <f>'Rateio Custos Fixos'!T19</f>
        <v>0</v>
      </c>
      <c r="AN14" s="9">
        <f>'Rateio Custos Fixos'!U19</f>
        <v>528.13852813852816</v>
      </c>
      <c r="AO14" s="9">
        <f>'Rateio Custos Fixos'!V19</f>
        <v>60.17316017316017</v>
      </c>
      <c r="AP14" s="9">
        <f t="shared" ref="AP14:AP24" si="19">SUM(Y14:AO14)</f>
        <v>2592.226406926407</v>
      </c>
      <c r="AQ14" s="9">
        <f t="shared" ref="AQ14:AQ24" si="20">AP14+W14+P14</f>
        <v>41243.466379482292</v>
      </c>
      <c r="AR14" s="9"/>
      <c r="AS14" s="9"/>
      <c r="AU14" s="113"/>
      <c r="AV14" s="9">
        <f t="shared" ref="AV14:AV24" si="21">(L14+(L14*AP$29))/H14</f>
        <v>1967.1212529930617</v>
      </c>
      <c r="AW14" s="113"/>
      <c r="AX14" s="9">
        <f t="shared" ref="AX14:AX24" si="22">(J14*9)</f>
        <v>2106</v>
      </c>
      <c r="AY14" s="113"/>
      <c r="AZ14" s="186"/>
      <c r="BB14" s="9"/>
      <c r="BC14" s="10"/>
    </row>
    <row r="15" spans="1:55" x14ac:dyDescent="0.25">
      <c r="B15" s="2">
        <v>9</v>
      </c>
      <c r="C15" s="171" t="str">
        <f>'LISTA DE COMPRAS'!C14</f>
        <v>BAC 120A (220V)</v>
      </c>
      <c r="G15" s="111">
        <f>'LISTA DE COMPRAS'!D14</f>
        <v>84186999</v>
      </c>
      <c r="H15" s="2">
        <f>'LISTA DE COMPRAS'!J14</f>
        <v>20</v>
      </c>
      <c r="I15" s="112">
        <f>'LISTA DE COMPRAS'!Q14</f>
        <v>5.057121096725057E-2</v>
      </c>
      <c r="J15" s="10">
        <f>'LISTA DE COMPRAS'!K14</f>
        <v>332</v>
      </c>
      <c r="K15" s="10">
        <f t="shared" si="14"/>
        <v>6640</v>
      </c>
      <c r="L15" s="180">
        <f t="shared" si="15"/>
        <v>35721.207999999999</v>
      </c>
      <c r="N15" s="4">
        <f t="shared" si="16"/>
        <v>0</v>
      </c>
      <c r="O15" s="9">
        <f>'Rateio Custos Fixos'!E20</f>
        <v>2564.0906926406924</v>
      </c>
      <c r="P15" s="9">
        <f t="shared" si="17"/>
        <v>38285.298692640688</v>
      </c>
      <c r="Q15" s="9">
        <f t="shared" si="10"/>
        <v>43109.246327913417</v>
      </c>
      <c r="R15" s="9">
        <f t="shared" si="3"/>
        <v>4823.947635272727</v>
      </c>
      <c r="S15" s="9">
        <f t="shared" si="11"/>
        <v>4203.1515169715585</v>
      </c>
      <c r="T15" s="9">
        <f t="shared" si="4"/>
        <v>803.99127254545454</v>
      </c>
      <c r="U15" s="9">
        <f t="shared" si="4"/>
        <v>3694.5313238398267</v>
      </c>
      <c r="V15" s="9">
        <f t="shared" si="4"/>
        <v>1531.4119477056277</v>
      </c>
      <c r="W15" s="9">
        <f t="shared" si="18"/>
        <v>15057.033696335195</v>
      </c>
      <c r="Y15" s="9">
        <f>'Rateio Custos Fixos'!F20</f>
        <v>9.6969696969696972</v>
      </c>
      <c r="Z15" s="9">
        <f>'Rateio Custos Fixos'!G20</f>
        <v>4.6346320346320349</v>
      </c>
      <c r="AA15" s="9">
        <f>'Rateio Custos Fixos'!H20</f>
        <v>504.67402597402594</v>
      </c>
      <c r="AB15" s="9">
        <f>'Rateio Custos Fixos'!I20</f>
        <v>0</v>
      </c>
      <c r="AC15" s="9">
        <f>'Rateio Custos Fixos'!J20</f>
        <v>5.6277056277056277</v>
      </c>
      <c r="AD15" s="9">
        <f>'Rateio Custos Fixos'!K20</f>
        <v>0</v>
      </c>
      <c r="AE15" s="9">
        <f>'Rateio Custos Fixos'!L20</f>
        <v>0</v>
      </c>
      <c r="AF15" s="9">
        <f>'Rateio Custos Fixos'!M20</f>
        <v>0</v>
      </c>
      <c r="AG15" s="9">
        <f>'Rateio Custos Fixos'!N20</f>
        <v>0</v>
      </c>
      <c r="AH15" s="9">
        <f>'Rateio Custos Fixos'!O20</f>
        <v>0</v>
      </c>
      <c r="AI15" s="9">
        <f>'Rateio Custos Fixos'!P20</f>
        <v>226.01731601731601</v>
      </c>
      <c r="AJ15" s="9">
        <f>'Rateio Custos Fixos'!Q20</f>
        <v>1038.9610389610389</v>
      </c>
      <c r="AK15" s="9">
        <f>'Rateio Custos Fixos'!R20</f>
        <v>0</v>
      </c>
      <c r="AL15" s="9">
        <f>'Rateio Custos Fixos'!S20</f>
        <v>0</v>
      </c>
      <c r="AM15" s="9">
        <f>'Rateio Custos Fixos'!T20</f>
        <v>0</v>
      </c>
      <c r="AN15" s="9">
        <f>'Rateio Custos Fixos'!U20</f>
        <v>528.13852813852816</v>
      </c>
      <c r="AO15" s="9">
        <f>'Rateio Custos Fixos'!V20</f>
        <v>60.17316017316017</v>
      </c>
      <c r="AP15" s="9">
        <f t="shared" si="19"/>
        <v>2377.923376623377</v>
      </c>
      <c r="AQ15" s="9">
        <f t="shared" si="20"/>
        <v>55720.255765599257</v>
      </c>
      <c r="AR15" s="9"/>
      <c r="AS15" s="9"/>
      <c r="AU15" s="113"/>
      <c r="AV15" s="9">
        <f t="shared" si="21"/>
        <v>2790.9583589474214</v>
      </c>
      <c r="AW15" s="113"/>
      <c r="AX15" s="9">
        <f t="shared" si="22"/>
        <v>2988</v>
      </c>
      <c r="AY15" s="113"/>
      <c r="AZ15" s="186"/>
      <c r="BB15" s="9"/>
      <c r="BC15" s="10"/>
    </row>
    <row r="16" spans="1:55" x14ac:dyDescent="0.25">
      <c r="B16" s="2">
        <v>10</v>
      </c>
      <c r="C16" s="171" t="str">
        <f>'LISTA DE COMPRAS'!C15</f>
        <v>BAC 120 (127V)</v>
      </c>
      <c r="G16" s="111">
        <f>'LISTA DE COMPRAS'!D15</f>
        <v>84186999</v>
      </c>
      <c r="H16" s="2">
        <f>'LISTA DE COMPRAS'!J15</f>
        <v>34</v>
      </c>
      <c r="I16" s="112">
        <f>'LISTA DE COMPRAS'!Q15</f>
        <v>5.057121096725057E-2</v>
      </c>
      <c r="J16" s="10">
        <f>'LISTA DE COMPRAS'!K15</f>
        <v>332</v>
      </c>
      <c r="K16" s="10">
        <f t="shared" si="14"/>
        <v>11288</v>
      </c>
      <c r="L16" s="180">
        <f t="shared" si="15"/>
        <v>60726.053599999999</v>
      </c>
      <c r="N16" s="4">
        <f t="shared" si="16"/>
        <v>0</v>
      </c>
      <c r="O16" s="9">
        <f>'Rateio Custos Fixos'!E21</f>
        <v>4358.9541774891777</v>
      </c>
      <c r="P16" s="9">
        <f t="shared" si="17"/>
        <v>65085.007777489176</v>
      </c>
      <c r="Q16" s="9">
        <f t="shared" si="10"/>
        <v>73285.718757452807</v>
      </c>
      <c r="R16" s="9">
        <f t="shared" si="3"/>
        <v>8200.7109799636364</v>
      </c>
      <c r="S16" s="9">
        <f t="shared" si="11"/>
        <v>7145.3575788516491</v>
      </c>
      <c r="T16" s="9">
        <f t="shared" si="4"/>
        <v>1366.7851633272728</v>
      </c>
      <c r="U16" s="9">
        <f t="shared" si="4"/>
        <v>6280.7032505277057</v>
      </c>
      <c r="V16" s="9">
        <f t="shared" si="4"/>
        <v>2603.4003110995673</v>
      </c>
      <c r="W16" s="9">
        <f t="shared" si="18"/>
        <v>25596.957283769829</v>
      </c>
      <c r="Y16" s="9">
        <f>'Rateio Custos Fixos'!F21</f>
        <v>16.484848484848484</v>
      </c>
      <c r="Z16" s="9">
        <f>'Rateio Custos Fixos'!G21</f>
        <v>1</v>
      </c>
      <c r="AA16" s="9">
        <f>'Rateio Custos Fixos'!H21</f>
        <v>857.94584415584416</v>
      </c>
      <c r="AB16" s="9">
        <f>'Rateio Custos Fixos'!I21</f>
        <v>0</v>
      </c>
      <c r="AC16" s="9">
        <f>'Rateio Custos Fixos'!J21</f>
        <v>9.567099567099568</v>
      </c>
      <c r="AD16" s="9">
        <f>'Rateio Custos Fixos'!K21</f>
        <v>0</v>
      </c>
      <c r="AE16" s="9">
        <f>'Rateio Custos Fixos'!L21</f>
        <v>0</v>
      </c>
      <c r="AF16" s="9">
        <f>'Rateio Custos Fixos'!M21</f>
        <v>0</v>
      </c>
      <c r="AG16" s="9">
        <f>'Rateio Custos Fixos'!N21</f>
        <v>0</v>
      </c>
      <c r="AH16" s="9">
        <f>'Rateio Custos Fixos'!O21</f>
        <v>0</v>
      </c>
      <c r="AI16" s="9">
        <f>'Rateio Custos Fixos'!P21</f>
        <v>384.22943722943728</v>
      </c>
      <c r="AJ16" s="9">
        <f>'Rateio Custos Fixos'!Q21</f>
        <v>1766.2337662337663</v>
      </c>
      <c r="AK16" s="9">
        <f>'Rateio Custos Fixos'!R21</f>
        <v>0</v>
      </c>
      <c r="AL16" s="9">
        <f>'Rateio Custos Fixos'!S21</f>
        <v>0</v>
      </c>
      <c r="AM16" s="9">
        <f>'Rateio Custos Fixos'!T21</f>
        <v>0</v>
      </c>
      <c r="AN16" s="9">
        <f>'Rateio Custos Fixos'!U21</f>
        <v>897.8354978354979</v>
      </c>
      <c r="AO16" s="9">
        <f>'Rateio Custos Fixos'!V21</f>
        <v>102.29437229437231</v>
      </c>
      <c r="AP16" s="9">
        <f t="shared" si="19"/>
        <v>4035.5908658008661</v>
      </c>
      <c r="AQ16" s="9">
        <f t="shared" si="20"/>
        <v>94717.555927059875</v>
      </c>
      <c r="AR16" s="9"/>
      <c r="AS16" s="9"/>
      <c r="AU16" s="113"/>
      <c r="AV16" s="9">
        <f t="shared" si="21"/>
        <v>2790.9583589474209</v>
      </c>
      <c r="AW16" s="113"/>
      <c r="AX16" s="9">
        <f t="shared" si="22"/>
        <v>2988</v>
      </c>
      <c r="AY16" s="113"/>
      <c r="AZ16" s="186"/>
      <c r="BB16" s="9"/>
      <c r="BC16" s="10"/>
    </row>
    <row r="17" spans="2:55" x14ac:dyDescent="0.25">
      <c r="B17" s="2">
        <v>11</v>
      </c>
      <c r="C17" s="171" t="str">
        <f>'LISTA DE COMPRAS'!C16</f>
        <v>BAC111 (220V)</v>
      </c>
      <c r="G17" s="111">
        <f>'LISTA DE COMPRAS'!D16</f>
        <v>84186999</v>
      </c>
      <c r="H17" s="2">
        <f>'LISTA DE COMPRAS'!J16</f>
        <v>14</v>
      </c>
      <c r="I17" s="112">
        <f>'LISTA DE COMPRAS'!Q16</f>
        <v>0.11119573495811119</v>
      </c>
      <c r="J17" s="10">
        <f>'LISTA DE COMPRAS'!K16</f>
        <v>730</v>
      </c>
      <c r="K17" s="10">
        <f t="shared" si="14"/>
        <v>10220</v>
      </c>
      <c r="L17" s="180">
        <f t="shared" si="15"/>
        <v>54980.534</v>
      </c>
      <c r="N17" s="4">
        <f t="shared" si="16"/>
        <v>0</v>
      </c>
      <c r="O17" s="9">
        <f>'Rateio Custos Fixos'!E22</f>
        <v>1794.8634848484849</v>
      </c>
      <c r="P17" s="9">
        <f t="shared" si="17"/>
        <v>56775.397484848487</v>
      </c>
      <c r="Q17" s="9">
        <f t="shared" si="10"/>
        <v>63929.097567939396</v>
      </c>
      <c r="R17" s="9">
        <f t="shared" si="3"/>
        <v>7153.7000830909092</v>
      </c>
      <c r="S17" s="9">
        <f t="shared" si="11"/>
        <v>6233.0870128740917</v>
      </c>
      <c r="T17" s="9">
        <f t="shared" si="4"/>
        <v>1192.2833471818183</v>
      </c>
      <c r="U17" s="9">
        <f t="shared" si="4"/>
        <v>5478.8258572878794</v>
      </c>
      <c r="V17" s="9">
        <f t="shared" si="4"/>
        <v>2271.0158993939394</v>
      </c>
      <c r="W17" s="9">
        <f t="shared" si="18"/>
        <v>22328.912199828639</v>
      </c>
      <c r="Y17" s="9">
        <f>'Rateio Custos Fixos'!F22</f>
        <v>6.7878787878787881</v>
      </c>
      <c r="Z17" s="9">
        <f>'Rateio Custos Fixos'!G22</f>
        <v>3.2442424242424246</v>
      </c>
      <c r="AA17" s="9">
        <f>'Rateio Custos Fixos'!H22</f>
        <v>353.27181818181816</v>
      </c>
      <c r="AB17" s="9">
        <f>'Rateio Custos Fixos'!I22</f>
        <v>0</v>
      </c>
      <c r="AC17" s="9">
        <f>'Rateio Custos Fixos'!J22</f>
        <v>3.9393939393939394</v>
      </c>
      <c r="AD17" s="9">
        <f>'Rateio Custos Fixos'!K22</f>
        <v>0</v>
      </c>
      <c r="AE17" s="9">
        <f>'Rateio Custos Fixos'!L22</f>
        <v>0</v>
      </c>
      <c r="AF17" s="9">
        <f>'Rateio Custos Fixos'!M22</f>
        <v>0</v>
      </c>
      <c r="AG17" s="9">
        <f>'Rateio Custos Fixos'!N22</f>
        <v>0</v>
      </c>
      <c r="AH17" s="9">
        <f>'Rateio Custos Fixos'!O22</f>
        <v>0</v>
      </c>
      <c r="AI17" s="9">
        <f>'Rateio Custos Fixos'!P22</f>
        <v>158.21212121212122</v>
      </c>
      <c r="AJ17" s="9">
        <f>'Rateio Custos Fixos'!Q22</f>
        <v>727.27272727272725</v>
      </c>
      <c r="AK17" s="9">
        <f>'Rateio Custos Fixos'!R22</f>
        <v>0</v>
      </c>
      <c r="AL17" s="9">
        <f>'Rateio Custos Fixos'!S22</f>
        <v>0</v>
      </c>
      <c r="AM17" s="9">
        <f>'Rateio Custos Fixos'!T22</f>
        <v>0</v>
      </c>
      <c r="AN17" s="9">
        <f>'Rateio Custos Fixos'!U22</f>
        <v>369.69696969696969</v>
      </c>
      <c r="AO17" s="9">
        <f>'Rateio Custos Fixos'!V22</f>
        <v>42.121212121212125</v>
      </c>
      <c r="AP17" s="9">
        <f t="shared" si="19"/>
        <v>1664.5463636363638</v>
      </c>
      <c r="AQ17" s="9">
        <f t="shared" si="20"/>
        <v>80768.856048313493</v>
      </c>
      <c r="AR17" s="9"/>
      <c r="AS17" s="9"/>
      <c r="AU17" s="113"/>
      <c r="AV17" s="9">
        <f t="shared" si="21"/>
        <v>6136.7457892518596</v>
      </c>
      <c r="AW17" s="113"/>
      <c r="AX17" s="9">
        <f t="shared" si="22"/>
        <v>6570</v>
      </c>
      <c r="AY17" s="113"/>
      <c r="AZ17" s="186"/>
      <c r="BB17" s="9"/>
      <c r="BC17" s="10"/>
    </row>
    <row r="18" spans="2:55" x14ac:dyDescent="0.25">
      <c r="B18" s="2">
        <v>12</v>
      </c>
      <c r="C18" s="170" t="str">
        <f>'LISTA DE COMPRAS'!C17</f>
        <v>BEC 100GD (127V)</v>
      </c>
      <c r="G18" s="111">
        <f>'LISTA DE COMPRAS'!D17</f>
        <v>84186999</v>
      </c>
      <c r="H18" s="2">
        <f>'LISTA DE COMPRAS'!J17</f>
        <v>45</v>
      </c>
      <c r="I18" s="112">
        <f>'LISTA DE COMPRAS'!Q17</f>
        <v>3.655750190403656E-2</v>
      </c>
      <c r="J18" s="10">
        <f>'LISTA DE COMPRAS'!K17</f>
        <v>240</v>
      </c>
      <c r="K18" s="10">
        <f t="shared" si="14"/>
        <v>10800</v>
      </c>
      <c r="L18" s="180">
        <f t="shared" si="15"/>
        <v>58100.759999999995</v>
      </c>
      <c r="N18" s="4">
        <f t="shared" si="16"/>
        <v>0</v>
      </c>
      <c r="O18" s="9">
        <f>'Rateio Custos Fixos'!E23</f>
        <v>5769.2040584415581</v>
      </c>
      <c r="P18" s="9">
        <f t="shared" si="17"/>
        <v>63869.964058441554</v>
      </c>
      <c r="Q18" s="9">
        <f t="shared" si="10"/>
        <v>71917.579529805196</v>
      </c>
      <c r="R18" s="9">
        <f t="shared" si="3"/>
        <v>8047.6154713636361</v>
      </c>
      <c r="S18" s="9">
        <f t="shared" si="11"/>
        <v>7011.9640041560069</v>
      </c>
      <c r="T18" s="9">
        <f t="shared" si="4"/>
        <v>1341.2692452272727</v>
      </c>
      <c r="U18" s="9">
        <f t="shared" si="4"/>
        <v>6163.45153163961</v>
      </c>
      <c r="V18" s="9">
        <f t="shared" si="4"/>
        <v>2554.7985623376621</v>
      </c>
      <c r="W18" s="9">
        <f t="shared" si="18"/>
        <v>25119.098814724188</v>
      </c>
      <c r="Y18" s="9">
        <f>'Rateio Custos Fixos'!F23</f>
        <v>224</v>
      </c>
      <c r="Z18" s="9">
        <f>'Rateio Custos Fixos'!G23</f>
        <v>55.53</v>
      </c>
      <c r="AA18" s="9">
        <f>'Rateio Custos Fixos'!H23</f>
        <v>1135.5165584415583</v>
      </c>
      <c r="AB18" s="9">
        <f>'Rateio Custos Fixos'!I23</f>
        <v>0</v>
      </c>
      <c r="AC18" s="9">
        <f>'Rateio Custos Fixos'!J23</f>
        <v>12.662337662337663</v>
      </c>
      <c r="AD18" s="9">
        <f>'Rateio Custos Fixos'!K23</f>
        <v>0</v>
      </c>
      <c r="AE18" s="9">
        <f>'Rateio Custos Fixos'!L23</f>
        <v>0</v>
      </c>
      <c r="AF18" s="9">
        <f>'Rateio Custos Fixos'!M23</f>
        <v>0</v>
      </c>
      <c r="AG18" s="9">
        <f>'Rateio Custos Fixos'!N23</f>
        <v>0</v>
      </c>
      <c r="AH18" s="9">
        <f>'Rateio Custos Fixos'!O23</f>
        <v>0</v>
      </c>
      <c r="AI18" s="9">
        <f>'Rateio Custos Fixos'!P23</f>
        <v>508.53896103896108</v>
      </c>
      <c r="AJ18" s="9">
        <f>'Rateio Custos Fixos'!Q23</f>
        <v>2337.6623376623379</v>
      </c>
      <c r="AK18" s="9">
        <f>'Rateio Custos Fixos'!R23</f>
        <v>0</v>
      </c>
      <c r="AL18" s="9">
        <f>'Rateio Custos Fixos'!S23</f>
        <v>0</v>
      </c>
      <c r="AM18" s="9">
        <f>'Rateio Custos Fixos'!T23</f>
        <v>0</v>
      </c>
      <c r="AN18" s="9">
        <f>'Rateio Custos Fixos'!U23</f>
        <v>1188.3116883116884</v>
      </c>
      <c r="AO18" s="9">
        <f>'Rateio Custos Fixos'!V23</f>
        <v>135.3896103896104</v>
      </c>
      <c r="AP18" s="9">
        <f t="shared" si="19"/>
        <v>5597.6114935064934</v>
      </c>
      <c r="AQ18" s="9">
        <f t="shared" si="20"/>
        <v>94586.674366672232</v>
      </c>
      <c r="AR18" s="9"/>
      <c r="AS18" s="9"/>
      <c r="AU18" s="113"/>
      <c r="AV18" s="9">
        <f t="shared" si="21"/>
        <v>2017.5602594800632</v>
      </c>
      <c r="AW18" s="113"/>
      <c r="AX18" s="9">
        <f t="shared" si="22"/>
        <v>2160</v>
      </c>
      <c r="AY18" s="113"/>
      <c r="AZ18" s="186"/>
      <c r="BB18" s="9"/>
      <c r="BC18" s="10"/>
    </row>
    <row r="19" spans="2:55" x14ac:dyDescent="0.25">
      <c r="C19" s="170" t="str">
        <f>'LISTA DE COMPRAS'!C18</f>
        <v>BEC 100GDA (220V)</v>
      </c>
      <c r="G19" s="111">
        <f>'LISTA DE COMPRAS'!D18</f>
        <v>84186999</v>
      </c>
      <c r="H19" s="2">
        <f>'LISTA DE COMPRAS'!J18</f>
        <v>20</v>
      </c>
      <c r="I19" s="112">
        <f>'LISTA DE COMPRAS'!Q18</f>
        <v>3.655750190403656E-2</v>
      </c>
      <c r="J19" s="10">
        <f>'LISTA DE COMPRAS'!K18</f>
        <v>240</v>
      </c>
      <c r="K19" s="10">
        <f t="shared" si="14"/>
        <v>4800</v>
      </c>
      <c r="L19" s="180">
        <f t="shared" si="15"/>
        <v>25822.559999999998</v>
      </c>
      <c r="N19" s="4">
        <f t="shared" si="16"/>
        <v>0</v>
      </c>
      <c r="O19" s="9">
        <f>'Rateio Custos Fixos'!E24</f>
        <v>2564.0906926406924</v>
      </c>
      <c r="P19" s="9">
        <f t="shared" si="17"/>
        <v>28386.650692640691</v>
      </c>
      <c r="Q19" s="9">
        <f t="shared" si="10"/>
        <v>31963.368679913419</v>
      </c>
      <c r="R19" s="9">
        <f t="shared" si="3"/>
        <v>3576.717987272727</v>
      </c>
      <c r="S19" s="9">
        <f t="shared" si="11"/>
        <v>3116.4284462915584</v>
      </c>
      <c r="T19" s="9">
        <f t="shared" si="4"/>
        <v>596.1196645454545</v>
      </c>
      <c r="U19" s="9">
        <f t="shared" si="4"/>
        <v>2739.3117918398266</v>
      </c>
      <c r="V19" s="9">
        <f t="shared" si="4"/>
        <v>1135.4660277056278</v>
      </c>
      <c r="W19" s="9">
        <f t="shared" si="18"/>
        <v>11164.043917655195</v>
      </c>
      <c r="Y19" s="9">
        <f>'Rateio Custos Fixos'!F24</f>
        <v>9.6969696969696972</v>
      </c>
      <c r="Z19" s="9">
        <f>'Rateio Custos Fixos'!G24</f>
        <v>4.6346320346320349</v>
      </c>
      <c r="AA19" s="9">
        <f>'Rateio Custos Fixos'!H24</f>
        <v>504.67402597402594</v>
      </c>
      <c r="AB19" s="9">
        <f>'Rateio Custos Fixos'!I24</f>
        <v>0</v>
      </c>
      <c r="AC19" s="9">
        <f>'Rateio Custos Fixos'!J24</f>
        <v>5.6277056277056277</v>
      </c>
      <c r="AD19" s="9">
        <f>'Rateio Custos Fixos'!K24</f>
        <v>0</v>
      </c>
      <c r="AE19" s="9">
        <f>'Rateio Custos Fixos'!L24</f>
        <v>0</v>
      </c>
      <c r="AF19" s="9">
        <f>'Rateio Custos Fixos'!M24</f>
        <v>0</v>
      </c>
      <c r="AG19" s="9">
        <f>'Rateio Custos Fixos'!N24</f>
        <v>0</v>
      </c>
      <c r="AH19" s="9">
        <f>'Rateio Custos Fixos'!O24</f>
        <v>0</v>
      </c>
      <c r="AI19" s="9">
        <f>'Rateio Custos Fixos'!P24</f>
        <v>226.01731601731601</v>
      </c>
      <c r="AJ19" s="9">
        <f>'Rateio Custos Fixos'!Q24</f>
        <v>1038.9610389610389</v>
      </c>
      <c r="AK19" s="9">
        <f>'Rateio Custos Fixos'!R24</f>
        <v>0</v>
      </c>
      <c r="AL19" s="9">
        <f>'Rateio Custos Fixos'!S24</f>
        <v>0</v>
      </c>
      <c r="AM19" s="9">
        <f>'Rateio Custos Fixos'!T24</f>
        <v>0</v>
      </c>
      <c r="AN19" s="9">
        <f>'Rateio Custos Fixos'!U24</f>
        <v>528.13852813852816</v>
      </c>
      <c r="AO19" s="9">
        <f>'Rateio Custos Fixos'!V24</f>
        <v>60.17316017316017</v>
      </c>
      <c r="AP19" s="9">
        <f t="shared" si="19"/>
        <v>2377.923376623377</v>
      </c>
      <c r="AQ19" s="9">
        <f t="shared" si="20"/>
        <v>41928.617986919264</v>
      </c>
      <c r="AR19" s="9"/>
      <c r="AS19" s="9"/>
      <c r="AU19" s="113"/>
      <c r="AV19" s="9">
        <f t="shared" si="21"/>
        <v>2017.5602594800632</v>
      </c>
      <c r="AW19" s="113"/>
      <c r="AX19" s="9">
        <f t="shared" si="22"/>
        <v>2160</v>
      </c>
      <c r="AY19" s="113"/>
      <c r="AZ19" s="186"/>
      <c r="BB19" s="9"/>
      <c r="BC19" s="10"/>
    </row>
    <row r="20" spans="2:55" x14ac:dyDescent="0.25">
      <c r="C20" s="170" t="str">
        <f>'LISTA DE COMPRAS'!C19</f>
        <v>BEC 100SD (127V)</v>
      </c>
      <c r="G20" s="111">
        <f>'LISTA DE COMPRAS'!D19</f>
        <v>84186999</v>
      </c>
      <c r="H20" s="2">
        <f>'LISTA DE COMPRAS'!J19</f>
        <v>36</v>
      </c>
      <c r="I20" s="112">
        <f>'LISTA DE COMPRAS'!Q19</f>
        <v>3.7014470677837016E-2</v>
      </c>
      <c r="J20" s="10">
        <f>'LISTA DE COMPRAS'!K19</f>
        <v>243</v>
      </c>
      <c r="K20" s="10">
        <f t="shared" si="14"/>
        <v>8748</v>
      </c>
      <c r="L20" s="180">
        <f t="shared" si="15"/>
        <v>47061.615599999997</v>
      </c>
      <c r="N20" s="4">
        <f t="shared" si="16"/>
        <v>0</v>
      </c>
      <c r="O20" s="9">
        <f>'Rateio Custos Fixos'!E25</f>
        <v>4615.3632467532461</v>
      </c>
      <c r="P20" s="9">
        <f t="shared" si="17"/>
        <v>51676.978846753242</v>
      </c>
      <c r="Q20" s="9">
        <f t="shared" si="10"/>
        <v>58188.278181444148</v>
      </c>
      <c r="R20" s="9">
        <f t="shared" si="3"/>
        <v>6511.2993346909088</v>
      </c>
      <c r="S20" s="9">
        <f t="shared" si="11"/>
        <v>5673.3571226908043</v>
      </c>
      <c r="T20" s="9">
        <f t="shared" si="4"/>
        <v>1085.2165557818182</v>
      </c>
      <c r="U20" s="9">
        <f t="shared" si="4"/>
        <v>4986.8284587116877</v>
      </c>
      <c r="V20" s="9">
        <f t="shared" si="4"/>
        <v>2067.0791538701296</v>
      </c>
      <c r="W20" s="9">
        <f t="shared" si="18"/>
        <v>20323.780625745349</v>
      </c>
      <c r="Y20" s="9">
        <f>'Rateio Custos Fixos'!F25</f>
        <v>17.454545454545453</v>
      </c>
      <c r="Z20" s="9">
        <f>'Rateio Custos Fixos'!G25</f>
        <v>8.3423376623376626</v>
      </c>
      <c r="AA20" s="9">
        <f>'Rateio Custos Fixos'!H25</f>
        <v>908.41324675324665</v>
      </c>
      <c r="AB20" s="9">
        <f>'Rateio Custos Fixos'!I25</f>
        <v>0</v>
      </c>
      <c r="AC20" s="9">
        <f>'Rateio Custos Fixos'!J25</f>
        <v>10.129870129870129</v>
      </c>
      <c r="AD20" s="9">
        <f>'Rateio Custos Fixos'!K25</f>
        <v>0</v>
      </c>
      <c r="AE20" s="9">
        <f>'Rateio Custos Fixos'!L25</f>
        <v>0</v>
      </c>
      <c r="AF20" s="9">
        <f>'Rateio Custos Fixos'!M25</f>
        <v>0</v>
      </c>
      <c r="AG20" s="9">
        <f>'Rateio Custos Fixos'!N25</f>
        <v>0</v>
      </c>
      <c r="AH20" s="9">
        <f>'Rateio Custos Fixos'!O25</f>
        <v>0</v>
      </c>
      <c r="AI20" s="9">
        <f>'Rateio Custos Fixos'!P25</f>
        <v>406.83116883116884</v>
      </c>
      <c r="AJ20" s="9">
        <f>'Rateio Custos Fixos'!Q25</f>
        <v>1870.1298701298701</v>
      </c>
      <c r="AK20" s="9">
        <f>'Rateio Custos Fixos'!R25</f>
        <v>0</v>
      </c>
      <c r="AL20" s="9">
        <f>'Rateio Custos Fixos'!S25</f>
        <v>0</v>
      </c>
      <c r="AM20" s="9">
        <f>'Rateio Custos Fixos'!T25</f>
        <v>0</v>
      </c>
      <c r="AN20" s="9">
        <f>'Rateio Custos Fixos'!U25</f>
        <v>950.64935064935059</v>
      </c>
      <c r="AO20" s="9">
        <f>'Rateio Custos Fixos'!V25</f>
        <v>108.31168831168831</v>
      </c>
      <c r="AP20" s="9">
        <f t="shared" si="19"/>
        <v>4280.2620779220779</v>
      </c>
      <c r="AQ20" s="9">
        <f t="shared" si="20"/>
        <v>76281.021550420672</v>
      </c>
      <c r="AR20" s="9"/>
      <c r="AS20" s="9"/>
      <c r="AU20" s="113"/>
      <c r="AV20" s="9">
        <f t="shared" si="21"/>
        <v>2042.7797627235641</v>
      </c>
      <c r="AW20" s="113"/>
      <c r="AX20" s="9">
        <f t="shared" si="22"/>
        <v>2187</v>
      </c>
      <c r="AY20" s="113"/>
      <c r="AZ20" s="186"/>
      <c r="BB20" s="9"/>
      <c r="BC20" s="10"/>
    </row>
    <row r="21" spans="2:55" x14ac:dyDescent="0.25">
      <c r="C21" s="170" t="str">
        <f>'LISTA DE COMPRAS'!C20</f>
        <v>UCH50BA (220V)</v>
      </c>
      <c r="G21" s="111">
        <f>'LISTA DE COMPRAS'!D20</f>
        <v>84186999</v>
      </c>
      <c r="H21" s="2">
        <f>'LISTA DE COMPRAS'!J20</f>
        <v>5</v>
      </c>
      <c r="I21" s="112">
        <f>'LISTA DE COMPRAS'!Q20</f>
        <v>1.7212490479817214E-2</v>
      </c>
      <c r="J21" s="10">
        <f>'LISTA DE COMPRAS'!K20</f>
        <v>113</v>
      </c>
      <c r="K21" s="10">
        <f t="shared" si="14"/>
        <v>565</v>
      </c>
      <c r="L21" s="180">
        <f t="shared" si="15"/>
        <v>3039.5304999999998</v>
      </c>
      <c r="N21" s="4">
        <f t="shared" si="16"/>
        <v>0</v>
      </c>
      <c r="O21" s="9">
        <f>'Rateio Custos Fixos'!E26</f>
        <v>641.0226731601731</v>
      </c>
      <c r="P21" s="9">
        <f t="shared" si="17"/>
        <v>3680.5531731601732</v>
      </c>
      <c r="Q21" s="9">
        <f t="shared" si="10"/>
        <v>4144.3028729783546</v>
      </c>
      <c r="R21" s="9">
        <f t="shared" si="3"/>
        <v>463.7496998181818</v>
      </c>
      <c r="S21" s="9">
        <f t="shared" si="11"/>
        <v>404.06953011538957</v>
      </c>
      <c r="T21" s="9">
        <f t="shared" si="4"/>
        <v>77.291616636363642</v>
      </c>
      <c r="U21" s="9">
        <f t="shared" si="4"/>
        <v>355.17338120995674</v>
      </c>
      <c r="V21" s="9">
        <f t="shared" si="4"/>
        <v>147.22212692640693</v>
      </c>
      <c r="W21" s="9">
        <f t="shared" si="18"/>
        <v>1447.5063547062987</v>
      </c>
      <c r="Y21" s="9">
        <f>'Rateio Custos Fixos'!F26</f>
        <v>2.4242424242424243</v>
      </c>
      <c r="Z21" s="9">
        <f>'Rateio Custos Fixos'!G26</f>
        <v>1.1586580086580087</v>
      </c>
      <c r="AA21" s="9">
        <f>'Rateio Custos Fixos'!H26</f>
        <v>126.16850649350648</v>
      </c>
      <c r="AB21" s="9">
        <f>'Rateio Custos Fixos'!I26</f>
        <v>0</v>
      </c>
      <c r="AC21" s="9">
        <f>'Rateio Custos Fixos'!J26</f>
        <v>1.4069264069264069</v>
      </c>
      <c r="AD21" s="9">
        <f>'Rateio Custos Fixos'!K26</f>
        <v>0</v>
      </c>
      <c r="AE21" s="9">
        <f>'Rateio Custos Fixos'!L26</f>
        <v>0</v>
      </c>
      <c r="AF21" s="9">
        <f>'Rateio Custos Fixos'!M26</f>
        <v>0</v>
      </c>
      <c r="AG21" s="9">
        <f>'Rateio Custos Fixos'!N26</f>
        <v>0</v>
      </c>
      <c r="AH21" s="9">
        <f>'Rateio Custos Fixos'!O26</f>
        <v>0</v>
      </c>
      <c r="AI21" s="9">
        <f>'Rateio Custos Fixos'!P26</f>
        <v>56.504329004329001</v>
      </c>
      <c r="AJ21" s="9">
        <f>'Rateio Custos Fixos'!Q26</f>
        <v>259.74025974025972</v>
      </c>
      <c r="AK21" s="9">
        <f>'Rateio Custos Fixos'!R26</f>
        <v>0</v>
      </c>
      <c r="AL21" s="9">
        <f>'Rateio Custos Fixos'!S26</f>
        <v>0</v>
      </c>
      <c r="AM21" s="9">
        <f>'Rateio Custos Fixos'!T26</f>
        <v>0</v>
      </c>
      <c r="AN21" s="9">
        <f>'Rateio Custos Fixos'!U26</f>
        <v>132.03463203463204</v>
      </c>
      <c r="AO21" s="9">
        <f>'Rateio Custos Fixos'!V26</f>
        <v>15.043290043290042</v>
      </c>
      <c r="AP21" s="9">
        <f t="shared" si="19"/>
        <v>594.48084415584424</v>
      </c>
      <c r="AQ21" s="9">
        <f t="shared" si="20"/>
        <v>5722.5403720223167</v>
      </c>
      <c r="AR21" s="9"/>
      <c r="AS21" s="9"/>
      <c r="AU21" s="113"/>
      <c r="AV21" s="9">
        <f t="shared" si="21"/>
        <v>949.93462217186311</v>
      </c>
      <c r="AW21" s="113"/>
      <c r="AX21" s="9">
        <f t="shared" si="22"/>
        <v>1017</v>
      </c>
      <c r="AY21" s="113"/>
      <c r="AZ21" s="186"/>
      <c r="BB21" s="9"/>
      <c r="BC21" s="10"/>
    </row>
    <row r="22" spans="2:55" x14ac:dyDescent="0.25">
      <c r="C22" s="170" t="str">
        <f>'LISTA DE COMPRAS'!C21</f>
        <v>UCH150SA (220V)</v>
      </c>
      <c r="G22" s="111">
        <f>'LISTA DE COMPRAS'!D21</f>
        <v>84186999</v>
      </c>
      <c r="H22" s="2">
        <f>'LISTA DE COMPRAS'!J21</f>
        <v>2</v>
      </c>
      <c r="I22" s="112">
        <f>'LISTA DE COMPRAS'!Q21</f>
        <v>5.1637471439451639E-2</v>
      </c>
      <c r="J22" s="10">
        <f>'LISTA DE COMPRAS'!K21</f>
        <v>339</v>
      </c>
      <c r="K22" s="10">
        <f t="shared" si="14"/>
        <v>678</v>
      </c>
      <c r="L22" s="180">
        <f t="shared" si="15"/>
        <v>3647.4366</v>
      </c>
      <c r="N22" s="4">
        <f t="shared" si="16"/>
        <v>0</v>
      </c>
      <c r="O22" s="9">
        <f>'Rateio Custos Fixos'!E27</f>
        <v>256.40906926406922</v>
      </c>
      <c r="P22" s="9">
        <f t="shared" si="17"/>
        <v>3903.8456692640693</v>
      </c>
      <c r="Q22" s="9">
        <f t="shared" si="10"/>
        <v>4395.7302235913421</v>
      </c>
      <c r="R22" s="9">
        <f t="shared" si="3"/>
        <v>491.88455432727272</v>
      </c>
      <c r="S22" s="9">
        <f t="shared" si="11"/>
        <v>428.58369680015585</v>
      </c>
      <c r="T22" s="9">
        <f t="shared" si="4"/>
        <v>81.980759054545459</v>
      </c>
      <c r="U22" s="9">
        <f t="shared" si="4"/>
        <v>376.7211070839827</v>
      </c>
      <c r="V22" s="9">
        <f t="shared" si="4"/>
        <v>156.15382677056277</v>
      </c>
      <c r="W22" s="9">
        <f t="shared" si="18"/>
        <v>1535.3239440365196</v>
      </c>
      <c r="Y22" s="9">
        <f>'Rateio Custos Fixos'!F27</f>
        <v>224</v>
      </c>
      <c r="Z22" s="9">
        <f>'Rateio Custos Fixos'!G27</f>
        <v>2</v>
      </c>
      <c r="AA22" s="9">
        <f>'Rateio Custos Fixos'!H27</f>
        <v>50.467402597402597</v>
      </c>
      <c r="AB22" s="9">
        <f>'Rateio Custos Fixos'!I27</f>
        <v>0</v>
      </c>
      <c r="AC22" s="9">
        <f>'Rateio Custos Fixos'!J27</f>
        <v>0.56277056277056281</v>
      </c>
      <c r="AD22" s="9">
        <f>'Rateio Custos Fixos'!K27</f>
        <v>0</v>
      </c>
      <c r="AE22" s="9">
        <f>'Rateio Custos Fixos'!L27</f>
        <v>0</v>
      </c>
      <c r="AF22" s="9">
        <f>'Rateio Custos Fixos'!M27</f>
        <v>0</v>
      </c>
      <c r="AG22" s="9">
        <f>'Rateio Custos Fixos'!N27</f>
        <v>0</v>
      </c>
      <c r="AH22" s="9">
        <f>'Rateio Custos Fixos'!O27</f>
        <v>0</v>
      </c>
      <c r="AI22" s="9">
        <f>'Rateio Custos Fixos'!P27</f>
        <v>22.601731601731601</v>
      </c>
      <c r="AJ22" s="9">
        <f>'Rateio Custos Fixos'!Q27</f>
        <v>103.8961038961039</v>
      </c>
      <c r="AK22" s="9">
        <f>'Rateio Custos Fixos'!R27</f>
        <v>0</v>
      </c>
      <c r="AL22" s="9">
        <f>'Rateio Custos Fixos'!S27</f>
        <v>0</v>
      </c>
      <c r="AM22" s="9">
        <f>'Rateio Custos Fixos'!T27</f>
        <v>0</v>
      </c>
      <c r="AN22" s="9">
        <f>'Rateio Custos Fixos'!U27</f>
        <v>52.813852813852812</v>
      </c>
      <c r="AO22" s="9">
        <f>'Rateio Custos Fixos'!V27</f>
        <v>6.0173160173160172</v>
      </c>
      <c r="AP22" s="9">
        <f t="shared" si="19"/>
        <v>462.35917748917751</v>
      </c>
      <c r="AQ22" s="9">
        <f t="shared" si="20"/>
        <v>5901.5287907897664</v>
      </c>
      <c r="AR22" s="9"/>
      <c r="AS22" s="9"/>
      <c r="AU22" s="113"/>
      <c r="AV22" s="9">
        <f t="shared" si="21"/>
        <v>2849.8038665155896</v>
      </c>
      <c r="AW22" s="113"/>
      <c r="AX22" s="9">
        <f t="shared" si="22"/>
        <v>3051</v>
      </c>
      <c r="AY22" s="113"/>
      <c r="AZ22" s="186"/>
      <c r="BB22" s="9"/>
      <c r="BC22" s="10"/>
    </row>
    <row r="23" spans="2:55" x14ac:dyDescent="0.25">
      <c r="C23" s="171" t="str">
        <f>'LISTA DE COMPRAS'!C22</f>
        <v>BEC 100SDA (220V)</v>
      </c>
      <c r="G23" s="111">
        <f>'LISTA DE COMPRAS'!D22</f>
        <v>84186999</v>
      </c>
      <c r="H23" s="2">
        <f>'LISTA DE COMPRAS'!J22</f>
        <v>13</v>
      </c>
      <c r="I23" s="112">
        <f>'LISTA DE COMPRAS'!Q22</f>
        <v>3.7014470677837016E-2</v>
      </c>
      <c r="J23" s="10">
        <f>'LISTA DE COMPRAS'!K22</f>
        <v>243</v>
      </c>
      <c r="K23" s="10">
        <f t="shared" si="14"/>
        <v>3159</v>
      </c>
      <c r="L23" s="180">
        <f t="shared" si="15"/>
        <v>16994.472299999998</v>
      </c>
      <c r="N23" s="4">
        <f t="shared" si="16"/>
        <v>0</v>
      </c>
      <c r="O23" s="9">
        <f>'Rateio Custos Fixos'!E28</f>
        <v>1666.6589502164502</v>
      </c>
      <c r="P23" s="9">
        <f t="shared" si="17"/>
        <v>18661.131250216447</v>
      </c>
      <c r="Q23" s="9">
        <f t="shared" si="10"/>
        <v>21012.433787743721</v>
      </c>
      <c r="R23" s="9">
        <f t="shared" ref="R23:V25" si="23">$P23*R$5</f>
        <v>2351.3025375272723</v>
      </c>
      <c r="S23" s="9">
        <f t="shared" si="11"/>
        <v>2048.7122943050131</v>
      </c>
      <c r="T23" s="9">
        <f t="shared" si="23"/>
        <v>391.8837562545454</v>
      </c>
      <c r="U23" s="9">
        <f t="shared" si="23"/>
        <v>1800.7991656458871</v>
      </c>
      <c r="V23" s="9">
        <f t="shared" si="23"/>
        <v>746.44525000865792</v>
      </c>
      <c r="W23" s="9">
        <f t="shared" si="18"/>
        <v>7339.1430037413757</v>
      </c>
      <c r="Y23" s="9">
        <f>'Rateio Custos Fixos'!F28</f>
        <v>6.3030303030303036</v>
      </c>
      <c r="Z23" s="9">
        <f>'Rateio Custos Fixos'!G28</f>
        <v>3.0125108225108228</v>
      </c>
      <c r="AA23" s="9">
        <f>'Rateio Custos Fixos'!H28</f>
        <v>328.03811688311686</v>
      </c>
      <c r="AB23" s="9">
        <f>'Rateio Custos Fixos'!I28</f>
        <v>0</v>
      </c>
      <c r="AC23" s="9">
        <f>'Rateio Custos Fixos'!J28</f>
        <v>3.6580086580086584</v>
      </c>
      <c r="AD23" s="9">
        <f>'Rateio Custos Fixos'!K28</f>
        <v>0</v>
      </c>
      <c r="AE23" s="9">
        <f>'Rateio Custos Fixos'!L28</f>
        <v>0</v>
      </c>
      <c r="AF23" s="9">
        <f>'Rateio Custos Fixos'!M28</f>
        <v>0</v>
      </c>
      <c r="AG23" s="9">
        <f>'Rateio Custos Fixos'!N28</f>
        <v>0</v>
      </c>
      <c r="AH23" s="9">
        <f>'Rateio Custos Fixos'!O28</f>
        <v>0</v>
      </c>
      <c r="AI23" s="9">
        <f>'Rateio Custos Fixos'!P28</f>
        <v>146.91125541125541</v>
      </c>
      <c r="AJ23" s="9">
        <f>'Rateio Custos Fixos'!Q28</f>
        <v>675.32467532467535</v>
      </c>
      <c r="AK23" s="9">
        <f>'Rateio Custos Fixos'!R28</f>
        <v>0</v>
      </c>
      <c r="AL23" s="9">
        <f>'Rateio Custos Fixos'!S28</f>
        <v>0</v>
      </c>
      <c r="AM23" s="9">
        <f>'Rateio Custos Fixos'!T28</f>
        <v>0</v>
      </c>
      <c r="AN23" s="9">
        <f>'Rateio Custos Fixos'!U28</f>
        <v>343.29004329004329</v>
      </c>
      <c r="AO23" s="9">
        <f>'Rateio Custos Fixos'!V28</f>
        <v>39.112554112554115</v>
      </c>
      <c r="AP23" s="9">
        <f t="shared" si="19"/>
        <v>1545.6501948051948</v>
      </c>
      <c r="AQ23" s="9">
        <f t="shared" si="20"/>
        <v>27545.92444876302</v>
      </c>
      <c r="AR23" s="9"/>
      <c r="AS23" s="9"/>
      <c r="AU23" s="113"/>
      <c r="AV23" s="9">
        <f t="shared" si="21"/>
        <v>2042.7797627235636</v>
      </c>
      <c r="AW23" s="113"/>
      <c r="AX23" s="9">
        <f t="shared" si="22"/>
        <v>2187</v>
      </c>
      <c r="AY23" s="113"/>
      <c r="AZ23" s="186"/>
      <c r="BB23" s="9"/>
      <c r="BC23" s="10"/>
    </row>
    <row r="24" spans="2:55" x14ac:dyDescent="0.25">
      <c r="C24" s="171" t="str">
        <f>'LISTA DE COMPRAS'!C23</f>
        <v>SPARE PARTS</v>
      </c>
      <c r="G24" s="111">
        <f>'LISTA DE COMPRAS'!D23</f>
        <v>84186999</v>
      </c>
      <c r="H24" s="2">
        <f>'LISTA DE COMPRAS'!J23</f>
        <v>5</v>
      </c>
      <c r="I24" s="112">
        <f>'LISTA DE COMPRAS'!Q23</f>
        <v>1.4470677837014471E-2</v>
      </c>
      <c r="J24" s="10">
        <f>'LISTA DE COMPRAS'!K23</f>
        <v>95</v>
      </c>
      <c r="K24" s="10">
        <f t="shared" si="14"/>
        <v>475</v>
      </c>
      <c r="L24" s="180">
        <f t="shared" si="15"/>
        <v>2555.3575000000001</v>
      </c>
      <c r="N24" s="4">
        <f t="shared" si="16"/>
        <v>0</v>
      </c>
      <c r="O24" s="9">
        <f>'Rateio Custos Fixos'!E29</f>
        <v>641.0226731601731</v>
      </c>
      <c r="P24" s="9">
        <f t="shared" si="17"/>
        <v>3196.3801731601734</v>
      </c>
      <c r="Q24" s="9">
        <f t="shared" si="10"/>
        <v>3599.1240749783551</v>
      </c>
      <c r="R24" s="9">
        <f t="shared" si="23"/>
        <v>402.74390181818183</v>
      </c>
      <c r="S24" s="9">
        <f t="shared" si="11"/>
        <v>350.91459731038964</v>
      </c>
      <c r="T24" s="9">
        <f t="shared" si="23"/>
        <v>67.123983636363647</v>
      </c>
      <c r="U24" s="9">
        <f t="shared" si="23"/>
        <v>308.45068670995676</v>
      </c>
      <c r="V24" s="9">
        <f t="shared" si="23"/>
        <v>127.85520692640694</v>
      </c>
      <c r="W24" s="9">
        <f t="shared" si="18"/>
        <v>1257.0883764012988</v>
      </c>
      <c r="Y24" s="9">
        <f>'Rateio Custos Fixos'!F29</f>
        <v>2.4242424242424243</v>
      </c>
      <c r="Z24" s="9">
        <f>'Rateio Custos Fixos'!G29</f>
        <v>56.53</v>
      </c>
      <c r="AA24" s="9">
        <f>'Rateio Custos Fixos'!H29</f>
        <v>126.16850649350648</v>
      </c>
      <c r="AB24" s="9">
        <f>'Rateio Custos Fixos'!I29</f>
        <v>0</v>
      </c>
      <c r="AC24" s="9">
        <f>'Rateio Custos Fixos'!J29</f>
        <v>1.4069264069264069</v>
      </c>
      <c r="AD24" s="9">
        <f>'Rateio Custos Fixos'!K29</f>
        <v>0</v>
      </c>
      <c r="AE24" s="9">
        <f>'Rateio Custos Fixos'!L29</f>
        <v>0</v>
      </c>
      <c r="AF24" s="9">
        <f>'Rateio Custos Fixos'!M29</f>
        <v>0</v>
      </c>
      <c r="AG24" s="9">
        <f>'Rateio Custos Fixos'!N29</f>
        <v>0</v>
      </c>
      <c r="AH24" s="9">
        <f>'Rateio Custos Fixos'!O29</f>
        <v>0</v>
      </c>
      <c r="AI24" s="9">
        <f>'Rateio Custos Fixos'!P29</f>
        <v>56.504329004329001</v>
      </c>
      <c r="AJ24" s="9">
        <f>'Rateio Custos Fixos'!Q29</f>
        <v>259.74025974025972</v>
      </c>
      <c r="AK24" s="9">
        <f>'Rateio Custos Fixos'!R29</f>
        <v>0</v>
      </c>
      <c r="AL24" s="9">
        <f>'Rateio Custos Fixos'!S29</f>
        <v>0</v>
      </c>
      <c r="AM24" s="9">
        <f>'Rateio Custos Fixos'!T29</f>
        <v>0</v>
      </c>
      <c r="AN24" s="9">
        <f>'Rateio Custos Fixos'!U29</f>
        <v>132.03463203463204</v>
      </c>
      <c r="AO24" s="9">
        <f>'Rateio Custos Fixos'!V29</f>
        <v>15.043290043290042</v>
      </c>
      <c r="AP24" s="9">
        <f t="shared" si="19"/>
        <v>649.85218614718622</v>
      </c>
      <c r="AQ24" s="9">
        <f t="shared" si="20"/>
        <v>5103.3207357086585</v>
      </c>
      <c r="AR24" s="9"/>
      <c r="AS24" s="9"/>
      <c r="AU24" s="113"/>
      <c r="AV24" s="9">
        <f t="shared" si="21"/>
        <v>798.61760271085836</v>
      </c>
      <c r="AW24" s="113"/>
      <c r="AX24" s="9">
        <f t="shared" si="22"/>
        <v>855</v>
      </c>
      <c r="AY24" s="113"/>
      <c r="AZ24" s="186"/>
      <c r="BB24" s="9"/>
      <c r="BC24" s="10"/>
    </row>
    <row r="25" spans="2:55" x14ac:dyDescent="0.25">
      <c r="C25" s="171" t="str">
        <f>'LISTA DE COMPRAS'!C24</f>
        <v>SPARE PARTS</v>
      </c>
      <c r="G25" s="111">
        <f>'LISTA DE COMPRAS'!D24</f>
        <v>84186999</v>
      </c>
      <c r="H25" s="2">
        <f>'LISTA DE COMPRAS'!J24</f>
        <v>2</v>
      </c>
      <c r="I25" s="112">
        <f>'LISTA DE COMPRAS'!Q24</f>
        <v>1.5079969535415081E-2</v>
      </c>
      <c r="J25" s="10">
        <f>'LISTA DE COMPRAS'!K24</f>
        <v>99</v>
      </c>
      <c r="K25" s="10">
        <f t="shared" ref="K25" si="24">H25*J25</f>
        <v>198</v>
      </c>
      <c r="L25" s="180">
        <f t="shared" ref="L25" si="25">K25*L$5</f>
        <v>1065.1805999999999</v>
      </c>
      <c r="N25" s="4">
        <f t="shared" ref="N25" si="26">$N$4*I25</f>
        <v>0</v>
      </c>
      <c r="O25" s="9">
        <f>'Rateio Custos Fixos'!E30</f>
        <v>256.40906926406922</v>
      </c>
      <c r="P25" s="9">
        <f t="shared" ref="P25" si="27">SUM(L25,O25)</f>
        <v>1321.589669264069</v>
      </c>
      <c r="Q25" s="9">
        <f t="shared" si="10"/>
        <v>1488.1099675913417</v>
      </c>
      <c r="R25" s="9">
        <f t="shared" si="23"/>
        <v>166.52029832727268</v>
      </c>
      <c r="S25" s="9">
        <f t="shared" si="11"/>
        <v>145.09072184015582</v>
      </c>
      <c r="T25" s="9">
        <f t="shared" si="23"/>
        <v>27.753383054545452</v>
      </c>
      <c r="U25" s="9">
        <f t="shared" si="23"/>
        <v>127.53340308398266</v>
      </c>
      <c r="V25" s="9">
        <f t="shared" si="23"/>
        <v>52.863586770562762</v>
      </c>
      <c r="W25" s="9">
        <f t="shared" ref="W25" si="28">SUM(R25:V25)</f>
        <v>519.76139307651931</v>
      </c>
      <c r="Y25" s="9">
        <f>'Rateio Custos Fixos'!F30</f>
        <v>0.96969696969696972</v>
      </c>
      <c r="Z25" s="9">
        <f>'Rateio Custos Fixos'!G30</f>
        <v>57.53</v>
      </c>
      <c r="AA25" s="9">
        <f>'Rateio Custos Fixos'!H30</f>
        <v>50.467402597402597</v>
      </c>
      <c r="AB25" s="9">
        <f>'Rateio Custos Fixos'!I30</f>
        <v>0</v>
      </c>
      <c r="AC25" s="9">
        <f>'Rateio Custos Fixos'!J30</f>
        <v>0.56277056277056281</v>
      </c>
      <c r="AD25" s="9">
        <f>'Rateio Custos Fixos'!K30</f>
        <v>0</v>
      </c>
      <c r="AE25" s="9">
        <f>'Rateio Custos Fixos'!L30</f>
        <v>0</v>
      </c>
      <c r="AF25" s="9">
        <f>'Rateio Custos Fixos'!M30</f>
        <v>0</v>
      </c>
      <c r="AG25" s="9">
        <f>'Rateio Custos Fixos'!N30</f>
        <v>0</v>
      </c>
      <c r="AH25" s="9">
        <f>'Rateio Custos Fixos'!O30</f>
        <v>0</v>
      </c>
      <c r="AI25" s="9">
        <f>'Rateio Custos Fixos'!P30</f>
        <v>22.601731601731601</v>
      </c>
      <c r="AJ25" s="9">
        <f>'Rateio Custos Fixos'!Q30</f>
        <v>103.8961038961039</v>
      </c>
      <c r="AK25" s="9">
        <f>'Rateio Custos Fixos'!R30</f>
        <v>0</v>
      </c>
      <c r="AL25" s="9">
        <f>'Rateio Custos Fixos'!S30</f>
        <v>0</v>
      </c>
      <c r="AM25" s="9">
        <f>'Rateio Custos Fixos'!T30</f>
        <v>0</v>
      </c>
      <c r="AN25" s="9">
        <f>'Rateio Custos Fixos'!U30</f>
        <v>52.813852813852812</v>
      </c>
      <c r="AO25" s="9">
        <f>'Rateio Custos Fixos'!V30</f>
        <v>6.0173160173160172</v>
      </c>
      <c r="AP25" s="9">
        <f t="shared" ref="AP25" si="29">SUM(Y25:AO25)</f>
        <v>294.85887445887448</v>
      </c>
      <c r="AQ25" s="9">
        <f t="shared" ref="AQ25" si="30">AP25+W25+P25</f>
        <v>2136.2099367994629</v>
      </c>
      <c r="AR25" s="9"/>
      <c r="AS25" s="9"/>
      <c r="AU25" s="113"/>
      <c r="AV25" s="9">
        <f t="shared" ref="AV25" si="31">(L25+(L25*AP$29))/H25</f>
        <v>832.24360703552611</v>
      </c>
    </row>
    <row r="26" spans="2:55" x14ac:dyDescent="0.25">
      <c r="C26" s="171"/>
      <c r="AO26" t="s">
        <v>96</v>
      </c>
      <c r="AP26" s="9">
        <f>L4</f>
        <v>817827.3737</v>
      </c>
    </row>
    <row r="27" spans="2:55" x14ac:dyDescent="0.25">
      <c r="C27" s="171"/>
      <c r="AO27" t="s">
        <v>97</v>
      </c>
      <c r="AP27" s="9">
        <f>AP28-AP26</f>
        <v>460137.32716007798</v>
      </c>
    </row>
    <row r="28" spans="2:55" x14ac:dyDescent="0.25">
      <c r="C28" s="170"/>
      <c r="AO28" t="s">
        <v>98</v>
      </c>
      <c r="AP28" s="9">
        <f>AQ4</f>
        <v>1277964.700860078</v>
      </c>
    </row>
    <row r="29" spans="2:55" x14ac:dyDescent="0.25">
      <c r="C29" s="170"/>
      <c r="AO29" t="s">
        <v>99</v>
      </c>
      <c r="AP29" s="112">
        <f>AP27/AP26</f>
        <v>0.56263380507592076</v>
      </c>
    </row>
    <row r="30" spans="2:55" x14ac:dyDescent="0.25">
      <c r="C30" s="170"/>
    </row>
    <row r="36" spans="16:25" x14ac:dyDescent="0.25">
      <c r="S36" s="9"/>
      <c r="T36" s="9"/>
      <c r="U36" s="9"/>
      <c r="V36" s="9"/>
      <c r="W36" s="9"/>
      <c r="Y36" s="9"/>
    </row>
    <row r="39" spans="16:25" x14ac:dyDescent="0.25">
      <c r="P39" s="131"/>
    </row>
    <row r="40" spans="16:25" x14ac:dyDescent="0.25">
      <c r="P40" s="131"/>
    </row>
    <row r="41" spans="16:25" x14ac:dyDescent="0.25">
      <c r="P41" s="131"/>
    </row>
    <row r="42" spans="16:25" x14ac:dyDescent="0.25">
      <c r="P42" s="131"/>
    </row>
    <row r="43" spans="16:25" x14ac:dyDescent="0.25">
      <c r="P43" s="131"/>
    </row>
    <row r="44" spans="16:25" x14ac:dyDescent="0.25">
      <c r="P44" s="131"/>
    </row>
  </sheetData>
  <autoFilter ref="A4:BA7" xr:uid="{5657F730-3338-4C15-B194-26A8EB2D236B}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757A-B503-465F-94ED-BC0767E10E0A}">
  <dimension ref="A1:W36"/>
  <sheetViews>
    <sheetView zoomScale="90" zoomScaleNormal="90" workbookViewId="0">
      <selection activeCell="D22" sqref="D22"/>
    </sheetView>
  </sheetViews>
  <sheetFormatPr defaultRowHeight="15" customHeight="1" x14ac:dyDescent="0.25"/>
  <cols>
    <col min="1" max="1" width="68.28515625" customWidth="1"/>
    <col min="2" max="2" width="12.5703125" customWidth="1"/>
    <col min="3" max="3" width="14.28515625" bestFit="1" customWidth="1"/>
    <col min="4" max="4" width="9.140625" customWidth="1"/>
    <col min="5" max="5" width="16.28515625" customWidth="1"/>
    <col min="6" max="12" width="15.7109375" customWidth="1"/>
    <col min="13" max="13" width="19.7109375" bestFit="1" customWidth="1"/>
    <col min="14" max="15" width="15.7109375" customWidth="1"/>
    <col min="16" max="16" width="19.42578125" customWidth="1"/>
    <col min="17" max="22" width="15.7109375" customWidth="1"/>
    <col min="23" max="23" width="15.42578125" bestFit="1" customWidth="1"/>
  </cols>
  <sheetData>
    <row r="1" spans="1:23" x14ac:dyDescent="0.25">
      <c r="A1" t="s">
        <v>100</v>
      </c>
      <c r="F1" t="s">
        <v>101</v>
      </c>
      <c r="G1" s="2" t="s">
        <v>16</v>
      </c>
      <c r="H1" s="2"/>
    </row>
    <row r="2" spans="1:23" x14ac:dyDescent="0.25">
      <c r="F2" s="10">
        <v>3800</v>
      </c>
      <c r="G2" s="9">
        <f>F2*B3</f>
        <v>20442.86</v>
      </c>
      <c r="H2" s="9"/>
    </row>
    <row r="3" spans="1:23" x14ac:dyDescent="0.25">
      <c r="A3" t="e" vm="1">
        <v>#VALUE!</v>
      </c>
      <c r="B3" s="188">
        <v>5.3796999999999997</v>
      </c>
      <c r="F3" s="9">
        <v>2800</v>
      </c>
      <c r="G3" s="9">
        <f>F3</f>
        <v>2800</v>
      </c>
      <c r="H3" s="9"/>
    </row>
    <row r="4" spans="1:23" x14ac:dyDescent="0.25">
      <c r="A4" t="e" vm="2">
        <v>#VALUE!</v>
      </c>
      <c r="B4" s="9" cm="1">
        <f t="array" aca="1" ref="B4" ca="1">_FV(A4,"Preço")</f>
        <v>6.2373000000000003</v>
      </c>
      <c r="F4" t="s">
        <v>34</v>
      </c>
      <c r="G4" s="9">
        <v>57347.6</v>
      </c>
      <c r="H4" s="9"/>
    </row>
    <row r="5" spans="1:23" x14ac:dyDescent="0.25">
      <c r="G5" s="10">
        <f>G4/B3</f>
        <v>10659.999628232057</v>
      </c>
      <c r="H5" s="10"/>
    </row>
    <row r="6" spans="1:23" ht="15" customHeight="1" x14ac:dyDescent="0.25">
      <c r="F6" t="s">
        <v>103</v>
      </c>
    </row>
    <row r="7" spans="1:23" ht="15" customHeight="1" x14ac:dyDescent="0.25">
      <c r="F7" s="10">
        <v>350</v>
      </c>
      <c r="G7">
        <f>F7*B3</f>
        <v>1882.895</v>
      </c>
    </row>
    <row r="8" spans="1:23" x14ac:dyDescent="0.25"/>
    <row r="10" spans="1:23" s="2" customFormat="1" ht="45" x14ac:dyDescent="0.25">
      <c r="A10" s="5" t="s">
        <v>40</v>
      </c>
      <c r="B10" s="5" t="s">
        <v>102</v>
      </c>
      <c r="C10" s="5" t="str">
        <f>'[2]Lista de Compra'!Q2</f>
        <v>% Rateio Preço</v>
      </c>
      <c r="E10" s="6" t="s">
        <v>101</v>
      </c>
      <c r="F10" s="6" t="s">
        <v>69</v>
      </c>
      <c r="G10" s="6" t="s">
        <v>107</v>
      </c>
      <c r="H10" s="6" t="s">
        <v>106</v>
      </c>
      <c r="I10" s="6" t="s">
        <v>70</v>
      </c>
      <c r="J10" s="6" t="s">
        <v>71</v>
      </c>
      <c r="K10" s="6" t="s">
        <v>72</v>
      </c>
      <c r="L10" s="6" t="s">
        <v>73</v>
      </c>
      <c r="M10" s="6" t="s">
        <v>74</v>
      </c>
      <c r="N10" s="6" t="s">
        <v>75</v>
      </c>
      <c r="O10" s="6" t="s">
        <v>76</v>
      </c>
      <c r="P10" s="6" t="s">
        <v>77</v>
      </c>
      <c r="Q10" s="6" t="s">
        <v>78</v>
      </c>
      <c r="R10" s="6" t="s">
        <v>79</v>
      </c>
      <c r="S10" s="6" t="s">
        <v>80</v>
      </c>
      <c r="T10" s="6" t="s">
        <v>81</v>
      </c>
      <c r="U10" s="6" t="s">
        <v>82</v>
      </c>
      <c r="V10" s="6" t="s">
        <v>83</v>
      </c>
    </row>
    <row r="11" spans="1:23" x14ac:dyDescent="0.25">
      <c r="A11" s="163"/>
      <c r="C11" s="7"/>
      <c r="E11" s="8">
        <f>SUM(G4+G7)</f>
        <v>59230.494999999995</v>
      </c>
      <c r="F11" s="8">
        <v>224</v>
      </c>
      <c r="G11" s="8">
        <v>107.06</v>
      </c>
      <c r="H11" s="8">
        <v>11657.97</v>
      </c>
      <c r="I11" s="8">
        <v>0</v>
      </c>
      <c r="J11" s="8">
        <v>130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192">
        <v>5221</v>
      </c>
      <c r="Q11" s="8">
        <v>24000</v>
      </c>
      <c r="R11" s="8">
        <v>0</v>
      </c>
      <c r="S11" s="8">
        <v>0</v>
      </c>
      <c r="T11" s="8">
        <v>0</v>
      </c>
      <c r="U11" s="8">
        <v>12200</v>
      </c>
      <c r="V11" s="8">
        <v>1390</v>
      </c>
      <c r="W11" s="9"/>
    </row>
    <row r="12" spans="1:23" x14ac:dyDescent="0.25">
      <c r="A12" s="49" t="str">
        <f>'LISTA DE COMPRAS'!C6</f>
        <v>BAC 51 LR (127V)</v>
      </c>
      <c r="B12">
        <f>'LISTA DE COMPRAS'!J6</f>
        <v>75</v>
      </c>
      <c r="C12" s="7">
        <f>'LISTA DE COMPRAS'!P6</f>
        <v>0.16233766233766234</v>
      </c>
      <c r="E12" s="8">
        <f>E$11*C12</f>
        <v>9615.3400974025972</v>
      </c>
      <c r="F12" s="8">
        <f>F$11*C12</f>
        <v>36.36363636363636</v>
      </c>
      <c r="G12" s="8">
        <f>G$11*C12</f>
        <v>17.379870129870131</v>
      </c>
      <c r="H12" s="8">
        <f>H$11*C12</f>
        <v>1892.5275974025972</v>
      </c>
      <c r="I12" s="8">
        <f>I$11*C12</f>
        <v>0</v>
      </c>
      <c r="J12" s="8">
        <f>J$11*C12</f>
        <v>21.103896103896105</v>
      </c>
      <c r="K12" s="8">
        <f>K$11*C12</f>
        <v>0</v>
      </c>
      <c r="L12" s="8">
        <f>L$11*C12</f>
        <v>0</v>
      </c>
      <c r="M12" s="8">
        <f>M$11*C12</f>
        <v>0</v>
      </c>
      <c r="N12" s="8">
        <f>N$11*C12</f>
        <v>0</v>
      </c>
      <c r="O12" s="8">
        <f>O$11*C12</f>
        <v>0</v>
      </c>
      <c r="P12" s="193">
        <f>P$11*C12</f>
        <v>847.56493506493507</v>
      </c>
      <c r="Q12" s="8">
        <f>Q$11*C12</f>
        <v>3896.1038961038962</v>
      </c>
      <c r="R12" s="8">
        <f>R$11*C12</f>
        <v>0</v>
      </c>
      <c r="S12" s="8">
        <f>S$11*C12</f>
        <v>0</v>
      </c>
      <c r="T12" s="8">
        <f>T$11*C12</f>
        <v>0</v>
      </c>
      <c r="U12" s="8">
        <f>U$11*C12</f>
        <v>1980.5194805194806</v>
      </c>
      <c r="V12" s="8">
        <f>V$11*C12</f>
        <v>225.64935064935065</v>
      </c>
      <c r="W12" s="9">
        <f t="shared" ref="W12:W23" si="0">SUM(F12:V12)</f>
        <v>8917.2126623376607</v>
      </c>
    </row>
    <row r="13" spans="1:23" x14ac:dyDescent="0.25">
      <c r="A13" s="49" t="str">
        <f>'LISTA DE COMPRAS'!C7</f>
        <v>BAC 51 RL (127V)</v>
      </c>
      <c r="B13">
        <f>'LISTA DE COMPRAS'!J7</f>
        <v>50</v>
      </c>
      <c r="C13" s="7">
        <f>'LISTA DE COMPRAS'!P7</f>
        <v>0.10822510822510822</v>
      </c>
      <c r="E13" s="8">
        <f t="shared" ref="E13:E29" si="1">E$11*C13</f>
        <v>6410.2267316017314</v>
      </c>
      <c r="F13" s="8">
        <f t="shared" ref="F13:F14" si="2">F$11*C13</f>
        <v>24.242424242424242</v>
      </c>
      <c r="G13" s="8">
        <f t="shared" ref="G13:G14" si="3">G$11*C13</f>
        <v>11.586580086580087</v>
      </c>
      <c r="H13" s="8">
        <f t="shared" ref="H13:H29" si="4">H$11*C13</f>
        <v>1261.6850649350649</v>
      </c>
      <c r="I13" s="8">
        <f t="shared" ref="I13:I14" si="5">I$11*C13</f>
        <v>0</v>
      </c>
      <c r="J13" s="8">
        <f t="shared" ref="J13:J29" si="6">J$11*C13</f>
        <v>14.069264069264069</v>
      </c>
      <c r="K13" s="8">
        <f t="shared" ref="K13:K14" si="7">K$11*C13</f>
        <v>0</v>
      </c>
      <c r="L13" s="8">
        <f t="shared" ref="L13:L14" si="8">L$11*C13</f>
        <v>0</v>
      </c>
      <c r="M13" s="8">
        <f t="shared" ref="M13:M14" si="9">M$11*C13</f>
        <v>0</v>
      </c>
      <c r="N13" s="8">
        <f t="shared" ref="N13:N14" si="10">N$11*C13</f>
        <v>0</v>
      </c>
      <c r="O13" s="8">
        <f t="shared" ref="O13:O14" si="11">O$11*C13</f>
        <v>0</v>
      </c>
      <c r="P13" s="193">
        <f t="shared" ref="P13:P29" si="12">P$11*C13</f>
        <v>565.04329004329009</v>
      </c>
      <c r="Q13" s="8">
        <f t="shared" ref="Q13:Q29" si="13">Q$11*C13</f>
        <v>2597.4025974025972</v>
      </c>
      <c r="R13" s="8">
        <f t="shared" ref="R13:R14" si="14">R$11*C13</f>
        <v>0</v>
      </c>
      <c r="S13" s="8">
        <f t="shared" ref="S13:S14" si="15">S$11*C13</f>
        <v>0</v>
      </c>
      <c r="T13" s="8">
        <f t="shared" ref="T13:T14" si="16">T$11*C13</f>
        <v>0</v>
      </c>
      <c r="U13" s="8">
        <f t="shared" ref="U13:U29" si="17">U$11*C13</f>
        <v>1320.3463203463202</v>
      </c>
      <c r="V13" s="8">
        <f t="shared" ref="V13:V29" si="18">V$11*C13</f>
        <v>150.43290043290042</v>
      </c>
      <c r="W13" s="9">
        <f t="shared" si="0"/>
        <v>5944.8084415584408</v>
      </c>
    </row>
    <row r="14" spans="1:23" x14ac:dyDescent="0.25">
      <c r="A14" s="49" t="str">
        <f>'LISTA DE COMPRAS'!C8</f>
        <v>BAC 209A (220V)</v>
      </c>
      <c r="B14">
        <f>'LISTA DE COMPRAS'!J8</f>
        <v>20</v>
      </c>
      <c r="C14" s="7">
        <f>'LISTA DE COMPRAS'!P8</f>
        <v>4.3290043290043288E-2</v>
      </c>
      <c r="E14" s="8">
        <f t="shared" si="1"/>
        <v>2564.0906926406924</v>
      </c>
      <c r="F14" s="8">
        <f t="shared" si="2"/>
        <v>9.6969696969696972</v>
      </c>
      <c r="G14" s="8">
        <f t="shared" si="3"/>
        <v>4.6346320346320349</v>
      </c>
      <c r="H14" s="8">
        <f t="shared" si="4"/>
        <v>504.67402597402594</v>
      </c>
      <c r="I14" s="8">
        <f t="shared" si="5"/>
        <v>0</v>
      </c>
      <c r="J14" s="8">
        <f t="shared" si="6"/>
        <v>5.6277056277056277</v>
      </c>
      <c r="K14" s="8">
        <f t="shared" si="7"/>
        <v>0</v>
      </c>
      <c r="L14" s="8">
        <f t="shared" si="8"/>
        <v>0</v>
      </c>
      <c r="M14" s="8">
        <f t="shared" si="9"/>
        <v>0</v>
      </c>
      <c r="N14" s="8">
        <f t="shared" si="10"/>
        <v>0</v>
      </c>
      <c r="O14" s="8">
        <f t="shared" si="11"/>
        <v>0</v>
      </c>
      <c r="P14" s="193">
        <f t="shared" si="12"/>
        <v>226.01731601731601</v>
      </c>
      <c r="Q14" s="8">
        <f t="shared" si="13"/>
        <v>1038.9610389610389</v>
      </c>
      <c r="R14" s="8">
        <f t="shared" si="14"/>
        <v>0</v>
      </c>
      <c r="S14" s="8">
        <f t="shared" si="15"/>
        <v>0</v>
      </c>
      <c r="T14" s="8">
        <f t="shared" si="16"/>
        <v>0</v>
      </c>
      <c r="U14" s="8">
        <f t="shared" si="17"/>
        <v>528.13852813852816</v>
      </c>
      <c r="V14" s="8">
        <f t="shared" si="18"/>
        <v>60.17316017316017</v>
      </c>
      <c r="W14" s="9">
        <f t="shared" si="0"/>
        <v>2377.923376623377</v>
      </c>
    </row>
    <row r="15" spans="1:23" x14ac:dyDescent="0.25">
      <c r="A15" s="49" t="str">
        <f>'LISTA DE COMPRAS'!C9</f>
        <v>BAC 209 (127V)</v>
      </c>
      <c r="B15">
        <f>'LISTA DE COMPRAS'!J9</f>
        <v>34</v>
      </c>
      <c r="C15" s="7">
        <f>'LISTA DE COMPRAS'!P9</f>
        <v>7.3593073593073599E-2</v>
      </c>
      <c r="E15" s="8">
        <f t="shared" si="1"/>
        <v>4358.9541774891777</v>
      </c>
      <c r="F15" s="8">
        <v>224</v>
      </c>
      <c r="G15" s="8">
        <v>0</v>
      </c>
      <c r="H15" s="8">
        <f t="shared" si="4"/>
        <v>857.94584415584416</v>
      </c>
      <c r="I15" s="8">
        <v>0</v>
      </c>
      <c r="J15" s="8">
        <f t="shared" si="6"/>
        <v>9.567099567099568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193">
        <f t="shared" si="12"/>
        <v>384.22943722943728</v>
      </c>
      <c r="Q15" s="8">
        <f t="shared" si="13"/>
        <v>1766.2337662337663</v>
      </c>
      <c r="R15" s="8">
        <v>0</v>
      </c>
      <c r="S15" s="8">
        <v>0</v>
      </c>
      <c r="T15" s="8">
        <v>0</v>
      </c>
      <c r="U15" s="8">
        <f t="shared" si="17"/>
        <v>897.8354978354979</v>
      </c>
      <c r="V15" s="8">
        <f t="shared" si="18"/>
        <v>102.29437229437231</v>
      </c>
      <c r="W15" s="9">
        <f t="shared" si="0"/>
        <v>4242.1060173160176</v>
      </c>
    </row>
    <row r="16" spans="1:23" x14ac:dyDescent="0.25">
      <c r="A16" s="49" t="str">
        <f>'LISTA DE COMPRAS'!C10</f>
        <v>BAC 218SA (220V)</v>
      </c>
      <c r="B16">
        <f>'LISTA DE COMPRAS'!J10</f>
        <v>15</v>
      </c>
      <c r="C16" s="7">
        <f>'LISTA DE COMPRAS'!P10</f>
        <v>3.2467532467532464E-2</v>
      </c>
      <c r="E16" s="8">
        <f t="shared" si="1"/>
        <v>1923.0680194805191</v>
      </c>
      <c r="F16" s="8">
        <f t="shared" ref="F16:F18" si="19">F$11*C16</f>
        <v>7.2727272727272716</v>
      </c>
      <c r="G16" s="8">
        <f t="shared" ref="G16" si="20">G$11*C16</f>
        <v>3.4759740259740259</v>
      </c>
      <c r="H16" s="8">
        <f t="shared" si="4"/>
        <v>378.50551948051941</v>
      </c>
      <c r="I16" s="8">
        <f t="shared" ref="I16:I18" si="21">I$11*C16</f>
        <v>0</v>
      </c>
      <c r="J16" s="8">
        <f t="shared" si="6"/>
        <v>4.2207792207792201</v>
      </c>
      <c r="K16" s="8">
        <f t="shared" ref="K16:K18" si="22">K$11*C16</f>
        <v>0</v>
      </c>
      <c r="L16" s="8">
        <f t="shared" ref="L16:L18" si="23">L$11*C16</f>
        <v>0</v>
      </c>
      <c r="M16" s="8">
        <f t="shared" ref="M16:M18" si="24">M$11*C16</f>
        <v>0</v>
      </c>
      <c r="N16" s="8">
        <f t="shared" ref="N16:N18" si="25">N$11*C16</f>
        <v>0</v>
      </c>
      <c r="O16" s="8">
        <f t="shared" ref="O16:O18" si="26">O$11*C16</f>
        <v>0</v>
      </c>
      <c r="P16" s="193">
        <f t="shared" si="12"/>
        <v>169.512987012987</v>
      </c>
      <c r="Q16" s="8">
        <f t="shared" si="13"/>
        <v>779.22077922077915</v>
      </c>
      <c r="R16" s="8">
        <f t="shared" ref="R16:R18" si="27">R$11*C16</f>
        <v>0</v>
      </c>
      <c r="S16" s="8">
        <f t="shared" ref="S16:S18" si="28">S$11*C16</f>
        <v>0</v>
      </c>
      <c r="T16" s="8">
        <f t="shared" ref="T16:T18" si="29">T$11*C16</f>
        <v>0</v>
      </c>
      <c r="U16" s="8">
        <f t="shared" si="17"/>
        <v>396.10389610389609</v>
      </c>
      <c r="V16" s="8">
        <f t="shared" si="18"/>
        <v>45.129870129870127</v>
      </c>
      <c r="W16" s="9">
        <f t="shared" si="0"/>
        <v>1783.4425324675321</v>
      </c>
    </row>
    <row r="17" spans="1:23" x14ac:dyDescent="0.25">
      <c r="A17" s="49" t="str">
        <f>'LISTA DE COMPRAS'!C11</f>
        <v>BAC 218BA (220V)</v>
      </c>
      <c r="B17">
        <f>'LISTA DE COMPRAS'!J11</f>
        <v>12</v>
      </c>
      <c r="C17" s="7">
        <f>'LISTA DE COMPRAS'!P11</f>
        <v>2.5974025974025976E-2</v>
      </c>
      <c r="E17" s="8">
        <f t="shared" si="1"/>
        <v>1538.4544155844155</v>
      </c>
      <c r="F17" s="8">
        <f t="shared" si="19"/>
        <v>5.8181818181818183</v>
      </c>
      <c r="G17" s="8">
        <v>54.53</v>
      </c>
      <c r="H17" s="8">
        <f t="shared" si="4"/>
        <v>302.80441558441561</v>
      </c>
      <c r="I17" s="8">
        <f t="shared" si="21"/>
        <v>0</v>
      </c>
      <c r="J17" s="8">
        <f t="shared" si="6"/>
        <v>3.3766233766233769</v>
      </c>
      <c r="K17" s="8">
        <f t="shared" si="22"/>
        <v>0</v>
      </c>
      <c r="L17" s="8">
        <f t="shared" si="23"/>
        <v>0</v>
      </c>
      <c r="M17" s="8">
        <f t="shared" si="24"/>
        <v>0</v>
      </c>
      <c r="N17" s="8">
        <f t="shared" si="25"/>
        <v>0</v>
      </c>
      <c r="O17" s="8">
        <f t="shared" si="26"/>
        <v>0</v>
      </c>
      <c r="P17" s="193">
        <f t="shared" si="12"/>
        <v>135.61038961038963</v>
      </c>
      <c r="Q17" s="8">
        <f t="shared" si="13"/>
        <v>623.37662337662346</v>
      </c>
      <c r="R17" s="8">
        <f t="shared" si="27"/>
        <v>0</v>
      </c>
      <c r="S17" s="8">
        <f t="shared" si="28"/>
        <v>0</v>
      </c>
      <c r="T17" s="8">
        <f t="shared" si="29"/>
        <v>0</v>
      </c>
      <c r="U17" s="8">
        <f t="shared" si="17"/>
        <v>316.88311688311688</v>
      </c>
      <c r="V17" s="8">
        <f t="shared" si="18"/>
        <v>36.103896103896105</v>
      </c>
      <c r="W17" s="9">
        <f t="shared" si="0"/>
        <v>1478.5032467532469</v>
      </c>
    </row>
    <row r="18" spans="1:23" ht="30" x14ac:dyDescent="0.25">
      <c r="A18" s="164" t="str">
        <f>'LISTA DE COMPRAS'!C12</f>
        <v>BAC 28 (127V)</v>
      </c>
      <c r="B18">
        <f>'LISTA DE COMPRAS'!J12</f>
        <v>40</v>
      </c>
      <c r="C18" s="7">
        <f>'LISTA DE COMPRAS'!P12</f>
        <v>8.6580086580086577E-2</v>
      </c>
      <c r="E18" s="8">
        <f t="shared" si="1"/>
        <v>5128.1813852813848</v>
      </c>
      <c r="F18" s="8">
        <f t="shared" si="19"/>
        <v>19.393939393939394</v>
      </c>
      <c r="G18" s="8">
        <f t="shared" ref="G18:G26" si="30">G$11*C18</f>
        <v>9.2692640692640698</v>
      </c>
      <c r="H18" s="8">
        <f t="shared" si="4"/>
        <v>1009.3480519480519</v>
      </c>
      <c r="I18" s="8">
        <f t="shared" si="21"/>
        <v>0</v>
      </c>
      <c r="J18" s="8">
        <f t="shared" si="6"/>
        <v>11.255411255411255</v>
      </c>
      <c r="K18" s="8">
        <f t="shared" si="22"/>
        <v>0</v>
      </c>
      <c r="L18" s="8">
        <f t="shared" si="23"/>
        <v>0</v>
      </c>
      <c r="M18" s="8">
        <f t="shared" si="24"/>
        <v>0</v>
      </c>
      <c r="N18" s="8">
        <f t="shared" si="25"/>
        <v>0</v>
      </c>
      <c r="O18" s="8">
        <f t="shared" si="26"/>
        <v>0</v>
      </c>
      <c r="P18" s="193">
        <f t="shared" si="12"/>
        <v>452.03463203463201</v>
      </c>
      <c r="Q18" s="8">
        <f t="shared" si="13"/>
        <v>2077.9220779220777</v>
      </c>
      <c r="R18" s="8">
        <f t="shared" si="27"/>
        <v>0</v>
      </c>
      <c r="S18" s="8">
        <f t="shared" si="28"/>
        <v>0</v>
      </c>
      <c r="T18" s="8">
        <f t="shared" si="29"/>
        <v>0</v>
      </c>
      <c r="U18" s="8">
        <f t="shared" si="17"/>
        <v>1056.2770562770563</v>
      </c>
      <c r="V18" s="8">
        <f t="shared" si="18"/>
        <v>120.34632034632034</v>
      </c>
      <c r="W18" s="9">
        <f t="shared" si="0"/>
        <v>4755.8467532467539</v>
      </c>
    </row>
    <row r="19" spans="1:23" x14ac:dyDescent="0.25">
      <c r="A19" s="164" t="str">
        <f>'LISTA DE COMPRAS'!C13</f>
        <v>BAC 28A (220V)</v>
      </c>
      <c r="B19">
        <f>'LISTA DE COMPRAS'!J13</f>
        <v>20</v>
      </c>
      <c r="C19" s="7">
        <f>'LISTA DE COMPRAS'!P13</f>
        <v>4.3290043290043288E-2</v>
      </c>
      <c r="E19" s="8">
        <f t="shared" si="1"/>
        <v>2564.0906926406924</v>
      </c>
      <c r="F19" s="8">
        <v>224</v>
      </c>
      <c r="G19" s="8">
        <f t="shared" si="30"/>
        <v>4.6346320346320349</v>
      </c>
      <c r="H19" s="8">
        <f t="shared" si="4"/>
        <v>504.67402597402594</v>
      </c>
      <c r="I19" s="8">
        <v>0</v>
      </c>
      <c r="J19" s="8">
        <f t="shared" si="6"/>
        <v>5.6277056277056277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193">
        <f t="shared" si="12"/>
        <v>226.01731601731601</v>
      </c>
      <c r="Q19" s="8">
        <f t="shared" si="13"/>
        <v>1038.9610389610389</v>
      </c>
      <c r="R19" s="8">
        <v>0</v>
      </c>
      <c r="S19" s="8">
        <v>0</v>
      </c>
      <c r="T19" s="8">
        <v>0</v>
      </c>
      <c r="U19" s="8">
        <f t="shared" si="17"/>
        <v>528.13852813852816</v>
      </c>
      <c r="V19" s="8">
        <f t="shared" si="18"/>
        <v>60.17316017316017</v>
      </c>
      <c r="W19" s="9">
        <f t="shared" si="0"/>
        <v>2592.226406926407</v>
      </c>
    </row>
    <row r="20" spans="1:23" x14ac:dyDescent="0.25">
      <c r="A20" s="164" t="str">
        <f>'LISTA DE COMPRAS'!C14</f>
        <v>BAC 120A (220V)</v>
      </c>
      <c r="B20">
        <f>'LISTA DE COMPRAS'!J14</f>
        <v>20</v>
      </c>
      <c r="C20" s="7">
        <f>'LISTA DE COMPRAS'!P14</f>
        <v>4.3290043290043288E-2</v>
      </c>
      <c r="E20" s="8">
        <f t="shared" si="1"/>
        <v>2564.0906926406924</v>
      </c>
      <c r="F20" s="8">
        <f t="shared" ref="F20:F22" si="31">F$11*C20</f>
        <v>9.6969696969696972</v>
      </c>
      <c r="G20" s="8">
        <f t="shared" si="30"/>
        <v>4.6346320346320349</v>
      </c>
      <c r="H20" s="8">
        <f t="shared" si="4"/>
        <v>504.67402597402594</v>
      </c>
      <c r="I20" s="8">
        <f t="shared" ref="I20:I22" si="32">I$11*C20</f>
        <v>0</v>
      </c>
      <c r="J20" s="8">
        <f t="shared" si="6"/>
        <v>5.6277056277056277</v>
      </c>
      <c r="K20" s="8">
        <f t="shared" ref="K20:K22" si="33">K$11*C20</f>
        <v>0</v>
      </c>
      <c r="L20" s="8">
        <f t="shared" ref="L20:L22" si="34">L$11*C20</f>
        <v>0</v>
      </c>
      <c r="M20" s="8">
        <f t="shared" ref="M20:M22" si="35">M$11*C20</f>
        <v>0</v>
      </c>
      <c r="N20" s="8">
        <f t="shared" ref="N20:N22" si="36">N$11*C20</f>
        <v>0</v>
      </c>
      <c r="O20" s="8">
        <f t="shared" ref="O20:O22" si="37">O$11*C20</f>
        <v>0</v>
      </c>
      <c r="P20" s="193">
        <f t="shared" si="12"/>
        <v>226.01731601731601</v>
      </c>
      <c r="Q20" s="8">
        <f t="shared" si="13"/>
        <v>1038.9610389610389</v>
      </c>
      <c r="R20" s="8">
        <f t="shared" ref="R20:R22" si="38">R$11*C20</f>
        <v>0</v>
      </c>
      <c r="S20" s="8">
        <f t="shared" ref="S20:S22" si="39">S$11*C20</f>
        <v>0</v>
      </c>
      <c r="T20" s="8">
        <f t="shared" ref="T20:T22" si="40">T$11*C20</f>
        <v>0</v>
      </c>
      <c r="U20" s="8">
        <f t="shared" si="17"/>
        <v>528.13852813852816</v>
      </c>
      <c r="V20" s="8">
        <f t="shared" si="18"/>
        <v>60.17316017316017</v>
      </c>
      <c r="W20" s="9">
        <f t="shared" si="0"/>
        <v>2377.923376623377</v>
      </c>
    </row>
    <row r="21" spans="1:23" x14ac:dyDescent="0.25">
      <c r="A21" s="164" t="str">
        <f>'LISTA DE COMPRAS'!C15</f>
        <v>BAC 120 (127V)</v>
      </c>
      <c r="B21">
        <f>'LISTA DE COMPRAS'!J15</f>
        <v>34</v>
      </c>
      <c r="C21" s="7">
        <f>'LISTA DE COMPRAS'!P15</f>
        <v>7.3593073593073599E-2</v>
      </c>
      <c r="E21" s="8">
        <f t="shared" si="1"/>
        <v>4358.9541774891777</v>
      </c>
      <c r="F21" s="8">
        <f t="shared" si="31"/>
        <v>16.484848484848484</v>
      </c>
      <c r="G21" s="8">
        <v>1</v>
      </c>
      <c r="H21" s="8">
        <f t="shared" si="4"/>
        <v>857.94584415584416</v>
      </c>
      <c r="I21" s="8">
        <f t="shared" si="32"/>
        <v>0</v>
      </c>
      <c r="J21" s="8">
        <f t="shared" si="6"/>
        <v>9.567099567099568</v>
      </c>
      <c r="K21" s="8">
        <f t="shared" si="33"/>
        <v>0</v>
      </c>
      <c r="L21" s="8">
        <f t="shared" si="34"/>
        <v>0</v>
      </c>
      <c r="M21" s="8">
        <f t="shared" si="35"/>
        <v>0</v>
      </c>
      <c r="N21" s="8">
        <f t="shared" si="36"/>
        <v>0</v>
      </c>
      <c r="O21" s="8">
        <f t="shared" si="37"/>
        <v>0</v>
      </c>
      <c r="P21" s="193">
        <f t="shared" si="12"/>
        <v>384.22943722943728</v>
      </c>
      <c r="Q21" s="8">
        <f t="shared" si="13"/>
        <v>1766.2337662337663</v>
      </c>
      <c r="R21" s="8">
        <f t="shared" si="38"/>
        <v>0</v>
      </c>
      <c r="S21" s="8">
        <f t="shared" si="39"/>
        <v>0</v>
      </c>
      <c r="T21" s="8">
        <f t="shared" si="40"/>
        <v>0</v>
      </c>
      <c r="U21" s="8">
        <f t="shared" si="17"/>
        <v>897.8354978354979</v>
      </c>
      <c r="V21" s="8">
        <f t="shared" si="18"/>
        <v>102.29437229437231</v>
      </c>
      <c r="W21" s="9">
        <f t="shared" si="0"/>
        <v>4035.5908658008661</v>
      </c>
    </row>
    <row r="22" spans="1:23" x14ac:dyDescent="0.25">
      <c r="A22" s="164" t="str">
        <f>'LISTA DE COMPRAS'!C16</f>
        <v>BAC111 (220V)</v>
      </c>
      <c r="B22">
        <f>'LISTA DE COMPRAS'!J16</f>
        <v>14</v>
      </c>
      <c r="C22" s="7">
        <f>'LISTA DE COMPRAS'!P16</f>
        <v>3.0303030303030304E-2</v>
      </c>
      <c r="E22" s="8">
        <f t="shared" si="1"/>
        <v>1794.8634848484849</v>
      </c>
      <c r="F22" s="8">
        <f t="shared" si="31"/>
        <v>6.7878787878787881</v>
      </c>
      <c r="G22" s="8">
        <f t="shared" ref="G22:G28" si="41">G$11*C22</f>
        <v>3.2442424242424246</v>
      </c>
      <c r="H22" s="8">
        <f t="shared" si="4"/>
        <v>353.27181818181816</v>
      </c>
      <c r="I22" s="8">
        <f t="shared" si="32"/>
        <v>0</v>
      </c>
      <c r="J22" s="8">
        <f t="shared" si="6"/>
        <v>3.9393939393939394</v>
      </c>
      <c r="K22" s="8">
        <f t="shared" si="33"/>
        <v>0</v>
      </c>
      <c r="L22" s="8">
        <f t="shared" si="34"/>
        <v>0</v>
      </c>
      <c r="M22" s="8">
        <f t="shared" si="35"/>
        <v>0</v>
      </c>
      <c r="N22" s="8">
        <f t="shared" si="36"/>
        <v>0</v>
      </c>
      <c r="O22" s="8">
        <f t="shared" si="37"/>
        <v>0</v>
      </c>
      <c r="P22" s="193">
        <f t="shared" si="12"/>
        <v>158.21212121212122</v>
      </c>
      <c r="Q22" s="8">
        <f t="shared" si="13"/>
        <v>727.27272727272725</v>
      </c>
      <c r="R22" s="8">
        <f t="shared" si="38"/>
        <v>0</v>
      </c>
      <c r="S22" s="8">
        <f t="shared" si="39"/>
        <v>0</v>
      </c>
      <c r="T22" s="8">
        <f t="shared" si="40"/>
        <v>0</v>
      </c>
      <c r="U22" s="8">
        <f t="shared" si="17"/>
        <v>369.69696969696969</v>
      </c>
      <c r="V22" s="8">
        <f t="shared" si="18"/>
        <v>42.121212121212125</v>
      </c>
      <c r="W22" s="9">
        <f t="shared" si="0"/>
        <v>1664.5463636363638</v>
      </c>
    </row>
    <row r="23" spans="1:23" x14ac:dyDescent="0.25">
      <c r="A23" s="164" t="str">
        <f>'LISTA DE COMPRAS'!C17</f>
        <v>BEC 100GD (127V)</v>
      </c>
      <c r="B23">
        <f>'LISTA DE COMPRAS'!J17</f>
        <v>45</v>
      </c>
      <c r="C23" s="7">
        <f>'LISTA DE COMPRAS'!P17</f>
        <v>9.7402597402597407E-2</v>
      </c>
      <c r="E23" s="8">
        <f t="shared" si="1"/>
        <v>5769.2040584415581</v>
      </c>
      <c r="F23" s="8">
        <v>224</v>
      </c>
      <c r="G23" s="8">
        <v>55.53</v>
      </c>
      <c r="H23" s="8">
        <f t="shared" si="4"/>
        <v>1135.5165584415583</v>
      </c>
      <c r="I23" s="8">
        <v>0</v>
      </c>
      <c r="J23" s="8">
        <f t="shared" si="6"/>
        <v>12.662337662337663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193">
        <f t="shared" si="12"/>
        <v>508.53896103896108</v>
      </c>
      <c r="Q23" s="8">
        <f t="shared" si="13"/>
        <v>2337.6623376623379</v>
      </c>
      <c r="R23" s="8">
        <v>0</v>
      </c>
      <c r="S23" s="8">
        <v>0</v>
      </c>
      <c r="T23" s="8">
        <v>0</v>
      </c>
      <c r="U23" s="8">
        <f t="shared" si="17"/>
        <v>1188.3116883116884</v>
      </c>
      <c r="V23" s="8">
        <f t="shared" si="18"/>
        <v>135.3896103896104</v>
      </c>
      <c r="W23" s="9">
        <f t="shared" si="0"/>
        <v>5597.6114935064934</v>
      </c>
    </row>
    <row r="24" spans="1:23" x14ac:dyDescent="0.25">
      <c r="A24" s="49" t="str">
        <f>'LISTA DE COMPRAS'!C18</f>
        <v>BEC 100GDA (220V)</v>
      </c>
      <c r="B24">
        <f>'LISTA DE COMPRAS'!J18</f>
        <v>20</v>
      </c>
      <c r="C24" s="7">
        <f>'LISTA DE COMPRAS'!P18</f>
        <v>4.3290043290043288E-2</v>
      </c>
      <c r="E24" s="8">
        <f t="shared" si="1"/>
        <v>2564.0906926406924</v>
      </c>
      <c r="F24" s="8">
        <f t="shared" ref="F24:F26" si="42">F$11*C24</f>
        <v>9.6969696969696972</v>
      </c>
      <c r="G24" s="8">
        <f t="shared" ref="G24" si="43">G$11*C24</f>
        <v>4.6346320346320349</v>
      </c>
      <c r="H24" s="8">
        <f t="shared" si="4"/>
        <v>504.67402597402594</v>
      </c>
      <c r="I24" s="8">
        <f t="shared" ref="I24:I26" si="44">I$11*C24</f>
        <v>0</v>
      </c>
      <c r="J24" s="8">
        <f t="shared" si="6"/>
        <v>5.6277056277056277</v>
      </c>
      <c r="K24" s="8">
        <f t="shared" ref="K24:K26" si="45">K$11*C24</f>
        <v>0</v>
      </c>
      <c r="L24" s="8">
        <f t="shared" ref="L24:L26" si="46">L$11*C24</f>
        <v>0</v>
      </c>
      <c r="M24" s="8">
        <f t="shared" ref="M24:M26" si="47">M$11*C24</f>
        <v>0</v>
      </c>
      <c r="N24" s="8">
        <f t="shared" ref="N24:N26" si="48">N$11*C24</f>
        <v>0</v>
      </c>
      <c r="O24" s="8">
        <f t="shared" ref="O24:O26" si="49">O$11*C24</f>
        <v>0</v>
      </c>
      <c r="P24" s="193">
        <f t="shared" si="12"/>
        <v>226.01731601731601</v>
      </c>
      <c r="Q24" s="8">
        <f t="shared" si="13"/>
        <v>1038.9610389610389</v>
      </c>
      <c r="R24" s="8">
        <f t="shared" ref="R24:R26" si="50">R$11*C24</f>
        <v>0</v>
      </c>
      <c r="S24" s="8">
        <f t="shared" ref="S24:S26" si="51">S$11*C24</f>
        <v>0</v>
      </c>
      <c r="T24" s="8">
        <f t="shared" ref="T24:T26" si="52">T$11*C24</f>
        <v>0</v>
      </c>
      <c r="U24" s="8">
        <f t="shared" si="17"/>
        <v>528.13852813852816</v>
      </c>
      <c r="V24" s="8">
        <f t="shared" si="18"/>
        <v>60.17316017316017</v>
      </c>
    </row>
    <row r="25" spans="1:23" x14ac:dyDescent="0.25">
      <c r="A25" s="49" t="str">
        <f>'LISTA DE COMPRAS'!C19</f>
        <v>BEC 100SD (127V)</v>
      </c>
      <c r="B25">
        <f>'LISTA DE COMPRAS'!J19</f>
        <v>36</v>
      </c>
      <c r="C25" s="7">
        <f>'LISTA DE COMPRAS'!P19</f>
        <v>7.792207792207792E-2</v>
      </c>
      <c r="E25" s="8">
        <f t="shared" si="1"/>
        <v>4615.3632467532461</v>
      </c>
      <c r="F25" s="8">
        <f t="shared" si="42"/>
        <v>17.454545454545453</v>
      </c>
      <c r="G25" s="8">
        <f t="shared" si="30"/>
        <v>8.3423376623376626</v>
      </c>
      <c r="H25" s="8">
        <f t="shared" si="4"/>
        <v>908.41324675324665</v>
      </c>
      <c r="I25" s="8">
        <f t="shared" si="44"/>
        <v>0</v>
      </c>
      <c r="J25" s="8">
        <f t="shared" si="6"/>
        <v>10.129870129870129</v>
      </c>
      <c r="K25" s="8">
        <f t="shared" si="45"/>
        <v>0</v>
      </c>
      <c r="L25" s="8">
        <f t="shared" si="46"/>
        <v>0</v>
      </c>
      <c r="M25" s="8">
        <f t="shared" si="47"/>
        <v>0</v>
      </c>
      <c r="N25" s="8">
        <f t="shared" si="48"/>
        <v>0</v>
      </c>
      <c r="O25" s="8">
        <f t="shared" si="49"/>
        <v>0</v>
      </c>
      <c r="P25" s="193">
        <f t="shared" si="12"/>
        <v>406.83116883116884</v>
      </c>
      <c r="Q25" s="8">
        <f t="shared" si="13"/>
        <v>1870.1298701298701</v>
      </c>
      <c r="R25" s="8">
        <f t="shared" si="50"/>
        <v>0</v>
      </c>
      <c r="S25" s="8">
        <f t="shared" si="51"/>
        <v>0</v>
      </c>
      <c r="T25" s="8">
        <f t="shared" si="52"/>
        <v>0</v>
      </c>
      <c r="U25" s="8">
        <f t="shared" si="17"/>
        <v>950.64935064935059</v>
      </c>
      <c r="V25" s="8">
        <f t="shared" si="18"/>
        <v>108.31168831168831</v>
      </c>
    </row>
    <row r="26" spans="1:23" x14ac:dyDescent="0.25">
      <c r="A26" s="49" t="str">
        <f>'LISTA DE COMPRAS'!C20</f>
        <v>UCH50BA (220V)</v>
      </c>
      <c r="B26">
        <f>'LISTA DE COMPRAS'!J20</f>
        <v>5</v>
      </c>
      <c r="C26" s="7">
        <f>'LISTA DE COMPRAS'!P20</f>
        <v>1.0822510822510822E-2</v>
      </c>
      <c r="E26" s="8">
        <f t="shared" si="1"/>
        <v>641.0226731601731</v>
      </c>
      <c r="F26" s="8">
        <f t="shared" si="42"/>
        <v>2.4242424242424243</v>
      </c>
      <c r="G26" s="8">
        <f t="shared" si="30"/>
        <v>1.1586580086580087</v>
      </c>
      <c r="H26" s="8">
        <f t="shared" si="4"/>
        <v>126.16850649350648</v>
      </c>
      <c r="I26" s="8">
        <f t="shared" si="44"/>
        <v>0</v>
      </c>
      <c r="J26" s="8">
        <f t="shared" si="6"/>
        <v>1.4069264069264069</v>
      </c>
      <c r="K26" s="8">
        <f t="shared" si="45"/>
        <v>0</v>
      </c>
      <c r="L26" s="8">
        <f t="shared" si="46"/>
        <v>0</v>
      </c>
      <c r="M26" s="8">
        <f t="shared" si="47"/>
        <v>0</v>
      </c>
      <c r="N26" s="8">
        <f t="shared" si="48"/>
        <v>0</v>
      </c>
      <c r="O26" s="8">
        <f t="shared" si="49"/>
        <v>0</v>
      </c>
      <c r="P26" s="193">
        <f t="shared" si="12"/>
        <v>56.504329004329001</v>
      </c>
      <c r="Q26" s="8">
        <f t="shared" si="13"/>
        <v>259.74025974025972</v>
      </c>
      <c r="R26" s="8">
        <f t="shared" si="50"/>
        <v>0</v>
      </c>
      <c r="S26" s="8">
        <f t="shared" si="51"/>
        <v>0</v>
      </c>
      <c r="T26" s="8">
        <f t="shared" si="52"/>
        <v>0</v>
      </c>
      <c r="U26" s="8">
        <f t="shared" si="17"/>
        <v>132.03463203463204</v>
      </c>
      <c r="V26" s="8">
        <f t="shared" si="18"/>
        <v>15.043290043290042</v>
      </c>
    </row>
    <row r="27" spans="1:23" x14ac:dyDescent="0.25">
      <c r="A27" s="49" t="str">
        <f>'LISTA DE COMPRAS'!C21</f>
        <v>UCH150SA (220V)</v>
      </c>
      <c r="B27">
        <f>'LISTA DE COMPRAS'!J21</f>
        <v>2</v>
      </c>
      <c r="C27" s="7">
        <f>'LISTA DE COMPRAS'!P21</f>
        <v>4.329004329004329E-3</v>
      </c>
      <c r="E27" s="8">
        <f t="shared" si="1"/>
        <v>256.40906926406922</v>
      </c>
      <c r="F27" s="8">
        <v>224</v>
      </c>
      <c r="G27" s="8">
        <v>2</v>
      </c>
      <c r="H27" s="8">
        <f t="shared" si="4"/>
        <v>50.467402597402597</v>
      </c>
      <c r="I27" s="8">
        <v>0</v>
      </c>
      <c r="J27" s="8">
        <f t="shared" si="6"/>
        <v>0.56277056277056281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193">
        <f t="shared" si="12"/>
        <v>22.601731601731601</v>
      </c>
      <c r="Q27" s="8">
        <f t="shared" si="13"/>
        <v>103.8961038961039</v>
      </c>
      <c r="R27" s="8">
        <v>0</v>
      </c>
      <c r="S27" s="8">
        <v>0</v>
      </c>
      <c r="T27" s="8">
        <v>0</v>
      </c>
      <c r="U27" s="8">
        <f t="shared" si="17"/>
        <v>52.813852813852812</v>
      </c>
      <c r="V27" s="8">
        <f t="shared" si="18"/>
        <v>6.0173160173160172</v>
      </c>
    </row>
    <row r="28" spans="1:23" x14ac:dyDescent="0.25">
      <c r="A28" s="49" t="str">
        <f>'LISTA DE COMPRAS'!C22</f>
        <v>BEC 100SDA (220V)</v>
      </c>
      <c r="B28">
        <f>'LISTA DE COMPRAS'!J22</f>
        <v>13</v>
      </c>
      <c r="C28" s="7">
        <f>'LISTA DE COMPRAS'!P22</f>
        <v>2.813852813852814E-2</v>
      </c>
      <c r="E28" s="8">
        <f t="shared" si="1"/>
        <v>1666.6589502164502</v>
      </c>
      <c r="F28" s="8">
        <f t="shared" ref="F28:F29" si="53">F$11*C28</f>
        <v>6.3030303030303036</v>
      </c>
      <c r="G28" s="8">
        <f t="shared" si="41"/>
        <v>3.0125108225108228</v>
      </c>
      <c r="H28" s="8">
        <f t="shared" si="4"/>
        <v>328.03811688311686</v>
      </c>
      <c r="I28" s="8">
        <f t="shared" ref="I28:I29" si="54">I$11*C28</f>
        <v>0</v>
      </c>
      <c r="J28" s="8">
        <f t="shared" si="6"/>
        <v>3.6580086580086584</v>
      </c>
      <c r="K28" s="8">
        <f t="shared" ref="K28:K29" si="55">K$11*C28</f>
        <v>0</v>
      </c>
      <c r="L28" s="8">
        <f t="shared" ref="L28:L29" si="56">L$11*C28</f>
        <v>0</v>
      </c>
      <c r="M28" s="8">
        <f t="shared" ref="M28:M29" si="57">M$11*C28</f>
        <v>0</v>
      </c>
      <c r="N28" s="8">
        <f t="shared" ref="N28:N29" si="58">N$11*C28</f>
        <v>0</v>
      </c>
      <c r="O28" s="8">
        <f t="shared" ref="O28:O29" si="59">O$11*C28</f>
        <v>0</v>
      </c>
      <c r="P28" s="193">
        <f t="shared" si="12"/>
        <v>146.91125541125541</v>
      </c>
      <c r="Q28" s="8">
        <f t="shared" si="13"/>
        <v>675.32467532467535</v>
      </c>
      <c r="R28" s="8">
        <f t="shared" ref="R28:R29" si="60">R$11*C28</f>
        <v>0</v>
      </c>
      <c r="S28" s="8">
        <f t="shared" ref="S28:S29" si="61">S$11*C28</f>
        <v>0</v>
      </c>
      <c r="T28" s="8">
        <f t="shared" ref="T28:T29" si="62">T$11*C28</f>
        <v>0</v>
      </c>
      <c r="U28" s="8">
        <f t="shared" si="17"/>
        <v>343.29004329004329</v>
      </c>
      <c r="V28" s="8">
        <f t="shared" si="18"/>
        <v>39.112554112554115</v>
      </c>
    </row>
    <row r="29" spans="1:23" x14ac:dyDescent="0.25">
      <c r="A29" s="49" t="str">
        <f>'LISTA DE COMPRAS'!C23</f>
        <v>SPARE PARTS</v>
      </c>
      <c r="B29">
        <f>'LISTA DE COMPRAS'!J23</f>
        <v>5</v>
      </c>
      <c r="C29" s="7">
        <f>'LISTA DE COMPRAS'!P23</f>
        <v>1.0822510822510822E-2</v>
      </c>
      <c r="E29" s="8">
        <f t="shared" si="1"/>
        <v>641.0226731601731</v>
      </c>
      <c r="F29" s="8">
        <f t="shared" si="53"/>
        <v>2.4242424242424243</v>
      </c>
      <c r="G29" s="8">
        <v>56.53</v>
      </c>
      <c r="H29" s="8">
        <f t="shared" si="4"/>
        <v>126.16850649350648</v>
      </c>
      <c r="I29" s="8">
        <f t="shared" si="54"/>
        <v>0</v>
      </c>
      <c r="J29" s="8">
        <f t="shared" si="6"/>
        <v>1.4069264069264069</v>
      </c>
      <c r="K29" s="8">
        <f t="shared" si="55"/>
        <v>0</v>
      </c>
      <c r="L29" s="8">
        <f t="shared" si="56"/>
        <v>0</v>
      </c>
      <c r="M29" s="8">
        <f t="shared" si="57"/>
        <v>0</v>
      </c>
      <c r="N29" s="8">
        <f t="shared" si="58"/>
        <v>0</v>
      </c>
      <c r="O29" s="8">
        <f t="shared" si="59"/>
        <v>0</v>
      </c>
      <c r="P29" s="193">
        <f t="shared" si="12"/>
        <v>56.504329004329001</v>
      </c>
      <c r="Q29" s="8">
        <f t="shared" si="13"/>
        <v>259.74025974025972</v>
      </c>
      <c r="R29" s="8">
        <f t="shared" si="60"/>
        <v>0</v>
      </c>
      <c r="S29" s="8">
        <f t="shared" si="61"/>
        <v>0</v>
      </c>
      <c r="T29" s="8">
        <f t="shared" si="62"/>
        <v>0</v>
      </c>
      <c r="U29" s="8">
        <f t="shared" si="17"/>
        <v>132.03463203463204</v>
      </c>
      <c r="V29" s="8">
        <f t="shared" si="18"/>
        <v>15.043290043290042</v>
      </c>
    </row>
    <row r="30" spans="1:23" x14ac:dyDescent="0.25">
      <c r="A30" s="49" t="str">
        <f>'LISTA DE COMPRAS'!C24</f>
        <v>SPARE PARTS</v>
      </c>
      <c r="B30">
        <f>'LISTA DE COMPRAS'!J24</f>
        <v>2</v>
      </c>
      <c r="C30" s="7">
        <f>'LISTA DE COMPRAS'!P24</f>
        <v>4.329004329004329E-3</v>
      </c>
      <c r="E30" s="8">
        <f t="shared" ref="E30" si="63">E$11*C30</f>
        <v>256.40906926406922</v>
      </c>
      <c r="F30" s="8">
        <f t="shared" ref="F30" si="64">F$11*C30</f>
        <v>0.96969696969696972</v>
      </c>
      <c r="G30" s="8">
        <v>57.53</v>
      </c>
      <c r="H30" s="8">
        <f t="shared" ref="H30" si="65">H$11*C30</f>
        <v>50.467402597402597</v>
      </c>
      <c r="I30" s="8">
        <f t="shared" ref="I30" si="66">I$11*C30</f>
        <v>0</v>
      </c>
      <c r="J30" s="8">
        <f t="shared" ref="J30" si="67">J$11*C30</f>
        <v>0.56277056277056281</v>
      </c>
      <c r="K30" s="8">
        <f t="shared" ref="K30" si="68">K$11*C30</f>
        <v>0</v>
      </c>
      <c r="L30" s="8">
        <f t="shared" ref="L30" si="69">L$11*C30</f>
        <v>0</v>
      </c>
      <c r="M30" s="8">
        <f t="shared" ref="M30" si="70">M$11*C30</f>
        <v>0</v>
      </c>
      <c r="N30" s="8">
        <f t="shared" ref="N30" si="71">N$11*C30</f>
        <v>0</v>
      </c>
      <c r="O30" s="8">
        <f t="shared" ref="O30" si="72">O$11*C30</f>
        <v>0</v>
      </c>
      <c r="P30" s="193">
        <f t="shared" ref="P30" si="73">P$11*C30</f>
        <v>22.601731601731601</v>
      </c>
      <c r="Q30" s="8">
        <f t="shared" ref="Q30" si="74">Q$11*C30</f>
        <v>103.8961038961039</v>
      </c>
      <c r="R30" s="8">
        <f t="shared" ref="R30" si="75">R$11*C30</f>
        <v>0</v>
      </c>
      <c r="S30" s="8">
        <f t="shared" ref="S30" si="76">S$11*C30</f>
        <v>0</v>
      </c>
      <c r="T30" s="8">
        <f t="shared" ref="T30" si="77">T$11*C30</f>
        <v>0</v>
      </c>
      <c r="U30" s="8">
        <f t="shared" ref="U30" si="78">U$11*C30</f>
        <v>52.813852813852812</v>
      </c>
      <c r="V30" s="8">
        <f t="shared" ref="V30" si="79">V$11*C30</f>
        <v>6.0173160173160172</v>
      </c>
    </row>
    <row r="31" spans="1:23" x14ac:dyDescent="0.25">
      <c r="A31" s="2"/>
    </row>
    <row r="32" spans="1:23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</sheetData>
  <autoFilter ref="A10:W16" xr:uid="{5321A8FE-AE3F-4721-8745-DDAAECFC927C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fabb44-1f71-46fe-85fb-5385b06c61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B4203D69E28448A36207B67E836B83" ma:contentTypeVersion="6" ma:contentTypeDescription="Create a new document." ma:contentTypeScope="" ma:versionID="2c84f1fbe0d4da1d0e64e7185fe24c4a">
  <xsd:schema xmlns:xsd="http://www.w3.org/2001/XMLSchema" xmlns:xs="http://www.w3.org/2001/XMLSchema" xmlns:p="http://schemas.microsoft.com/office/2006/metadata/properties" xmlns:ns3="4bfabb44-1f71-46fe-85fb-5385b06c6182" targetNamespace="http://schemas.microsoft.com/office/2006/metadata/properties" ma:root="true" ma:fieldsID="d10c5313b20beb41f0c58c7c27cec194" ns3:_="">
    <xsd:import namespace="4bfabb44-1f71-46fe-85fb-5385b06c618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fabb44-1f71-46fe-85fb-5385b06c618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41F5FF-EE68-4068-BD7D-DCE5A4344D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ACC087-B854-4AB5-A8C7-841F2D11F111}">
  <ds:schemaRefs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4bfabb44-1f71-46fe-85fb-5385b06c6182"/>
  </ds:schemaRefs>
</ds:datastoreItem>
</file>

<file path=customXml/itemProps3.xml><?xml version="1.0" encoding="utf-8"?>
<ds:datastoreItem xmlns:ds="http://schemas.openxmlformats.org/officeDocument/2006/customXml" ds:itemID="{168AC0E5-E978-449D-8257-22D69476F0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fabb44-1f71-46fe-85fb-5385b06c61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Resumo 100%</vt:lpstr>
      <vt:lpstr>LISTA DE COMPRAS</vt:lpstr>
      <vt:lpstr>Est. Cust. Naci.</vt:lpstr>
      <vt:lpstr>Rateio Custos Fixos</vt:lpstr>
      <vt:lpstr>'LISTA DE COMPRAS'!Area_de_impressao</vt:lpstr>
      <vt:lpstr>'Resumo 100%'!Area_de_impressao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Leticia Nassif</dc:creator>
  <cp:keywords/>
  <dc:description/>
  <cp:lastModifiedBy>Gabriel Thomé de Albuquerque</cp:lastModifiedBy>
  <cp:revision/>
  <cp:lastPrinted>2025-11-26T19:13:21Z</cp:lastPrinted>
  <dcterms:created xsi:type="dcterms:W3CDTF">2023-06-07T20:41:43Z</dcterms:created>
  <dcterms:modified xsi:type="dcterms:W3CDTF">2025-11-26T19:13:34Z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0x010100A7B4203D69E28448A36207B67E836B83</vt:lpwstr>
  </property>
  <property fmtid="{D5CDD505-2E9C-101B-9397-08002B2CF9AE}" pid="3" name="MediaServiceImageTags">
    <vt:lpwstr/>
  </property>
</Properties>
</file>