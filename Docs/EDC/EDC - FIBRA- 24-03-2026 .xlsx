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Wise\Downloads\"/>
    </mc:Choice>
  </mc:AlternateContent>
  <xr:revisionPtr revIDLastSave="0" documentId="8_{DAC18B50-F8DC-4244-BE27-C39E95A823C4}" xr6:coauthVersionLast="47" xr6:coauthVersionMax="47" xr10:uidLastSave="{00000000-0000-0000-0000-000000000000}"/>
  <bookViews>
    <workbookView xWindow="-120" yWindow="-120" windowWidth="20730" windowHeight="11160" xr2:uid="{0BB83204-0EE9-47D4-952E-D1C8855D8B54}"/>
  </bookViews>
  <sheets>
    <sheet name="Resumo 100%" sheetId="10" r:id="rId1"/>
    <sheet name="LISTA DE COMPRAS" sheetId="4" r:id="rId2"/>
    <sheet name="Est. Cust. Naci." sheetId="9" r:id="rId3"/>
    <sheet name="Rateio Custos Fixos" sheetId="5" r:id="rId4"/>
  </sheets>
  <externalReferences>
    <externalReference r:id="rId5"/>
    <externalReference r:id="rId6"/>
  </externalReferences>
  <definedNames>
    <definedName name="_xlnm._FilterDatabase" localSheetId="2" hidden="1">'Est. Cust. Naci.'!$A$4:$AP$6</definedName>
    <definedName name="_xlnm._FilterDatabase" localSheetId="3" hidden="1">'Rateio Custos Fixos'!$A$10:$V$14</definedName>
    <definedName name="_xlnm._FilterDatabase" localSheetId="0" hidden="1">'Resumo 100%'!$B$5:$G$50</definedName>
    <definedName name="_xlnm.Print_Area" localSheetId="0">'Resumo 100%'!$B$1:$H$55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0" l="1"/>
  <c r="B25" i="10"/>
  <c r="U6" i="9"/>
  <c r="B15" i="10"/>
  <c r="B50" i="10"/>
  <c r="E15" i="10"/>
  <c r="F12" i="10"/>
  <c r="L5" i="4"/>
  <c r="M5" i="4"/>
  <c r="M6" i="4"/>
  <c r="M7" i="4"/>
  <c r="M8" i="4"/>
  <c r="M9" i="4"/>
  <c r="T5" i="9"/>
  <c r="V5" i="9"/>
  <c r="W5" i="9"/>
  <c r="S5" i="9"/>
  <c r="R5" i="9"/>
  <c r="C28" i="10"/>
  <c r="C27" i="10"/>
  <c r="T11" i="5"/>
  <c r="R11" i="5"/>
  <c r="Q11" i="5"/>
  <c r="P11" i="5"/>
  <c r="L11" i="5"/>
  <c r="K11" i="5"/>
  <c r="H11" i="5"/>
  <c r="A13" i="5"/>
  <c r="B13" i="5"/>
  <c r="A14" i="5"/>
  <c r="B14" i="5"/>
  <c r="A15" i="5"/>
  <c r="B15" i="5"/>
  <c r="A16" i="5"/>
  <c r="B16" i="5"/>
  <c r="C7" i="9"/>
  <c r="G7" i="9"/>
  <c r="H7" i="9"/>
  <c r="J7" i="9"/>
  <c r="AX7" i="9" s="1"/>
  <c r="C8" i="9"/>
  <c r="G8" i="9"/>
  <c r="H8" i="9"/>
  <c r="J8" i="9"/>
  <c r="AX8" i="9" s="1"/>
  <c r="C9" i="9"/>
  <c r="G9" i="9"/>
  <c r="H9" i="9"/>
  <c r="J9" i="9"/>
  <c r="C10" i="9"/>
  <c r="G10" i="9"/>
  <c r="H10" i="9"/>
  <c r="J10" i="9"/>
  <c r="AX10" i="9" s="1"/>
  <c r="B7" i="9"/>
  <c r="B8" i="9"/>
  <c r="B9" i="9"/>
  <c r="B10" i="9"/>
  <c r="B11" i="9"/>
  <c r="J4" i="4"/>
  <c r="K4" i="4"/>
  <c r="D15" i="10" l="1"/>
  <c r="P5" i="4"/>
  <c r="P7" i="4"/>
  <c r="I8" i="9" s="1"/>
  <c r="N8" i="9" s="1"/>
  <c r="P9" i="4"/>
  <c r="I10" i="9" s="1"/>
  <c r="N10" i="9" s="1"/>
  <c r="P6" i="4"/>
  <c r="I7" i="9" s="1"/>
  <c r="N7" i="9" s="1"/>
  <c r="P8" i="4"/>
  <c r="I9" i="9" s="1"/>
  <c r="N9" i="9" s="1"/>
  <c r="Q5" i="4"/>
  <c r="Q7" i="4"/>
  <c r="C14" i="5" s="1"/>
  <c r="Q14" i="5" s="1"/>
  <c r="AK8" i="9" s="1"/>
  <c r="Q9" i="4"/>
  <c r="Q6" i="4"/>
  <c r="C13" i="5" s="1"/>
  <c r="R13" i="5" s="1"/>
  <c r="AL7" i="9" s="1"/>
  <c r="Q8" i="4"/>
  <c r="C15" i="5" s="1"/>
  <c r="P15" i="5" s="1"/>
  <c r="AJ9" i="9" s="1"/>
  <c r="K7" i="9"/>
  <c r="K9" i="9"/>
  <c r="AX9" i="9"/>
  <c r="K8" i="9"/>
  <c r="K10" i="9"/>
  <c r="C16" i="5"/>
  <c r="Q16" i="5" s="1"/>
  <c r="AK10" i="9" s="1"/>
  <c r="G33" i="10"/>
  <c r="G41" i="10"/>
  <c r="G46" i="10"/>
  <c r="G43" i="10"/>
  <c r="G44" i="10"/>
  <c r="G38" i="10"/>
  <c r="G37" i="10"/>
  <c r="G35" i="10"/>
  <c r="G34" i="10"/>
  <c r="G31" i="10"/>
  <c r="G32" i="10"/>
  <c r="C26" i="10"/>
  <c r="C24" i="10"/>
  <c r="C23" i="10"/>
  <c r="G9" i="10"/>
  <c r="L16" i="5" l="1"/>
  <c r="AF10" i="9" s="1"/>
  <c r="T16" i="5"/>
  <c r="AN10" i="9" s="1"/>
  <c r="R16" i="5"/>
  <c r="AL10" i="9" s="1"/>
  <c r="K15" i="5"/>
  <c r="AE9" i="9" s="1"/>
  <c r="L14" i="5"/>
  <c r="AF8" i="9" s="1"/>
  <c r="P14" i="5"/>
  <c r="AJ8" i="9" s="1"/>
  <c r="T15" i="5"/>
  <c r="AN9" i="9" s="1"/>
  <c r="H13" i="5"/>
  <c r="AB7" i="9" s="1"/>
  <c r="L15" i="5"/>
  <c r="AF9" i="9" s="1"/>
  <c r="R15" i="5"/>
  <c r="AL9" i="9" s="1"/>
  <c r="T14" i="5"/>
  <c r="AN8" i="9" s="1"/>
  <c r="K16" i="5"/>
  <c r="AE10" i="9" s="1"/>
  <c r="P16" i="5"/>
  <c r="AJ10" i="9" s="1"/>
  <c r="H16" i="5"/>
  <c r="AB10" i="9" s="1"/>
  <c r="Q13" i="5"/>
  <c r="AK7" i="9" s="1"/>
  <c r="P13" i="5"/>
  <c r="AJ7" i="9" s="1"/>
  <c r="H15" i="5"/>
  <c r="AB9" i="9" s="1"/>
  <c r="K14" i="5"/>
  <c r="AE8" i="9" s="1"/>
  <c r="L13" i="5"/>
  <c r="AF7" i="9" s="1"/>
  <c r="Q15" i="5"/>
  <c r="AK9" i="9" s="1"/>
  <c r="R14" i="5"/>
  <c r="AL8" i="9" s="1"/>
  <c r="T13" i="5"/>
  <c r="AN7" i="9" s="1"/>
  <c r="H14" i="5"/>
  <c r="AB8" i="9" s="1"/>
  <c r="K13" i="5"/>
  <c r="AE7" i="9" s="1"/>
  <c r="J15" i="5"/>
  <c r="AD9" i="9" s="1"/>
  <c r="U15" i="5"/>
  <c r="AO9" i="9" s="1"/>
  <c r="F15" i="5"/>
  <c r="Z9" i="9" s="1"/>
  <c r="M15" i="5"/>
  <c r="AG9" i="9" s="1"/>
  <c r="G15" i="5"/>
  <c r="AA9" i="9" s="1"/>
  <c r="O15" i="5"/>
  <c r="AI9" i="9" s="1"/>
  <c r="I15" i="5"/>
  <c r="AC9" i="9" s="1"/>
  <c r="S15" i="5"/>
  <c r="AM9" i="9" s="1"/>
  <c r="G14" i="5"/>
  <c r="AA8" i="9" s="1"/>
  <c r="O14" i="5"/>
  <c r="AI8" i="9" s="1"/>
  <c r="I14" i="5"/>
  <c r="AC8" i="9" s="1"/>
  <c r="S14" i="5"/>
  <c r="AM8" i="9" s="1"/>
  <c r="J14" i="5"/>
  <c r="AD8" i="9" s="1"/>
  <c r="U14" i="5"/>
  <c r="AO8" i="9" s="1"/>
  <c r="F14" i="5"/>
  <c r="Z8" i="9" s="1"/>
  <c r="M14" i="5"/>
  <c r="AG8" i="9" s="1"/>
  <c r="G16" i="5"/>
  <c r="AA10" i="9" s="1"/>
  <c r="O16" i="5"/>
  <c r="AI10" i="9" s="1"/>
  <c r="I16" i="5"/>
  <c r="AC10" i="9" s="1"/>
  <c r="S16" i="5"/>
  <c r="AM10" i="9" s="1"/>
  <c r="J16" i="5"/>
  <c r="AD10" i="9" s="1"/>
  <c r="U16" i="5"/>
  <c r="AO10" i="9" s="1"/>
  <c r="F16" i="5"/>
  <c r="Z10" i="9" s="1"/>
  <c r="M16" i="5"/>
  <c r="AG10" i="9" s="1"/>
  <c r="J13" i="5"/>
  <c r="AD7" i="9" s="1"/>
  <c r="U13" i="5"/>
  <c r="AO7" i="9" s="1"/>
  <c r="F13" i="5"/>
  <c r="Z7" i="9" s="1"/>
  <c r="M13" i="5"/>
  <c r="AG7" i="9" s="1"/>
  <c r="G13" i="5"/>
  <c r="AA7" i="9" s="1"/>
  <c r="O13" i="5"/>
  <c r="AI7" i="9" s="1"/>
  <c r="I13" i="5"/>
  <c r="AC7" i="9" s="1"/>
  <c r="S13" i="5"/>
  <c r="AM7" i="9" s="1"/>
  <c r="G45" i="10"/>
  <c r="G42" i="10"/>
  <c r="G36" i="10"/>
  <c r="N4" i="4"/>
  <c r="O6" i="4" l="1"/>
  <c r="O7" i="4"/>
  <c r="O9" i="4"/>
  <c r="O8" i="4"/>
  <c r="N8" i="4"/>
  <c r="N5" i="4"/>
  <c r="O5" i="4"/>
  <c r="N9" i="4"/>
  <c r="N7" i="4"/>
  <c r="N6" i="4"/>
  <c r="L20" i="10"/>
  <c r="I20" i="10"/>
  <c r="L19" i="10"/>
  <c r="I19" i="10"/>
  <c r="L18" i="10"/>
  <c r="I18" i="10"/>
  <c r="L17" i="10"/>
  <c r="I17" i="10"/>
  <c r="L14" i="10"/>
  <c r="I14" i="10"/>
  <c r="L4" i="9"/>
  <c r="L7" i="9" l="1"/>
  <c r="M7" i="9" s="1"/>
  <c r="L8" i="9"/>
  <c r="M8" i="9" s="1"/>
  <c r="L9" i="9"/>
  <c r="M9" i="9" s="1"/>
  <c r="L10" i="9"/>
  <c r="M10" i="9" s="1"/>
  <c r="M20" i="10"/>
  <c r="N20" i="10" s="1"/>
  <c r="O20" i="10" s="1"/>
  <c r="M19" i="10"/>
  <c r="N19" i="10" s="1"/>
  <c r="O19" i="10" s="1"/>
  <c r="M18" i="10"/>
  <c r="N18" i="10" s="1"/>
  <c r="O18" i="10" s="1"/>
  <c r="M14" i="10"/>
  <c r="N14" i="10" s="1"/>
  <c r="O14" i="10" s="1"/>
  <c r="M17" i="10"/>
  <c r="N17" i="10" s="1"/>
  <c r="O17" i="10" s="1"/>
  <c r="J6" i="9"/>
  <c r="H6" i="9"/>
  <c r="G6" i="9"/>
  <c r="C6" i="9"/>
  <c r="B6" i="9"/>
  <c r="AX6" i="9" l="1"/>
  <c r="AY6" i="9" s="1"/>
  <c r="K6" i="9"/>
  <c r="L6" i="9" s="1"/>
  <c r="L5" i="9" s="1"/>
  <c r="C51" i="10" s="1"/>
  <c r="M6" i="9" l="1"/>
  <c r="B12" i="5" l="1"/>
  <c r="B11" i="5" s="1"/>
  <c r="A12" i="5"/>
  <c r="M4" i="4"/>
  <c r="F15" i="10" s="1"/>
  <c r="F16" i="10" l="1"/>
  <c r="B57" i="10" s="1"/>
  <c r="B4" i="5" a="1"/>
  <c r="B4" i="5" s="1"/>
  <c r="G3" i="5"/>
  <c r="G2" i="5"/>
  <c r="C10" i="5"/>
  <c r="U8" i="5"/>
  <c r="G4" i="5" l="1"/>
  <c r="E11" i="5" s="1"/>
  <c r="D12" i="10"/>
  <c r="C12" i="5"/>
  <c r="C11" i="5" s="1"/>
  <c r="E13" i="5" l="1"/>
  <c r="E14" i="5"/>
  <c r="E15" i="5"/>
  <c r="E16" i="5"/>
  <c r="G5" i="5"/>
  <c r="F19" i="10" s="1"/>
  <c r="G15" i="10"/>
  <c r="G16" i="10" s="1"/>
  <c r="D57" i="10"/>
  <c r="N16" i="5" l="1"/>
  <c r="AH10" i="9" s="1"/>
  <c r="AP10" i="9" s="1"/>
  <c r="O10" i="9"/>
  <c r="P10" i="9" s="1"/>
  <c r="N15" i="5"/>
  <c r="AH9" i="9" s="1"/>
  <c r="AP9" i="9" s="1"/>
  <c r="O9" i="9"/>
  <c r="P9" i="9" s="1"/>
  <c r="N14" i="5"/>
  <c r="AH8" i="9" s="1"/>
  <c r="AP8" i="9" s="1"/>
  <c r="O8" i="9"/>
  <c r="P8" i="9" s="1"/>
  <c r="N13" i="5"/>
  <c r="AH7" i="9" s="1"/>
  <c r="AP7" i="9" s="1"/>
  <c r="O7" i="9"/>
  <c r="P7" i="9" s="1"/>
  <c r="V11" i="5"/>
  <c r="G19" i="10"/>
  <c r="V15" i="5" l="1"/>
  <c r="V14" i="5"/>
  <c r="V13" i="5"/>
  <c r="R7" i="9"/>
  <c r="W7" i="9"/>
  <c r="R8" i="9"/>
  <c r="W8" i="9"/>
  <c r="R9" i="9"/>
  <c r="W9" i="9"/>
  <c r="R10" i="9"/>
  <c r="W10" i="9"/>
  <c r="G17" i="10"/>
  <c r="G20" i="10" s="1"/>
  <c r="Q10" i="9" l="1"/>
  <c r="S10" i="9" s="1"/>
  <c r="Q9" i="9"/>
  <c r="S9" i="9" s="1"/>
  <c r="Q8" i="9"/>
  <c r="S8" i="9" s="1"/>
  <c r="Q7" i="9"/>
  <c r="S7" i="9" s="1"/>
  <c r="Y5" i="9"/>
  <c r="T7" i="9" l="1"/>
  <c r="V7" i="9"/>
  <c r="T8" i="9"/>
  <c r="V8" i="9"/>
  <c r="T9" i="9"/>
  <c r="V9" i="9"/>
  <c r="T10" i="9"/>
  <c r="V10" i="9"/>
  <c r="I6" i="9" l="1"/>
  <c r="N6" i="9" s="1"/>
  <c r="M12" i="5" l="1"/>
  <c r="AG6" i="9" s="1"/>
  <c r="AG5" i="9" s="1"/>
  <c r="S12" i="5"/>
  <c r="AM6" i="9" s="1"/>
  <c r="AM5" i="9" s="1"/>
  <c r="K12" i="5"/>
  <c r="AE6" i="9" s="1"/>
  <c r="AE5" i="9" s="1"/>
  <c r="T12" i="5"/>
  <c r="AN6" i="9" s="1"/>
  <c r="AN5" i="9" s="1"/>
  <c r="G12" i="5"/>
  <c r="AA6" i="9" s="1"/>
  <c r="AA5" i="9" s="1"/>
  <c r="E12" i="5"/>
  <c r="U12" i="5"/>
  <c r="AO6" i="9" s="1"/>
  <c r="AO5" i="9" s="1"/>
  <c r="Q12" i="5"/>
  <c r="AK6" i="9" s="1"/>
  <c r="AK5" i="9" s="1"/>
  <c r="L12" i="5"/>
  <c r="AF6" i="9" s="1"/>
  <c r="AF5" i="9" s="1"/>
  <c r="P12" i="5"/>
  <c r="AJ6" i="9" s="1"/>
  <c r="AJ5" i="9" s="1"/>
  <c r="H12" i="5"/>
  <c r="AB6" i="9" s="1"/>
  <c r="AB5" i="9" s="1"/>
  <c r="I12" i="5"/>
  <c r="AC6" i="9" s="1"/>
  <c r="AC5" i="9" s="1"/>
  <c r="O12" i="5"/>
  <c r="AI6" i="9" s="1"/>
  <c r="AI5" i="9" s="1"/>
  <c r="F12" i="5"/>
  <c r="Z6" i="9" s="1"/>
  <c r="Z5" i="9" s="1"/>
  <c r="R12" i="5"/>
  <c r="AL6" i="9" s="1"/>
  <c r="AL5" i="9" s="1"/>
  <c r="J12" i="5"/>
  <c r="AD6" i="9" s="1"/>
  <c r="AD5" i="9" s="1"/>
  <c r="N12" i="5" l="1"/>
  <c r="N17" i="5" s="1"/>
  <c r="G39" i="10" s="1"/>
  <c r="O6" i="9"/>
  <c r="O5" i="9" s="1"/>
  <c r="AH6" i="9" l="1"/>
  <c r="AH5" i="9" s="1"/>
  <c r="G47" i="10"/>
  <c r="P6" i="9"/>
  <c r="P4" i="9" s="1"/>
  <c r="W6" i="9" l="1"/>
  <c r="W4" i="9" s="1"/>
  <c r="G28" i="10" s="1"/>
  <c r="R6" i="9"/>
  <c r="AP6" i="9"/>
  <c r="AP5" i="9" s="1"/>
  <c r="Q6" i="9" l="1"/>
  <c r="T6" i="9" s="1"/>
  <c r="T4" i="9" s="1"/>
  <c r="G26" i="10" s="1"/>
  <c r="R4" i="9"/>
  <c r="G23" i="10" s="1"/>
  <c r="V6" i="9" l="1"/>
  <c r="V4" i="9" s="1"/>
  <c r="G27" i="10" s="1"/>
  <c r="Q4" i="9"/>
  <c r="AS5" i="9" s="1"/>
  <c r="S6" i="9"/>
  <c r="S4" i="9" s="1"/>
  <c r="G24" i="10" s="1"/>
  <c r="Y7" i="9"/>
  <c r="AS7" i="9" s="1"/>
  <c r="Y8" i="9"/>
  <c r="AS8" i="9" s="1"/>
  <c r="Y9" i="9"/>
  <c r="AS9" i="9" s="1"/>
  <c r="Y10" i="9"/>
  <c r="AS10" i="9" s="1"/>
  <c r="X8" i="9"/>
  <c r="AQ8" i="9" s="1"/>
  <c r="AT8" i="9" s="1"/>
  <c r="X9" i="9"/>
  <c r="AQ9" i="9" s="1"/>
  <c r="AT9" i="9" s="1"/>
  <c r="X10" i="9"/>
  <c r="AQ10" i="9" s="1"/>
  <c r="AT10" i="9" s="1"/>
  <c r="X7" i="9"/>
  <c r="AQ7" i="9" s="1"/>
  <c r="Y6" i="9"/>
  <c r="AS6" i="9" s="1"/>
  <c r="G29" i="10" l="1"/>
  <c r="G48" i="10" s="1"/>
  <c r="X6" i="9"/>
  <c r="AQ6" i="9" s="1"/>
  <c r="AU6" i="9"/>
  <c r="AW6" i="9"/>
  <c r="AV10" i="9"/>
  <c r="R9" i="4" s="1"/>
  <c r="S9" i="4" s="1"/>
  <c r="AV9" i="9"/>
  <c r="R8" i="4" s="1"/>
  <c r="S8" i="4" s="1"/>
  <c r="AV8" i="9"/>
  <c r="R7" i="4" s="1"/>
  <c r="S7" i="4" s="1"/>
  <c r="AT7" i="9"/>
  <c r="AV7" i="9"/>
  <c r="R6" i="4" s="1"/>
  <c r="S6" i="4" s="1"/>
  <c r="AU10" i="9"/>
  <c r="AW10" i="9"/>
  <c r="AU9" i="9"/>
  <c r="AW9" i="9"/>
  <c r="AU8" i="9"/>
  <c r="AW8" i="9"/>
  <c r="AU7" i="9"/>
  <c r="AW7" i="9"/>
  <c r="X5" i="9" l="1"/>
  <c r="AQ5" i="9" s="1"/>
  <c r="C53" i="10" s="1"/>
  <c r="C52" i="10" s="1"/>
  <c r="AT6" i="9"/>
  <c r="BA6" i="9"/>
  <c r="AV6" i="9"/>
  <c r="R5" i="4" l="1"/>
  <c r="G50" i="10" l="1"/>
  <c r="S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tc={0C9ECCC5-3310-412D-8782-C1D3124F4B3E}</author>
  </authors>
  <commentList>
    <comment ref="E8" authorId="0" shapeId="0" xr:uid="{0C9ECCC5-3310-412D-8782-C1D3124F4B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<sst xmlns="http://schemas.openxmlformats.org/spreadsheetml/2006/main" count="167" uniqueCount="116">
  <si>
    <t>Estimativa de Custo 100%</t>
  </si>
  <si>
    <t>USO: REVENDA</t>
  </si>
  <si>
    <t>PORTO ENTRADA: PARANAGUÁ</t>
  </si>
  <si>
    <t>SIMULAÇÃO 100%</t>
  </si>
  <si>
    <t xml:space="preserve">REFERÊNCIA CÁLCULO BASE </t>
  </si>
  <si>
    <t>R$/USD:</t>
  </si>
  <si>
    <t>NCM:</t>
  </si>
  <si>
    <t>VALORES ADUANEIROS</t>
  </si>
  <si>
    <t>ITEM</t>
  </si>
  <si>
    <t>QTY</t>
  </si>
  <si>
    <t>BRL UNIT PRICE</t>
  </si>
  <si>
    <t>DISCRIMINAÇÃO</t>
  </si>
  <si>
    <t>UNIDADE</t>
  </si>
  <si>
    <t>PREÇO USD</t>
  </si>
  <si>
    <t>PREÇO TOTAL USD</t>
  </si>
  <si>
    <t>R$</t>
  </si>
  <si>
    <t>TOTAL FOB</t>
  </si>
  <si>
    <t>PRODUTO + FRETE</t>
  </si>
  <si>
    <t>Seguro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</si>
  <si>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</si>
  <si>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</si>
  <si>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</si>
  <si>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</si>
  <si>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</si>
  <si>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</si>
  <si>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IPI </t>
  </si>
  <si>
    <t>PIS</t>
  </si>
  <si>
    <t xml:space="preserve">COFINS </t>
  </si>
  <si>
    <t>ICMS</t>
  </si>
  <si>
    <t>TOTAL VALOR IMPOSTOS</t>
  </si>
  <si>
    <t>DESPESAS ADUANEIRAS E LOGÍSTICAS</t>
  </si>
  <si>
    <t>TAXA SISCOMEX</t>
  </si>
  <si>
    <t>LIBERAÇÃO DE B/L</t>
  </si>
  <si>
    <t>T.H.C|CAPATAZIA</t>
  </si>
  <si>
    <t>ISPS</t>
  </si>
  <si>
    <t>DAMAGE PROTECTION</t>
  </si>
  <si>
    <t>DESCONSOLIDAÇÃO</t>
  </si>
  <si>
    <t>DEVOLUÇÃO DE CONTAINER</t>
  </si>
  <si>
    <t>TRS</t>
  </si>
  <si>
    <t>AFRMM</t>
  </si>
  <si>
    <t>ARMAZENAGEM TCP</t>
  </si>
  <si>
    <t>5 DIAS DE ARMAZENAGEM</t>
  </si>
  <si>
    <t>SCANNER TCP</t>
  </si>
  <si>
    <t>HANDLING - TCP</t>
  </si>
  <si>
    <t>PESAGEM TCP</t>
  </si>
  <si>
    <t>TAXA DO PARCEIRO - PARANAGUÁ</t>
  </si>
  <si>
    <t>FRETE RODOVIÁRIO</t>
  </si>
  <si>
    <t>DESEMBARAÇO ADUANEIRO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</si>
  <si>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</si>
  <si>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</si>
  <si>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</si>
  <si>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</si>
  <si>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</si>
  <si>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FAVOR NOTAR QUE A ESTIMATIVA DE CUSTOS NÃO CONTEMPLA VALORES DE COMISSÃO, POIS ELES VARIAM CONFORME CONTRATO.</t>
  </si>
  <si>
    <t>LISTA DE COMPRA</t>
  </si>
  <si>
    <t>Item</t>
  </si>
  <si>
    <t>Produto</t>
  </si>
  <si>
    <t>NCM</t>
  </si>
  <si>
    <t>II</t>
  </si>
  <si>
    <t>IPI</t>
  </si>
  <si>
    <t>COFINS</t>
  </si>
  <si>
    <t>Preço Unitário</t>
  </si>
  <si>
    <t>Preço Unitário Sub 50%</t>
  </si>
  <si>
    <t>Preço total por produto</t>
  </si>
  <si>
    <t>Preço total por produto Sub</t>
  </si>
  <si>
    <t>% Rateio Quantidade</t>
  </si>
  <si>
    <t>% Rateio Preço</t>
  </si>
  <si>
    <t>DETALHES DO PRODUTO</t>
  </si>
  <si>
    <t>VALOR ADUANEIRO</t>
  </si>
  <si>
    <t>TAXAS PORTUÁRIAS</t>
  </si>
  <si>
    <t>Nº</t>
  </si>
  <si>
    <t>Código</t>
  </si>
  <si>
    <t>Bitola (mm)</t>
  </si>
  <si>
    <t>Embal.</t>
  </si>
  <si>
    <t>QTD</t>
  </si>
  <si>
    <t>Preço unitário Fábrica (USD)</t>
  </si>
  <si>
    <t>Preço x QTD (Valor em USD)</t>
  </si>
  <si>
    <t>Preço x QTD (valor em BRL)</t>
  </si>
  <si>
    <t>Preço x QTD (valor em BRL) SUB</t>
  </si>
  <si>
    <t>THC (valor em BRL)</t>
  </si>
  <si>
    <t>Valor do frete (Valor em BRL)</t>
  </si>
  <si>
    <t>TOTAL VALOR ADUANEIRO + II</t>
  </si>
  <si>
    <t>IMPOSTO DE IMPORTAÇÃO</t>
  </si>
  <si>
    <t>TOTAL IMPOSTOS</t>
  </si>
  <si>
    <t>TOTAL IMPOSTOS (SUB)</t>
  </si>
  <si>
    <t>T.H.C|  CAPATAZIA</t>
  </si>
  <si>
    <t>TOTAL TAXAS DESEMBARAÇO</t>
  </si>
  <si>
    <t>TOTAL (sub)</t>
  </si>
  <si>
    <t xml:space="preserve">MÉTODO ANTIGO </t>
  </si>
  <si>
    <t>MÉTODO ANTIGO (sub)</t>
  </si>
  <si>
    <t xml:space="preserve">MÉTODO DANI </t>
  </si>
  <si>
    <t>MÉTODO DANI (sub)</t>
  </si>
  <si>
    <t xml:space="preserve">MÉTODO JULIANA </t>
  </si>
  <si>
    <t>MÉTODO JULIANA (sub)</t>
  </si>
  <si>
    <t>VALOR UNITÁRIO C/ COMISSÃO SEAWISE</t>
  </si>
  <si>
    <t>AAA</t>
  </si>
  <si>
    <t xml:space="preserve">                                                                                         </t>
  </si>
  <si>
    <t>CÂMBIO</t>
  </si>
  <si>
    <t>FRETE</t>
  </si>
  <si>
    <t>Quantidade</t>
  </si>
  <si>
    <t>Preço R$ nacionalizado</t>
  </si>
  <si>
    <t xml:space="preserve">Quantidade </t>
  </si>
  <si>
    <t>kg Unitário</t>
  </si>
  <si>
    <t>Preço R$ nacionalizado por kg</t>
  </si>
  <si>
    <t>CONSIDERAR ICMS 6%</t>
  </si>
  <si>
    <t>REGIME TRIBUTÁRIO: LUCRO PRESUMIDO/ REAL</t>
  </si>
  <si>
    <t>FRETE: FCL</t>
  </si>
  <si>
    <t>PORTO SAÍDA: QINGDAO</t>
  </si>
  <si>
    <t>PRODUTO: FIBRA</t>
  </si>
  <si>
    <t>FIBRA  0.9DX38MM  na versão virgem</t>
  </si>
  <si>
    <t xml:space="preserve">ARMAZENAGEM </t>
  </si>
  <si>
    <t xml:space="preserve">SCANNER </t>
  </si>
  <si>
    <t xml:space="preserve">HANDLING </t>
  </si>
  <si>
    <t xml:space="preserve">PESAGEM </t>
  </si>
  <si>
    <t>DUMPING</t>
  </si>
  <si>
    <t>390/t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</si>
</sst>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R$-416]\ #,##0.00;\-[$R$-416]\ #,##0.00"/>
    <numFmt numFmtId="165" formatCode="_-[$USD]\ * #,##0.00_-;\-[$USD]\ * #,##0.00_-;_-[$USD]\ * &quot;-&quot;??_-;_-@_-"/>
    <numFmt numFmtId="166" formatCode="[$R$-416]\ #,##0.00"/>
    <numFmt numFmtId="167" formatCode="0.0%"/>
    <numFmt numFmtId="168" formatCode="_-[$R$-416]\ * #,##0.00_-;\-[$R$-416]\ * #,##0.00_-;_-[$R$-416]\ * &quot;-&quot;??_-;_-@_-"/>
    <numFmt numFmtId="169" formatCode="_-[$R$-416]\ * #,##0.0000_-;\-[$R$-416]\ * #,##0.0000_-;_-[$R$-416]\ * &quot;-&quot;????_-;_-@_-"/>
    <numFmt numFmtId="170" formatCode="_-[$$-409]* #,##0.00_ ;_-[$$-409]* \-#,##0.00\ ;_-[$$-409]* &quot;-&quot;??_ ;_-@_ "/>
    <numFmt numFmtId="171" formatCode="&quot;R$&quot;\ #,##0.00"/>
    <numFmt numFmtId="172" formatCode="_(&quot;$&quot;* #,##0.00_);_(&quot;$&quot;* \(#,##0.00\);_(&quot;$&quot;* &quot;-&quot;??_);_(@_)"/>
    <numFmt numFmtId="173" formatCode="[$USD]\ #,##0.00"/>
    <numFmt numFmtId="174" formatCode="_-[$R$-416]\ * #,##0.00_-;\-[$R$-416]\ * #,##0.00_-;_-[$R$-416]\ * &quot;-&quot;??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4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6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9" fontId="0" fillId="0" borderId="0" xfId="0" applyNumberFormat="1"/>
    <xf numFmtId="0" fontId="1" fillId="0" borderId="0" xfId="0" applyFont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0" borderId="0" xfId="2" applyFont="1"/>
    <xf numFmtId="168" fontId="0" fillId="6" borderId="0" xfId="0" applyNumberFormat="1" applyFill="1" applyAlignment="1">
      <alignment horizontal="center" vertical="center"/>
    </xf>
    <xf numFmtId="9" fontId="0" fillId="6" borderId="0" xfId="2" applyFont="1" applyFill="1" applyAlignment="1">
      <alignment horizontal="center" vertical="center"/>
    </xf>
    <xf numFmtId="168" fontId="0" fillId="0" borderId="0" xfId="0" applyNumberFormat="1"/>
    <xf numFmtId="10" fontId="0" fillId="0" borderId="0" xfId="2" applyNumberFormat="1" applyFont="1" applyFill="1"/>
    <xf numFmtId="170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8" fillId="7" borderId="0" xfId="0" applyFont="1" applyFill="1" applyAlignment="1">
      <alignment vertical="center"/>
    </xf>
    <xf numFmtId="0" fontId="8" fillId="7" borderId="5" xfId="0" applyFont="1" applyFill="1" applyBorder="1" applyAlignment="1">
      <alignment horizontal="left" vertical="center"/>
    </xf>
    <xf numFmtId="0" fontId="9" fillId="7" borderId="12" xfId="0" applyFont="1" applyFill="1" applyBorder="1" applyAlignment="1">
      <alignment vertical="center"/>
    </xf>
    <xf numFmtId="0" fontId="9" fillId="7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171" fontId="11" fillId="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2" fillId="8" borderId="5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8" fontId="0" fillId="0" borderId="1" xfId="0" applyNumberFormat="1" applyBorder="1"/>
    <xf numFmtId="168" fontId="0" fillId="0" borderId="1" xfId="0" applyNumberFormat="1" applyBorder="1" applyAlignment="1">
      <alignment vertical="center"/>
    </xf>
    <xf numFmtId="0" fontId="5" fillId="11" borderId="4" xfId="0" applyFont="1" applyFill="1" applyBorder="1"/>
    <xf numFmtId="0" fontId="5" fillId="11" borderId="0" xfId="3" applyNumberFormat="1" applyFont="1" applyFill="1" applyAlignment="1">
      <alignment vertical="center"/>
    </xf>
    <xf numFmtId="1" fontId="5" fillId="11" borderId="0" xfId="4" applyNumberFormat="1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172" fontId="5" fillId="0" borderId="0" xfId="3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164" fontId="7" fillId="0" borderId="13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left" vertical="center"/>
    </xf>
    <xf numFmtId="43" fontId="0" fillId="0" borderId="0" xfId="0" applyNumberFormat="1" applyAlignment="1">
      <alignment vertical="center"/>
    </xf>
    <xf numFmtId="0" fontId="5" fillId="0" borderId="4" xfId="0" applyFont="1" applyBorder="1"/>
    <xf numFmtId="0" fontId="5" fillId="0" borderId="0" xfId="0" applyFont="1"/>
    <xf numFmtId="0" fontId="0" fillId="0" borderId="0" xfId="0" applyAlignment="1">
      <alignment horizontal="left" vertical="center"/>
    </xf>
    <xf numFmtId="9" fontId="5" fillId="0" borderId="0" xfId="2" applyFont="1"/>
    <xf numFmtId="171" fontId="7" fillId="0" borderId="14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4" fontId="7" fillId="0" borderId="9" xfId="0" applyNumberFormat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168" fontId="5" fillId="0" borderId="0" xfId="1" applyNumberFormat="1" applyFont="1" applyAlignment="1">
      <alignment vertical="center"/>
    </xf>
    <xf numFmtId="0" fontId="8" fillId="7" borderId="0" xfId="0" applyFont="1" applyFill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9" fontId="0" fillId="0" borderId="0" xfId="2" applyFont="1" applyBorder="1" applyAlignment="1">
      <alignment vertical="center"/>
    </xf>
    <xf numFmtId="0" fontId="9" fillId="7" borderId="7" xfId="0" applyFont="1" applyFill="1" applyBorder="1" applyAlignment="1">
      <alignment horizontal="center" vertical="center"/>
    </xf>
    <xf numFmtId="0" fontId="10" fillId="11" borderId="4" xfId="0" applyFont="1" applyFill="1" applyBorder="1"/>
    <xf numFmtId="1" fontId="10" fillId="11" borderId="0" xfId="4" applyNumberFormat="1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" fillId="0" borderId="17" xfId="0" applyFont="1" applyBorder="1"/>
    <xf numFmtId="0" fontId="1" fillId="13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/>
    </xf>
    <xf numFmtId="0" fontId="1" fillId="14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 wrapText="1"/>
    </xf>
    <xf numFmtId="0" fontId="1" fillId="7" borderId="17" xfId="0" applyFont="1" applyFill="1" applyBorder="1" applyAlignment="1">
      <alignment horizontal="centerContinuous"/>
    </xf>
    <xf numFmtId="0" fontId="1" fillId="15" borderId="17" xfId="0" applyFont="1" applyFill="1" applyBorder="1" applyAlignment="1">
      <alignment horizontal="centerContinuous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49" fontId="16" fillId="13" borderId="1" xfId="0" applyNumberFormat="1" applyFont="1" applyFill="1" applyBorder="1" applyAlignment="1">
      <alignment horizontal="center" vertical="center"/>
    </xf>
    <xf numFmtId="49" fontId="16" fillId="13" borderId="1" xfId="0" applyNumberFormat="1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49" fontId="10" fillId="13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168" fontId="7" fillId="14" borderId="1" xfId="0" applyNumberFormat="1" applyFont="1" applyFill="1" applyBorder="1" applyAlignment="1">
      <alignment horizontal="center" vertical="center" wrapText="1"/>
    </xf>
    <xf numFmtId="168" fontId="19" fillId="14" borderId="1" xfId="0" applyNumberFormat="1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8" fontId="19" fillId="17" borderId="1" xfId="0" applyNumberFormat="1" applyFont="1" applyFill="1" applyBorder="1" applyAlignment="1">
      <alignment horizontal="center" vertical="center" wrapText="1"/>
    </xf>
    <xf numFmtId="4" fontId="19" fillId="17" borderId="1" xfId="0" applyNumberFormat="1" applyFont="1" applyFill="1" applyBorder="1" applyAlignment="1">
      <alignment horizontal="center" vertical="center"/>
    </xf>
    <xf numFmtId="168" fontId="7" fillId="15" borderId="1" xfId="0" applyNumberFormat="1" applyFont="1" applyFill="1" applyBorder="1" applyAlignment="1">
      <alignment horizontal="center" vertical="center"/>
    </xf>
    <xf numFmtId="10" fontId="1" fillId="15" borderId="1" xfId="0" applyNumberFormat="1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68" fontId="7" fillId="15" borderId="0" xfId="0" applyNumberFormat="1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49" fontId="10" fillId="13" borderId="0" xfId="0" applyNumberFormat="1" applyFont="1" applyFill="1" applyAlignment="1">
      <alignment horizontal="center" vertical="center"/>
    </xf>
    <xf numFmtId="49" fontId="8" fillId="13" borderId="0" xfId="0" applyNumberFormat="1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168" fontId="7" fillId="14" borderId="0" xfId="0" applyNumberFormat="1" applyFont="1" applyFill="1" applyAlignment="1">
      <alignment horizontal="center" vertical="center" wrapText="1"/>
    </xf>
    <xf numFmtId="168" fontId="19" fillId="14" borderId="0" xfId="0" applyNumberFormat="1" applyFont="1" applyFill="1" applyAlignment="1">
      <alignment horizontal="center" vertical="center" wrapText="1"/>
    </xf>
    <xf numFmtId="168" fontId="19" fillId="17" borderId="0" xfId="0" applyNumberFormat="1" applyFont="1" applyFill="1" applyAlignment="1">
      <alignment horizontal="center" vertical="center" wrapText="1"/>
    </xf>
    <xf numFmtId="9" fontId="0" fillId="18" borderId="0" xfId="5" applyFont="1" applyFill="1" applyBorder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9" fontId="0" fillId="0" borderId="0" xfId="5" applyFont="1"/>
    <xf numFmtId="0" fontId="4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165" fontId="4" fillId="2" borderId="18" xfId="0" applyNumberFormat="1" applyFont="1" applyFill="1" applyBorder="1" applyAlignment="1">
      <alignment horizontal="center" vertical="center" wrapText="1"/>
    </xf>
    <xf numFmtId="168" fontId="4" fillId="2" borderId="18" xfId="0" applyNumberFormat="1" applyFont="1" applyFill="1" applyBorder="1" applyAlignment="1">
      <alignment horizontal="center" vertical="center" wrapText="1"/>
    </xf>
    <xf numFmtId="9" fontId="4" fillId="2" borderId="18" xfId="2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167" fontId="0" fillId="0" borderId="18" xfId="2" applyNumberFormat="1" applyFont="1" applyBorder="1" applyAlignment="1">
      <alignment horizontal="center" vertical="center"/>
    </xf>
    <xf numFmtId="10" fontId="0" fillId="0" borderId="18" xfId="2" applyNumberFormat="1" applyFont="1" applyFill="1" applyBorder="1" applyAlignment="1">
      <alignment horizontal="center" vertical="center"/>
    </xf>
    <xf numFmtId="9" fontId="0" fillId="0" borderId="18" xfId="2" applyFont="1" applyFill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8" fontId="0" fillId="0" borderId="18" xfId="0" applyNumberFormat="1" applyBorder="1" applyAlignment="1">
      <alignment horizontal="center" vertical="center"/>
    </xf>
    <xf numFmtId="0" fontId="20" fillId="0" borderId="0" xfId="0" applyFont="1"/>
    <xf numFmtId="16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8" fontId="19" fillId="17" borderId="0" xfId="0" applyNumberFormat="1" applyFont="1" applyFill="1" applyAlignment="1">
      <alignment horizontal="center" vertical="center"/>
    </xf>
    <xf numFmtId="173" fontId="10" fillId="11" borderId="0" xfId="3" applyNumberFormat="1" applyFont="1" applyFill="1" applyAlignment="1">
      <alignment horizontal="center" vertical="center"/>
    </xf>
    <xf numFmtId="173" fontId="10" fillId="0" borderId="0" xfId="3" applyNumberFormat="1" applyFont="1" applyAlignment="1">
      <alignment horizontal="center" vertical="center"/>
    </xf>
    <xf numFmtId="164" fontId="10" fillId="0" borderId="5" xfId="4" applyNumberFormat="1" applyFont="1" applyBorder="1" applyAlignment="1">
      <alignment horizontal="center"/>
    </xf>
    <xf numFmtId="173" fontId="5" fillId="11" borderId="0" xfId="3" applyNumberFormat="1" applyFont="1" applyFill="1" applyAlignment="1">
      <alignment horizontal="center" vertical="center"/>
    </xf>
    <xf numFmtId="164" fontId="5" fillId="11" borderId="5" xfId="4" applyNumberFormat="1" applyFont="1" applyFill="1" applyBorder="1" applyAlignment="1">
      <alignment horizontal="center"/>
    </xf>
    <xf numFmtId="173" fontId="5" fillId="0" borderId="0" xfId="3" applyNumberFormat="1" applyFont="1" applyAlignment="1">
      <alignment horizontal="center" vertical="center"/>
    </xf>
    <xf numFmtId="164" fontId="5" fillId="0" borderId="5" xfId="4" applyNumberFormat="1" applyFont="1" applyBorder="1" applyAlignment="1">
      <alignment horizontal="center"/>
    </xf>
    <xf numFmtId="173" fontId="5" fillId="0" borderId="12" xfId="3" applyNumberFormat="1" applyFont="1" applyBorder="1" applyAlignment="1">
      <alignment horizontal="center" vertical="center"/>
    </xf>
    <xf numFmtId="164" fontId="5" fillId="0" borderId="7" xfId="4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 vertical="center"/>
    </xf>
    <xf numFmtId="166" fontId="5" fillId="11" borderId="5" xfId="0" applyNumberFormat="1" applyFont="1" applyFill="1" applyBorder="1" applyAlignment="1">
      <alignment horizontal="center" vertical="center"/>
    </xf>
    <xf numFmtId="171" fontId="7" fillId="0" borderId="15" xfId="0" applyNumberFormat="1" applyFont="1" applyBorder="1" applyAlignment="1">
      <alignment horizontal="center" vertical="center"/>
    </xf>
    <xf numFmtId="171" fontId="5" fillId="0" borderId="5" xfId="0" applyNumberFormat="1" applyFont="1" applyBorder="1" applyAlignment="1">
      <alignment horizontal="center"/>
    </xf>
    <xf numFmtId="171" fontId="11" fillId="8" borderId="16" xfId="0" applyNumberFormat="1" applyFont="1" applyFill="1" applyBorder="1" applyAlignment="1">
      <alignment horizontal="center"/>
    </xf>
    <xf numFmtId="10" fontId="13" fillId="11" borderId="0" xfId="0" applyNumberFormat="1" applyFont="1" applyFill="1" applyAlignment="1">
      <alignment horizontal="center" vertical="center"/>
    </xf>
    <xf numFmtId="167" fontId="13" fillId="11" borderId="0" xfId="0" applyNumberFormat="1" applyFont="1" applyFill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167" fontId="0" fillId="18" borderId="1" xfId="5" applyNumberFormat="1" applyFont="1" applyFill="1" applyBorder="1" applyAlignment="1">
      <alignment horizontal="center" vertical="center"/>
    </xf>
    <xf numFmtId="10" fontId="0" fillId="18" borderId="1" xfId="5" applyNumberFormat="1" applyFont="1" applyFill="1" applyBorder="1" applyAlignment="1">
      <alignment horizontal="center" vertical="center"/>
    </xf>
    <xf numFmtId="0" fontId="10" fillId="11" borderId="0" xfId="3" applyNumberFormat="1" applyFont="1" applyFill="1" applyAlignment="1">
      <alignment horizontal="center" vertical="center"/>
    </xf>
    <xf numFmtId="0" fontId="10" fillId="14" borderId="4" xfId="0" applyFont="1" applyFill="1" applyBorder="1"/>
    <xf numFmtId="0" fontId="10" fillId="14" borderId="0" xfId="3" applyNumberFormat="1" applyFont="1" applyFill="1" applyAlignment="1">
      <alignment vertical="center"/>
    </xf>
    <xf numFmtId="1" fontId="10" fillId="14" borderId="0" xfId="4" applyNumberFormat="1" applyFont="1" applyFill="1" applyAlignment="1">
      <alignment horizontal="center" vertical="center"/>
    </xf>
    <xf numFmtId="173" fontId="10" fillId="14" borderId="0" xfId="3" applyNumberFormat="1" applyFont="1" applyFill="1" applyAlignment="1">
      <alignment horizontal="center" vertical="center"/>
    </xf>
    <xf numFmtId="164" fontId="10" fillId="14" borderId="5" xfId="4" applyNumberFormat="1" applyFont="1" applyFill="1" applyBorder="1" applyAlignment="1">
      <alignment horizontal="center"/>
    </xf>
    <xf numFmtId="171" fontId="11" fillId="8" borderId="11" xfId="0" applyNumberFormat="1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 vertical="center"/>
    </xf>
    <xf numFmtId="166" fontId="8" fillId="12" borderId="11" xfId="0" applyNumberFormat="1" applyFont="1" applyFill="1" applyBorder="1" applyAlignment="1">
      <alignment horizontal="center"/>
    </xf>
    <xf numFmtId="14" fontId="8" fillId="7" borderId="5" xfId="0" applyNumberFormat="1" applyFont="1" applyFill="1" applyBorder="1" applyAlignment="1">
      <alignment horizontal="left" vertical="center"/>
    </xf>
    <xf numFmtId="174" fontId="0" fillId="0" borderId="0" xfId="0" applyNumberFormat="1"/>
    <xf numFmtId="171" fontId="0" fillId="18" borderId="1" xfId="5" applyNumberFormat="1" applyFont="1" applyFill="1" applyBorder="1" applyAlignment="1">
      <alignment horizontal="center" vertical="center"/>
    </xf>
    <xf numFmtId="168" fontId="0" fillId="18" borderId="1" xfId="5" applyNumberFormat="1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19" xfId="0" applyFont="1" applyBorder="1" applyAlignment="1">
      <alignment vertical="center"/>
    </xf>
    <xf numFmtId="166" fontId="7" fillId="0" borderId="20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12" borderId="13" xfId="0" applyFont="1" applyFill="1" applyBorder="1" applyAlignment="1">
      <alignment horizontal="left" vertical="center"/>
    </xf>
    <xf numFmtId="0" fontId="8" fillId="12" borderId="14" xfId="0" applyFont="1" applyFill="1" applyBorder="1" applyAlignment="1">
      <alignment horizontal="left" vertical="center"/>
    </xf>
    <xf numFmtId="0" fontId="8" fillId="12" borderId="15" xfId="0" applyFont="1" applyFill="1" applyBorder="1" applyAlignment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12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top" wrapText="1"/>
    </xf>
    <xf numFmtId="0" fontId="11" fillId="9" borderId="2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3" fillId="11" borderId="0" xfId="0" applyNumberFormat="1" applyFont="1" applyFill="1" applyAlignment="1">
      <alignment horizontal="center" vertical="center"/>
    </xf>
  </cellXfs>
  <cellStyles count="6">
    <cellStyle name="Moeda" xfId="1" builtinId="4"/>
    <cellStyle name="Moeda 2" xfId="3" xr:uid="{E0E3407B-4119-4CE1-B329-047C370A3B37}"/>
    <cellStyle name="Normal" xfId="0" builtinId="0"/>
    <cellStyle name="Porcentagem" xfId="5" builtinId="5"/>
    <cellStyle name="Porcentagem 2" xfId="2" xr:uid="{D9D601C8-BEA3-4A0D-8099-62F753563B82}"/>
    <cellStyle name="Vírgula 2" xfId="4" xr:uid="{D8108249-B196-416A-9FAC-57A2D0A0E4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1.xml"/><Relationship Id="rId15" Type="http://schemas.microsoft.com/office/2017/06/relationships/rdSupportingPropertyBag" Target="richData/rdsupportingpropertybag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SupportingPropertyBagStructure" Target="richData/rdsupportingpropertybag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1000125</xdr:colOff>
      <xdr:row>0</xdr:row>
      <xdr:rowOff>63500</xdr:rowOff>
    </xdr:from>
    <xdr:to>
      <xdr:col>6</xdr:col>
      <xdr:colOff>2381251</xdr:colOff>
      <xdr:row>3</xdr:row>
      <xdr:rowOff>206374</xdr:rowOff>
    </xdr:to>
    <xdr:pic>
      <xdr:nvPicPr>
        <xdr:cNvPr id="2" name="Imagem 1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2725" y="63500"/>
          <a:ext cx="1381126" cy="1038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101600</xdr:colOff>
      <xdr:row>50</xdr:row>
      <xdr:rowOff>19050</xdr:rowOff>
    </xdr:from>
    <xdr:to>
      <xdr:col>7</xdr:col>
      <xdr:colOff>800100</xdr:colOff>
      <xdr:row>52</xdr:row>
      <xdr:rowOff>241300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8800" y="11668125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 macro="" textlink="">
      <xdr:nvSpPr>
        <xdr:cNvPr id="11267" name="AutoShape 3" descr="Magnetron Para Microondas 2m 219j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SpPr>
          <a:spLocks noChangeAspect="1" noChangeArrowheads="1"/>
        </xdr:cNvSpPr>
      </xdr:nvSpPr>
      <xdr:spPr bwMode="auto">
        <a:xfrm>
          <a:off x="1936432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963706</xdr:colOff>
      <xdr:row>0</xdr:row>
      <xdr:rowOff>0</xdr:rowOff>
    </xdr:from>
    <xdr:to>
      <xdr:col>19</xdr:col>
      <xdr:colOff>278856</xdr:colOff>
      <xdr:row>1</xdr:row>
      <xdr:rowOff>144556</xdr:rowOff>
    </xdr:to>
    <xdr:pic>
      <xdr:nvPicPr>
        <xdr:cNvPr id="9" name="Imagem 8" descr="Avaliações da empresa Seawise: Como é trabalhar nela? | Glassdoo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3735" y="0"/>
          <a:ext cx="637443" cy="480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336178</xdr:colOff>
      <xdr:row>7</xdr:row>
      <xdr:rowOff>224117</xdr:rowOff>
    </xdr:from>
    <xdr:to>
      <xdr:col>19</xdr:col>
      <xdr:colOff>1039720</xdr:colOff>
      <xdr:row>11</xdr:row>
      <xdr:rowOff>127560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  <a:ext uri="{147F2762-F138-4A5C-976F-8EAC2B608ADB}">
              <a16:predDERef xmlns:a16="http://schemas.microsoft.com/office/drawing/2014/main" pre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12472" y="2532529"/>
          <a:ext cx="703542" cy="7035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HORTAVIVA/Estimativas/2023/F&#225;brica%203/Estimativa%20de%20Custos%20-%20F&#193;BRICA%203%20-%20HORTAVIVA.xlsx" TargetMode="External"/><Relationship Id="rId1" Type="http://schemas.openxmlformats.org/officeDocument/2006/relationships/externalLinkPath" Target="https://seawiseexterior.sharepoint.com/68a01a03989ce713/IMPORTA&#199;&#194;O/SEAWISE/CLIENTES/HORTAVIVA/Estimativas/2023/F&#225;brica%203/Estimativa%20de%20Custos%20-%20F&#193;BRICA%203%20-%20HORTAVIV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8a01a03989ce713/IMPORTA&#199;&#194;O/SEAWISE/CLIENTES/PEVESUL/Estimativa%20de%20Custos%20-%20F&#225;brica%204.xlsx" TargetMode="External"/><Relationship Id="rId1" Type="http://schemas.openxmlformats.org/officeDocument/2006/relationships/externalLinkPath" Target="https://seawiseexterior.sharepoint.com/68a01a03989ce713/IMPORTA&#199;&#194;O/SEAWISE/CLIENTES/PEVESUL/Estimativa%20de%20Custos%20-%20F&#225;brica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1"/>
      <sheetName val="Estimativa (2)"/>
      <sheetName val="Est. Cust. Naci. 100%"/>
      <sheetName val="Rateio Custos Fixos"/>
      <sheetName val="Lista de Compra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6">
          <cell r="B26">
            <v>4.7972000000000001</v>
          </cell>
        </row>
      </sheetData>
      <sheetData sheetId="4" refreshError="1">
        <row r="4">
          <cell r="B4">
            <v>1</v>
          </cell>
          <cell r="J4">
            <v>15</v>
          </cell>
        </row>
        <row r="6">
          <cell r="B6">
            <v>3</v>
          </cell>
          <cell r="J6">
            <v>15</v>
          </cell>
        </row>
        <row r="7">
          <cell r="B7">
            <v>4</v>
          </cell>
          <cell r="J7">
            <v>15</v>
          </cell>
        </row>
        <row r="8">
          <cell r="B8">
            <v>5</v>
          </cell>
          <cell r="J8">
            <v>15</v>
          </cell>
        </row>
        <row r="9">
          <cell r="B9">
            <v>6</v>
          </cell>
          <cell r="J9">
            <v>15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de Compra"/>
      <sheetName val="Resumo 100%"/>
      <sheetName val="Estimativa 50%"/>
      <sheetName val="Resumo 50%"/>
      <sheetName val="Est. Cust. Naci. 50%"/>
      <sheetName val="Estimativa 100%"/>
      <sheetName val="Est. Cust. Naci."/>
      <sheetName val="Planilha2"/>
      <sheetName val="Rateio Custos Fixos"/>
      <sheetName val="Pedido"/>
      <sheetName val="Formulário"/>
      <sheetName val="Est. Cust. Nacionalização"/>
      <sheetName val="Resumo"/>
      <sheetName val="Planilha1"/>
    </sheetNames>
    <sheetDataSet>
      <sheetData sheetId="0">
        <row r="2">
          <cell r="Q2" t="str">
            <v>% Rateio Preço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F5">
            <v>0.47782963827304553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aroline Barbosa" id="{9814B698-D3DD-40C6-9CF7-C15691FC606F}" userId="640303dfd0d430f8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pt-BR</v>
    <v>avylgh</v>
    <v>268435456</v>
    <v>1</v>
    <v>Da plataforma Refinitiv</v>
    <v>0</v>
    <v>1</v>
    <v>USD/BRL</v>
    <v>3</v>
    <v>4</v>
    <v>Finance</v>
    <v>5</v>
    <v>6.0959000000000003</v>
    <v>5.1147999999999998</v>
    <v>5.1826999999999996</v>
    <v>5.1471</v>
    <v>USD</v>
    <v>5.1593999999999998</v>
    <v>46092.744317129633</v>
    <v>BRL</v>
    <v>US Dollar/Brazilian Real FX Spot Rate</v>
    <v>5.1597</v>
    <v>5.1612</v>
    <v>USDBRL</v>
    <v>Par de Moedas</v>
    <v>USD/BRL</v>
    <v>1.8E-3</v>
    <v>3.4889999999999997E-4</v>
  </rv>
  <rv s="1">
    <v>0</v>
  </rv>
  <rv s="0">
    <v>pt-BR</v>
    <v>av8tf2</v>
    <v>268435456</v>
    <v>1</v>
    <v>Da plataforma Refinitiv</v>
    <v>0</v>
    <v>1</v>
    <v>EUR/BRL</v>
    <v>3</v>
    <v>4</v>
    <v>Finance</v>
    <v>5</v>
    <v>6.7522000000000002</v>
    <v>5.9573</v>
    <v>6.0133999999999999</v>
    <v>5.9573</v>
    <v>EUR</v>
    <v>5.9894999999999996</v>
    <v>46092.744305555556</v>
    <v>BRL</v>
    <v>Euro/Brazilian Real FX Cross Rate</v>
    <v>5.9901</v>
    <v>5.9729999999999999</v>
    <v>EURBRL</v>
    <v>Par de Moedas</v>
    <v>EUR/BRL</v>
    <v>-1.6500000000000001E-2</v>
    <v>-2.7550000000000001E-3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lto"/>
    <k n="Baixo"/>
    <k n="Da moeda" t="s"/>
    <k n="Fechamento anterior"/>
    <k n="Hora da última transação"/>
    <k n="Moeda" t="s"/>
    <k n="Nome" t="s"/>
    <k n="Pendência"/>
    <k n="Preço"/>
    <k n="Símbolo do ticker" t="s"/>
    <k n="Tipo de instrumento" t="s"/>
    <k n="UniqueName" t="s"/>
    <k n="Variação"/>
    <k n="Variação (%)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Preço</v>
      <v t="s">_SubLabel</v>
      <v t="s">Hora da última transação</v>
      <v t="s">Símbolo do ticker</v>
      <v t="s">Variação</v>
      <v t="s">Variação (%)</v>
      <v t="s">Moeda</v>
      <v t="s">Da moeda</v>
      <v t="s">Fechamento anterior</v>
      <v t="s">Pendência</v>
      <v t="s">Alto</v>
      <v t="s">Baixo</v>
      <v t="s">52 semanas de alta</v>
      <v t="s">52 semanas de baixa</v>
      <v t="s">Tipo de instrumento</v>
      <v t="s">_Flags</v>
      <v t="s">UniqueName</v>
      <v t="s">_DisplayString</v>
      <v t="s">%ProviderInfo</v>
    </a>
  </spbArrays>
  <spbData count="6">
    <spb s="0">
      <v>High</v>
      <v>Name</v>
      <v>Low</v>
      <v>Currency</v>
      <v>Price</v>
      <v>From currency</v>
      <v>Change</v>
      <v>Open</v>
      <v>UniqueName</v>
      <v>Change (%)</v>
      <v>%ProviderInfo</v>
      <v>Ticker symbol</v>
      <v>52 week high</v>
      <v>52 week low</v>
      <v>Previous close</v>
      <v>Instrument type</v>
      <v>Last trade time</v>
    </spb>
    <spb s="1">
      <v>0</v>
      <v>Name</v>
    </spb>
    <spb s="2">
      <v>0</v>
      <v>0</v>
      <v>0</v>
    </spb>
    <spb s="3">
      <v>2</v>
      <v>2</v>
    </spb>
    <spb s="4">
      <v>1</v>
      <v>2</v>
      <v>1</v>
      <v>1</v>
      <v>1</v>
      <v>1</v>
      <v>3</v>
      <v>4</v>
      <v>1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Nome" t="s"/>
    <k n="Baixo" t="s"/>
    <k n="Moeda" t="s"/>
    <k n="Preço" t="s"/>
    <k n="Da moeda" t="s"/>
    <k n="Variação" t="s"/>
    <k n="Pendência" t="s"/>
    <k n="UniqueName" t="s"/>
    <k n="Variação (%)" t="s"/>
    <k n="%ProviderInfo" t="s"/>
    <k n="Símbolo do ticker" t="s"/>
    <k n="52 semanas de alta" t="s"/>
    <k n="52 semanas de baixa" t="s"/>
    <k n="Fechamento anterior" t="s"/>
    <k n="Tipo de instrumento" t="s"/>
    <k n="Hora da última transação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Alto" t="i"/>
    <k n="Nome" t="i"/>
    <k n="Baixo" t="i"/>
    <k n="Preço" t="i"/>
    <k n="Variação" t="i"/>
    <k n="Pendência" t="i"/>
    <k n="Variação (%)" t="i"/>
    <k n="`%EntityServiceId" t="i"/>
    <k n="52 semanas de alta" t="i"/>
    <k n="52 semanas de baixa" t="i"/>
    <k n="Fechamento anterior" t="i"/>
    <k n="Hora da última transação" t="i"/>
  </s>
  <s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" formatCode="0.00"/>
    </x:dxf>
    <x:dxf>
      <x:numFmt numFmtId="27" formatCode="dd/mm/yyyy\ hh:mm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>
      <rpv i="1">1</rpv>
    </rSty>
    <rSty dxfid="1"/>
    <rSty dxfid="2">
      <rpv i="0">0.00</rpv>
    </rSty>
    <rSty dxfid="3"/>
  </richStyles>
</richStyleShee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3-01-11T19:16:55.26" personId="{9814B698-D3DD-40C6-9CF7-C15691FC606F}" id="{0C9ECCC5-3310-412D-8782-C1D3124F4B3E}">
    <text>Notar que regime tributário é o Simples Nacional, portanto a função não impacta no cálculo de impostos.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FCC9-79BD-4E29-9B49-19F72F5CBFA8}">
  <sheetPr>
    <tabColor theme="5" tint="-0.249977111117893"/>
    <pageSetUpPr fitToPage="1"/>
  </sheetPr>
  <dimension ref="A1:R57"/>
  <sheetViews>
    <sheetView showGridLines="0" tabSelected="1" topLeftCell="A12" zoomScale="60" zoomScaleNormal="60" workbookViewId="0">
      <selection activeCell="P34" sqref="P34"/>
    </sheetView>
  </sheetViews>
  <sheetFormatPr defaultColWidth="8.85546875" defaultRowHeight="18.75" x14ac:dyDescent="0.25"/>
  <cols>
    <col min="1" max="1" width="11.7109375" style="1" customWidth="1"/>
    <col min="2" max="2" width="55.140625" style="13" customWidth="1"/>
    <col min="3" max="3" width="31.42578125" style="13" customWidth="1"/>
    <col min="4" max="4" width="30.140625" style="13" bestFit="1" customWidth="1"/>
    <col min="5" max="5" width="27" style="13" customWidth="1"/>
    <col min="6" max="6" width="42.28515625" style="13" customWidth="1"/>
    <col min="7" max="7" width="37.7109375" style="13" customWidth="1"/>
    <col min="8" max="8" width="41" style="1" customWidth="1"/>
    <col min="9" max="9" width="17.85546875" style="1" hidden="1" customWidth="1"/>
    <col min="10" max="10" width="43.28515625" style="1" hidden="1" customWidth="1"/>
    <col min="11" max="11" width="14.85546875" style="1" hidden="1" customWidth="1"/>
    <col min="12" max="12" width="8.85546875" style="1" hidden="1" customWidth="1"/>
    <col min="13" max="13" width="17.85546875" style="1" hidden="1" customWidth="1"/>
    <col min="14" max="14" width="18.140625" style="1" hidden="1" customWidth="1"/>
    <col min="15" max="15" width="24.42578125" style="1" hidden="1" customWidth="1"/>
    <col min="16" max="16" width="14" style="1" bestFit="1" customWidth="1"/>
    <col min="17" max="16384" width="8.85546875" style="1"/>
  </cols>
  <sheetData>
    <row r="1" spans="1:18" ht="20.25" customHeight="1" x14ac:dyDescent="0.25"/>
    <row r="3" spans="1:18" ht="31.5" x14ac:dyDescent="0.25">
      <c r="B3" s="14" t="s">
        <v>0</v>
      </c>
      <c r="J3" s="1" t="s">
        <v>101</v>
      </c>
      <c r="R3" s="1" t="s">
        <v>100</v>
      </c>
    </row>
    <row r="4" spans="1:18" ht="19.5" thickBot="1" x14ac:dyDescent="0.3"/>
    <row r="5" spans="1:18" ht="27.75" customHeight="1" x14ac:dyDescent="0.25">
      <c r="B5" s="15"/>
      <c r="C5" s="180"/>
      <c r="D5" s="181"/>
      <c r="E5" s="181"/>
      <c r="F5" s="181"/>
      <c r="G5" s="182"/>
      <c r="J5" s="175">
        <v>100</v>
      </c>
      <c r="K5" s="175">
        <v>5.8</v>
      </c>
    </row>
    <row r="6" spans="1:18" x14ac:dyDescent="0.25">
      <c r="B6" s="16"/>
      <c r="C6" s="183"/>
      <c r="D6" s="184"/>
      <c r="E6" s="184"/>
      <c r="F6" s="184"/>
      <c r="G6" s="185"/>
      <c r="J6" s="175">
        <v>300</v>
      </c>
      <c r="K6" s="175">
        <v>2.1</v>
      </c>
    </row>
    <row r="7" spans="1:18" x14ac:dyDescent="0.25">
      <c r="B7" s="16"/>
      <c r="C7" s="183"/>
      <c r="D7" s="184"/>
      <c r="E7" s="184"/>
      <c r="F7" s="184"/>
      <c r="G7" s="185"/>
      <c r="J7" s="175">
        <v>300</v>
      </c>
      <c r="K7" s="175">
        <v>10</v>
      </c>
    </row>
    <row r="8" spans="1:18" x14ac:dyDescent="0.25">
      <c r="B8" s="16"/>
      <c r="C8" s="17" t="s">
        <v>105</v>
      </c>
      <c r="D8" s="17"/>
      <c r="E8" s="17" t="s">
        <v>1</v>
      </c>
      <c r="F8" s="17"/>
      <c r="G8" s="18" t="s">
        <v>104</v>
      </c>
      <c r="J8" s="175">
        <v>300</v>
      </c>
      <c r="K8" s="175">
        <v>10</v>
      </c>
      <c r="Q8"/>
    </row>
    <row r="9" spans="1:18" x14ac:dyDescent="0.25">
      <c r="B9" s="16"/>
      <c r="C9" s="189" t="s">
        <v>108</v>
      </c>
      <c r="D9" s="190"/>
      <c r="E9" s="17" t="s">
        <v>107</v>
      </c>
      <c r="F9" s="17"/>
      <c r="G9" s="164">
        <f ca="1">TODAY()</f>
        <v>46111</v>
      </c>
      <c r="J9" s="175">
        <v>300</v>
      </c>
      <c r="K9" s="175">
        <v>10</v>
      </c>
    </row>
    <row r="10" spans="1:18" ht="15" customHeight="1" x14ac:dyDescent="0.25">
      <c r="B10" s="16"/>
      <c r="C10" s="17" t="s">
        <v>106</v>
      </c>
      <c r="D10" s="63"/>
      <c r="E10" s="17" t="s">
        <v>2</v>
      </c>
      <c r="F10" s="17"/>
      <c r="G10" s="18" t="s">
        <v>3</v>
      </c>
      <c r="J10" s="175">
        <v>100</v>
      </c>
      <c r="K10" s="175">
        <v>11.5</v>
      </c>
    </row>
    <row r="11" spans="1:18" ht="15" customHeight="1" thickBot="1" x14ac:dyDescent="0.3">
      <c r="B11" s="64"/>
      <c r="C11" s="19"/>
      <c r="D11" s="20"/>
      <c r="E11" s="19"/>
      <c r="F11" s="19"/>
      <c r="G11" s="66"/>
      <c r="J11" s="175">
        <v>100</v>
      </c>
      <c r="K11" s="175">
        <v>11.5</v>
      </c>
    </row>
    <row r="12" spans="1:18" ht="36.75" customHeight="1" thickBot="1" x14ac:dyDescent="0.3">
      <c r="A12" s="13"/>
      <c r="B12" s="21" t="s">
        <v>4</v>
      </c>
      <c r="C12" s="22" t="s">
        <v>5</v>
      </c>
      <c r="D12" s="23">
        <f>'Rateio Custos Fixos'!B3</f>
        <v>5.23</v>
      </c>
      <c r="E12" s="22" t="s">
        <v>6</v>
      </c>
      <c r="F12" s="24">
        <f>'LISTA DE COMPRAS'!D5</f>
        <v>55032090</v>
      </c>
      <c r="G12" s="25"/>
      <c r="I12"/>
      <c r="J12" s="175"/>
      <c r="K12" s="175">
        <v>0</v>
      </c>
    </row>
    <row r="13" spans="1:18" ht="18.600000000000001" customHeight="1" thickBot="1" x14ac:dyDescent="0.3">
      <c r="B13" s="191" t="s">
        <v>7</v>
      </c>
      <c r="C13" s="192"/>
      <c r="D13" s="192"/>
      <c r="E13" s="192"/>
      <c r="F13" s="192"/>
      <c r="G13" s="193"/>
      <c r="I13" s="26" t="s">
        <v>8</v>
      </c>
      <c r="J13" s="175">
        <v>100</v>
      </c>
      <c r="K13" s="175">
        <v>10.8</v>
      </c>
      <c r="L13" s="26" t="s">
        <v>9</v>
      </c>
      <c r="M13" s="26"/>
      <c r="N13" s="26"/>
      <c r="O13" s="26" t="s">
        <v>10</v>
      </c>
    </row>
    <row r="14" spans="1:18" x14ac:dyDescent="0.25">
      <c r="B14" s="27" t="s">
        <v>11</v>
      </c>
      <c r="C14" s="28"/>
      <c r="D14" s="28" t="s">
        <v>12</v>
      </c>
      <c r="E14" s="28" t="s">
        <v>13</v>
      </c>
      <c r="F14" s="28" t="s">
        <v>14</v>
      </c>
      <c r="G14" s="29" t="s">
        <v>15</v>
      </c>
      <c r="I14" s="30">
        <f>'[1]Lista de Compra'!B4</f>
        <v>1</v>
      </c>
      <c r="J14" s="175">
        <v>100</v>
      </c>
      <c r="K14" s="175">
        <v>10.8</v>
      </c>
      <c r="L14" s="30">
        <f>'[1]Lista de Compra'!J4</f>
        <v>15</v>
      </c>
      <c r="M14" s="31">
        <f>K14*L14*'[1]Rateio Custos Fixos'!$B$26</f>
        <v>777.14639999999997</v>
      </c>
      <c r="N14" s="32">
        <f t="shared" ref="N14:N20" si="0">M14+(M14*$K$11)</f>
        <v>9714.33</v>
      </c>
      <c r="O14" s="32">
        <f>N14/L14</f>
        <v>647.62199999999996</v>
      </c>
    </row>
    <row r="15" spans="1:18" x14ac:dyDescent="0.3">
      <c r="B15" s="67" t="str">
        <f>'LISTA DE COMPRAS'!C5</f>
        <v>FIBRA  0.9DX38MM  na versão virgem</v>
      </c>
      <c r="C15" s="155"/>
      <c r="D15" s="68">
        <f>'LISTA DE COMPRAS'!J4</f>
        <v>3920</v>
      </c>
      <c r="E15" s="135">
        <f>'LISTA DE COMPRAS'!K5</f>
        <v>1.21</v>
      </c>
      <c r="F15" s="136">
        <f>'LISTA DE COMPRAS'!M4</f>
        <v>4743.2</v>
      </c>
      <c r="G15" s="137">
        <f>F15*$D$12</f>
        <v>24806.936000000002</v>
      </c>
      <c r="I15" s="30"/>
      <c r="J15" s="175">
        <v>100</v>
      </c>
      <c r="K15" s="175">
        <v>7.6</v>
      </c>
      <c r="L15" s="30"/>
      <c r="M15" s="31"/>
      <c r="N15" s="32"/>
      <c r="O15" s="32"/>
    </row>
    <row r="16" spans="1:18" x14ac:dyDescent="0.3">
      <c r="B16" s="156" t="s">
        <v>16</v>
      </c>
      <c r="C16" s="157"/>
      <c r="D16" s="158"/>
      <c r="E16" s="159"/>
      <c r="F16" s="159">
        <f>SUM(F15:F15)</f>
        <v>4743.2</v>
      </c>
      <c r="G16" s="160">
        <f>SUM(G15:G15)</f>
        <v>24806.936000000002</v>
      </c>
      <c r="I16" s="30"/>
      <c r="J16" s="175">
        <v>100</v>
      </c>
      <c r="K16" s="175">
        <v>14.4</v>
      </c>
      <c r="L16" s="30"/>
      <c r="M16" s="31"/>
      <c r="N16" s="32"/>
      <c r="O16" s="32"/>
    </row>
    <row r="17" spans="1:16" x14ac:dyDescent="0.3">
      <c r="B17" s="33" t="s">
        <v>17</v>
      </c>
      <c r="C17" s="34"/>
      <c r="D17" s="35"/>
      <c r="E17" s="138"/>
      <c r="F17" s="2"/>
      <c r="G17" s="139">
        <f>G16+G19</f>
        <v>43442.936000000002</v>
      </c>
      <c r="I17" s="30">
        <f>'[1]Lista de Compra'!B6</f>
        <v>3</v>
      </c>
      <c r="J17" s="175">
        <v>100</v>
      </c>
      <c r="K17" s="175">
        <v>7.6</v>
      </c>
      <c r="L17" s="30">
        <f>'[1]Lista de Compra'!J6</f>
        <v>15</v>
      </c>
      <c r="M17" s="31">
        <f>K17*L17*'[1]Rateio Custos Fixos'!$B$26</f>
        <v>546.88080000000002</v>
      </c>
      <c r="N17" s="32">
        <f t="shared" si="0"/>
        <v>6836.01</v>
      </c>
      <c r="O17" s="32">
        <f>N17/L17</f>
        <v>455.73400000000004</v>
      </c>
    </row>
    <row r="18" spans="1:16" x14ac:dyDescent="0.3">
      <c r="B18" s="36" t="s">
        <v>18</v>
      </c>
      <c r="C18" s="37"/>
      <c r="D18" s="38"/>
      <c r="E18" s="140"/>
      <c r="F18" s="140"/>
      <c r="G18" s="141"/>
      <c r="I18" s="30">
        <f>'[1]Lista de Compra'!B7</f>
        <v>4</v>
      </c>
      <c r="J18" s="175">
        <v>100</v>
      </c>
      <c r="K18" s="175">
        <v>14.4</v>
      </c>
      <c r="L18" s="30">
        <f>'[1]Lista de Compra'!J7</f>
        <v>15</v>
      </c>
      <c r="M18" s="31">
        <f>K18*L18*'[1]Rateio Custos Fixos'!$B$26</f>
        <v>1036.1952000000001</v>
      </c>
      <c r="N18" s="32">
        <f t="shared" si="0"/>
        <v>12952.44</v>
      </c>
      <c r="O18" s="32">
        <f>N18/L18</f>
        <v>863.49599999999998</v>
      </c>
    </row>
    <row r="19" spans="1:16" ht="19.5" thickBot="1" x14ac:dyDescent="0.35">
      <c r="B19" s="39" t="s">
        <v>19</v>
      </c>
      <c r="C19" s="40"/>
      <c r="D19" s="41"/>
      <c r="E19" s="142"/>
      <c r="F19" s="140">
        <f>'Rateio Custos Fixos'!G5</f>
        <v>3563.2887189292542</v>
      </c>
      <c r="G19" s="143">
        <f>F19*D12</f>
        <v>18636</v>
      </c>
      <c r="I19" s="30">
        <f>'[1]Lista de Compra'!B8</f>
        <v>5</v>
      </c>
      <c r="J19" s="175">
        <v>100</v>
      </c>
      <c r="K19" s="175">
        <v>17.8</v>
      </c>
      <c r="L19" s="30">
        <f>'[1]Lista de Compra'!J8</f>
        <v>15</v>
      </c>
      <c r="M19" s="31">
        <f>K19*L19*'[1]Rateio Custos Fixos'!$B$26</f>
        <v>1280.8524</v>
      </c>
      <c r="N19" s="32">
        <f t="shared" si="0"/>
        <v>16010.654999999999</v>
      </c>
      <c r="O19" s="32">
        <f>N19/L19</f>
        <v>1067.377</v>
      </c>
    </row>
    <row r="20" spans="1:16" ht="15.75" customHeight="1" thickBot="1" x14ac:dyDescent="0.3">
      <c r="B20" s="42" t="s">
        <v>20</v>
      </c>
      <c r="C20" s="43"/>
      <c r="D20" s="43"/>
      <c r="E20" s="43"/>
      <c r="F20" s="43"/>
      <c r="G20" s="144">
        <f>G17</f>
        <v>43442.936000000002</v>
      </c>
      <c r="I20" s="30">
        <f>'[1]Lista de Compra'!B9</f>
        <v>6</v>
      </c>
      <c r="J20" s="175">
        <v>100</v>
      </c>
      <c r="K20" s="175">
        <v>17.8</v>
      </c>
      <c r="L20" s="30">
        <f>'[1]Lista de Compra'!J9</f>
        <v>15</v>
      </c>
      <c r="M20" s="31">
        <f>K20*L20*'[1]Rateio Custos Fixos'!$B$26</f>
        <v>1280.8524</v>
      </c>
      <c r="N20" s="32">
        <f t="shared" si="0"/>
        <v>16010.654999999999</v>
      </c>
      <c r="O20" s="32">
        <f>N20/L20</f>
        <v>1067.377</v>
      </c>
    </row>
    <row r="21" spans="1:16" ht="18.600000000000001" customHeight="1" x14ac:dyDescent="0.25">
      <c r="B21" s="191" t="s">
        <v>21</v>
      </c>
      <c r="C21" s="192"/>
      <c r="D21" s="192"/>
      <c r="E21" s="192"/>
      <c r="F21" s="192"/>
      <c r="G21" s="193"/>
      <c r="J21" s="175">
        <v>100</v>
      </c>
      <c r="K21" s="175">
        <v>4.4000000000000004</v>
      </c>
    </row>
    <row r="22" spans="1:16" s="2" customFormat="1" ht="15" customHeight="1" x14ac:dyDescent="0.25">
      <c r="B22" s="44" t="s">
        <v>21</v>
      </c>
      <c r="C22" s="45" t="s">
        <v>22</v>
      </c>
      <c r="D22" s="45"/>
      <c r="E22" s="45"/>
      <c r="F22" s="45"/>
      <c r="G22" s="46" t="s">
        <v>23</v>
      </c>
      <c r="J22" s="175">
        <v>100</v>
      </c>
      <c r="K22" s="175">
        <v>6.4</v>
      </c>
      <c r="P22" s="1"/>
    </row>
    <row r="23" spans="1:16" s="2" customFormat="1" x14ac:dyDescent="0.25">
      <c r="B23" s="47" t="s">
        <v>24</v>
      </c>
      <c r="C23" s="149">
        <f>'LISTA DE COMPRAS'!E5</f>
        <v>0.126</v>
      </c>
      <c r="D23" s="45"/>
      <c r="E23" s="45"/>
      <c r="F23" s="45"/>
      <c r="G23" s="145">
        <f>'Est. Cust. Naci.'!R$4</f>
        <v>5473.8099360000006</v>
      </c>
      <c r="J23" s="175">
        <v>100</v>
      </c>
      <c r="K23" s="175">
        <v>4.5999999999999996</v>
      </c>
    </row>
    <row r="24" spans="1:16" s="2" customFormat="1" x14ac:dyDescent="0.25">
      <c r="B24" s="47" t="s">
        <v>25</v>
      </c>
      <c r="C24" s="150">
        <f>'LISTA DE COMPRAS'!F5</f>
        <v>3.6499999999999998E-2</v>
      </c>
      <c r="D24" s="45"/>
      <c r="E24" s="45"/>
      <c r="F24" s="45"/>
      <c r="G24" s="145">
        <f>'Est. Cust. Naci.'!S$4</f>
        <v>1785.4612266639999</v>
      </c>
      <c r="J24" s="175">
        <v>100</v>
      </c>
      <c r="K24" s="175">
        <v>5.0999999999999996</v>
      </c>
    </row>
    <row r="25" spans="1:16" s="2" customFormat="1" x14ac:dyDescent="0.25">
      <c r="B25" s="47" t="str">
        <f>'Est. Cust. Naci.'!U3</f>
        <v>DUMPING</v>
      </c>
      <c r="C25" s="194" t="s">
        <v>115</v>
      </c>
      <c r="D25" s="45"/>
      <c r="E25" s="45"/>
      <c r="F25" s="45"/>
      <c r="G25" s="145">
        <f>'Est. Cust. Naci.'!U4</f>
        <v>47094.5</v>
      </c>
      <c r="J25" s="175"/>
      <c r="K25" s="175"/>
    </row>
    <row r="26" spans="1:16" s="2" customFormat="1" x14ac:dyDescent="0.25">
      <c r="B26" s="47" t="s">
        <v>26</v>
      </c>
      <c r="C26" s="149">
        <f>'LISTA DE COMPRAS'!G5</f>
        <v>2.1000000000000001E-2</v>
      </c>
      <c r="D26" s="45"/>
      <c r="E26" s="45"/>
      <c r="F26" s="45"/>
      <c r="G26" s="145">
        <f>'Est. Cust. Naci.'!T$4</f>
        <v>1027.251664656</v>
      </c>
      <c r="J26" s="175"/>
      <c r="K26" s="175">
        <v>0</v>
      </c>
    </row>
    <row r="27" spans="1:16" s="2" customFormat="1" x14ac:dyDescent="0.25">
      <c r="B27" s="47" t="s">
        <v>27</v>
      </c>
      <c r="C27" s="149">
        <f>'LISTA DE COMPRAS'!H5</f>
        <v>9.6500000000000002E-2</v>
      </c>
      <c r="D27" s="45"/>
      <c r="E27" s="45"/>
      <c r="F27" s="45"/>
      <c r="G27" s="145">
        <f>'Est. Cust. Naci.'!V$4</f>
        <v>4720.4659828240001</v>
      </c>
      <c r="J27" s="175">
        <v>100</v>
      </c>
      <c r="K27" s="175">
        <v>9.3000000000000007</v>
      </c>
    </row>
    <row r="28" spans="1:16" s="2" customFormat="1" ht="19.5" thickBot="1" x14ac:dyDescent="0.3">
      <c r="B28" s="47" t="s">
        <v>28</v>
      </c>
      <c r="C28" s="149">
        <f>'LISTA DE COMPRAS'!I5</f>
        <v>0.06</v>
      </c>
      <c r="D28" s="45"/>
      <c r="E28" s="45"/>
      <c r="F28" s="45"/>
      <c r="G28" s="145">
        <f>'Est. Cust. Naci.'!W$4</f>
        <v>2606.5761600000001</v>
      </c>
      <c r="J28" s="175">
        <v>100</v>
      </c>
      <c r="K28" s="175">
        <v>9.3000000000000007</v>
      </c>
    </row>
    <row r="29" spans="1:16" s="2" customFormat="1" ht="19.5" thickBot="1" x14ac:dyDescent="0.3">
      <c r="B29" s="42" t="s">
        <v>29</v>
      </c>
      <c r="C29" s="43"/>
      <c r="D29" s="43"/>
      <c r="E29" s="43"/>
      <c r="F29" s="43"/>
      <c r="G29" s="144">
        <f>SUM(G23:G28)</f>
        <v>62708.064970143998</v>
      </c>
      <c r="J29" s="175">
        <v>100</v>
      </c>
      <c r="K29" s="175">
        <v>11</v>
      </c>
    </row>
    <row r="30" spans="1:16" ht="18.600000000000001" customHeight="1" x14ac:dyDescent="0.25">
      <c r="A30" s="48"/>
      <c r="B30" s="191" t="s">
        <v>30</v>
      </c>
      <c r="C30" s="192"/>
      <c r="D30" s="192"/>
      <c r="E30" s="192"/>
      <c r="F30" s="192"/>
      <c r="G30" s="193"/>
      <c r="J30" s="175">
        <v>100</v>
      </c>
      <c r="K30" s="175">
        <v>11</v>
      </c>
    </row>
    <row r="31" spans="1:16" ht="18.600000000000001" customHeight="1" x14ac:dyDescent="0.3">
      <c r="A31" s="48"/>
      <c r="B31" s="49" t="s">
        <v>31</v>
      </c>
      <c r="C31" s="50"/>
      <c r="D31" s="50"/>
      <c r="E31" s="50"/>
      <c r="F31" s="50"/>
      <c r="G31" s="147">
        <f>'Rateio Custos Fixos'!F$11</f>
        <v>214.5</v>
      </c>
      <c r="J31" s="175">
        <v>100</v>
      </c>
      <c r="K31" s="175">
        <v>9.8000000000000007</v>
      </c>
    </row>
    <row r="32" spans="1:16" ht="18.600000000000001" customHeight="1" x14ac:dyDescent="0.3">
      <c r="A32" s="48"/>
      <c r="B32" s="49" t="s">
        <v>32</v>
      </c>
      <c r="C32" s="50"/>
      <c r="D32" s="50"/>
      <c r="E32" s="50"/>
      <c r="F32" s="50"/>
      <c r="G32" s="147">
        <f>'Rateio Custos Fixos'!G$11</f>
        <v>490</v>
      </c>
      <c r="J32" s="175">
        <v>100</v>
      </c>
      <c r="K32" s="175">
        <v>10.199999999999999</v>
      </c>
    </row>
    <row r="33" spans="1:11" ht="18.600000000000001" customHeight="1" x14ac:dyDescent="0.3">
      <c r="A33" s="48"/>
      <c r="B33" s="49" t="s">
        <v>33</v>
      </c>
      <c r="C33" s="50"/>
      <c r="D33" s="50"/>
      <c r="E33" s="50"/>
      <c r="F33" s="50"/>
      <c r="G33" s="147">
        <f>'Rateio Custos Fixos'!H$11</f>
        <v>1547</v>
      </c>
      <c r="H33" s="51"/>
      <c r="J33" s="175">
        <v>100</v>
      </c>
      <c r="K33" s="175">
        <v>10.199999999999999</v>
      </c>
    </row>
    <row r="34" spans="1:11" ht="18.600000000000001" customHeight="1" x14ac:dyDescent="0.3">
      <c r="A34" s="48"/>
      <c r="B34" s="49" t="s">
        <v>34</v>
      </c>
      <c r="C34" s="50"/>
      <c r="D34" s="50"/>
      <c r="E34" s="50"/>
      <c r="F34" s="50"/>
      <c r="G34" s="147">
        <f>'Rateio Custos Fixos'!I$11</f>
        <v>48</v>
      </c>
      <c r="J34" s="175">
        <v>100</v>
      </c>
      <c r="K34" s="175">
        <v>11</v>
      </c>
    </row>
    <row r="35" spans="1:11" ht="18.600000000000001" customHeight="1" x14ac:dyDescent="0.3">
      <c r="A35" s="48"/>
      <c r="B35" s="49" t="s">
        <v>35</v>
      </c>
      <c r="C35" s="50"/>
      <c r="D35" s="50"/>
      <c r="E35" s="50"/>
      <c r="F35" s="50"/>
      <c r="G35" s="147">
        <f>'Rateio Custos Fixos'!J$11</f>
        <v>122</v>
      </c>
      <c r="J35" s="175">
        <v>100</v>
      </c>
      <c r="K35" s="175">
        <v>13.6</v>
      </c>
    </row>
    <row r="36" spans="1:11" ht="18.600000000000001" customHeight="1" x14ac:dyDescent="0.3">
      <c r="A36" s="48"/>
      <c r="B36" s="49" t="s">
        <v>36</v>
      </c>
      <c r="C36" s="50"/>
      <c r="D36" s="50"/>
      <c r="E36" s="50"/>
      <c r="F36" s="50"/>
      <c r="G36" s="147">
        <f>'Rateio Custos Fixos'!K$11</f>
        <v>1072.94</v>
      </c>
      <c r="H36"/>
      <c r="J36" s="175"/>
      <c r="K36" s="175">
        <v>0</v>
      </c>
    </row>
    <row r="37" spans="1:11" ht="18.600000000000001" customHeight="1" x14ac:dyDescent="0.3">
      <c r="A37" s="48"/>
      <c r="B37" s="49" t="s">
        <v>37</v>
      </c>
      <c r="C37" s="50"/>
      <c r="D37" s="50"/>
      <c r="E37" s="50"/>
      <c r="F37" s="50"/>
      <c r="G37" s="147">
        <f>'Rateio Custos Fixos'!L$11</f>
        <v>774.9</v>
      </c>
      <c r="J37" s="175"/>
      <c r="K37" s="175">
        <v>0</v>
      </c>
    </row>
    <row r="38" spans="1:11" x14ac:dyDescent="0.3">
      <c r="A38" s="48"/>
      <c r="B38" s="49" t="s">
        <v>38</v>
      </c>
      <c r="C38" s="50"/>
      <c r="D38" s="50"/>
      <c r="E38" s="50"/>
      <c r="F38" s="50"/>
      <c r="G38" s="147">
        <f>'Rateio Custos Fixos'!M$11</f>
        <v>29.8</v>
      </c>
      <c r="J38" s="175">
        <v>100</v>
      </c>
      <c r="K38" s="175">
        <v>5.4</v>
      </c>
    </row>
    <row r="39" spans="1:11" ht="18.600000000000001" customHeight="1" x14ac:dyDescent="0.3">
      <c r="A39" s="48"/>
      <c r="B39" s="49" t="s">
        <v>39</v>
      </c>
      <c r="C39" s="52">
        <v>0.08</v>
      </c>
      <c r="D39" s="50"/>
      <c r="E39" s="50"/>
      <c r="F39" s="50"/>
      <c r="G39" s="147">
        <f>'Rateio Custos Fixos'!N17</f>
        <v>1490.88</v>
      </c>
      <c r="J39" s="175">
        <v>100</v>
      </c>
      <c r="K39" s="175">
        <v>4.7</v>
      </c>
    </row>
    <row r="40" spans="1:11" ht="18.600000000000001" customHeight="1" x14ac:dyDescent="0.3">
      <c r="A40" s="48"/>
      <c r="B40" s="49" t="s">
        <v>40</v>
      </c>
      <c r="C40" s="50"/>
      <c r="D40" s="50"/>
      <c r="E40" s="50"/>
      <c r="F40" s="50"/>
      <c r="G40" s="147">
        <v>0</v>
      </c>
      <c r="H40" s="169" t="s">
        <v>41</v>
      </c>
      <c r="J40" s="175">
        <v>100</v>
      </c>
      <c r="K40" s="175">
        <v>9.3000000000000007</v>
      </c>
    </row>
    <row r="41" spans="1:11" ht="18.600000000000001" customHeight="1" x14ac:dyDescent="0.3">
      <c r="A41" s="48"/>
      <c r="B41" s="49" t="s">
        <v>42</v>
      </c>
      <c r="D41" s="50"/>
      <c r="E41" s="50"/>
      <c r="F41" s="50"/>
      <c r="G41" s="147">
        <f>'Rateio Custos Fixos'!P11</f>
        <v>756.95</v>
      </c>
      <c r="J41" s="175"/>
      <c r="K41" s="175">
        <v>0</v>
      </c>
    </row>
    <row r="42" spans="1:11" ht="18.600000000000001" customHeight="1" x14ac:dyDescent="0.3">
      <c r="A42" s="48"/>
      <c r="B42" s="49" t="s">
        <v>43</v>
      </c>
      <c r="C42" s="50"/>
      <c r="D42" s="50"/>
      <c r="E42" s="50"/>
      <c r="F42" s="50"/>
      <c r="G42" s="147">
        <f>'Rateio Custos Fixos'!Q11</f>
        <v>320.33</v>
      </c>
      <c r="J42" s="175">
        <v>100</v>
      </c>
      <c r="K42" s="175">
        <v>4.4000000000000004</v>
      </c>
    </row>
    <row r="43" spans="1:11" ht="18.600000000000001" customHeight="1" x14ac:dyDescent="0.3">
      <c r="A43" s="48"/>
      <c r="B43" s="49" t="s">
        <v>44</v>
      </c>
      <c r="C43" s="50"/>
      <c r="D43" s="50"/>
      <c r="E43" s="50"/>
      <c r="F43" s="50"/>
      <c r="G43" s="147">
        <f>'Rateio Custos Fixos'!R11</f>
        <v>117.45</v>
      </c>
      <c r="J43" s="175">
        <v>100</v>
      </c>
      <c r="K43" s="175">
        <v>13.5</v>
      </c>
    </row>
    <row r="44" spans="1:11" ht="18.600000000000001" customHeight="1" x14ac:dyDescent="0.3">
      <c r="A44" s="48"/>
      <c r="B44" s="49" t="s">
        <v>45</v>
      </c>
      <c r="C44" s="50"/>
      <c r="D44" s="50"/>
      <c r="E44" s="50"/>
      <c r="F44" s="50"/>
      <c r="G44" s="147">
        <f>'Rateio Custos Fixos'!S11</f>
        <v>286</v>
      </c>
      <c r="J44" s="175">
        <v>100</v>
      </c>
      <c r="K44" s="175">
        <v>15.2</v>
      </c>
    </row>
    <row r="45" spans="1:11" ht="18.600000000000001" customHeight="1" x14ac:dyDescent="0.3">
      <c r="A45" s="48"/>
      <c r="B45" s="49" t="s">
        <v>46</v>
      </c>
      <c r="C45" s="50"/>
      <c r="D45" s="50"/>
      <c r="E45" s="50"/>
      <c r="F45" s="50"/>
      <c r="G45" s="147">
        <f>'Rateio Custos Fixos'!T11</f>
        <v>6000</v>
      </c>
      <c r="J45" s="175">
        <v>100</v>
      </c>
      <c r="K45" s="175">
        <v>11.5</v>
      </c>
    </row>
    <row r="46" spans="1:11" ht="18.600000000000001" customHeight="1" thickBot="1" x14ac:dyDescent="0.35">
      <c r="A46" s="48"/>
      <c r="B46" s="49" t="s">
        <v>47</v>
      </c>
      <c r="C46" s="50"/>
      <c r="D46" s="50"/>
      <c r="E46" s="50"/>
      <c r="F46" s="50"/>
      <c r="G46" s="147">
        <f>'Rateio Custos Fixos'!U11</f>
        <v>2400</v>
      </c>
      <c r="J46" s="175">
        <v>100</v>
      </c>
      <c r="K46" s="175">
        <v>6.9</v>
      </c>
    </row>
    <row r="47" spans="1:11" ht="18.600000000000001" customHeight="1" thickBot="1" x14ac:dyDescent="0.3">
      <c r="A47" s="48"/>
      <c r="B47" s="42" t="s">
        <v>48</v>
      </c>
      <c r="C47" s="53"/>
      <c r="D47" s="53"/>
      <c r="E47" s="53"/>
      <c r="F47" s="53"/>
      <c r="G47" s="146">
        <f>SUM(G31:G46)</f>
        <v>15670.75</v>
      </c>
      <c r="J47" s="175">
        <v>100</v>
      </c>
      <c r="K47" s="175">
        <v>11.5</v>
      </c>
    </row>
    <row r="48" spans="1:11" ht="19.5" thickBot="1" x14ac:dyDescent="0.35">
      <c r="B48" s="186" t="s">
        <v>49</v>
      </c>
      <c r="C48" s="187"/>
      <c r="D48" s="187"/>
      <c r="E48" s="187"/>
      <c r="F48" s="188"/>
      <c r="G48" s="148">
        <f>G20+G29+G47</f>
        <v>121821.750970144</v>
      </c>
      <c r="J48" s="175">
        <v>100</v>
      </c>
      <c r="K48" s="175">
        <v>19.5</v>
      </c>
    </row>
    <row r="49" spans="1:16" ht="19.5" thickBot="1" x14ac:dyDescent="0.35">
      <c r="B49" s="151"/>
      <c r="C49" s="152"/>
      <c r="D49" s="152"/>
      <c r="E49" s="152"/>
      <c r="F49" s="162"/>
      <c r="G49" s="161" t="s">
        <v>50</v>
      </c>
      <c r="J49" s="175">
        <v>100</v>
      </c>
      <c r="K49" s="175">
        <v>7.6</v>
      </c>
    </row>
    <row r="50" spans="1:16" ht="19.5" customHeight="1" thickBot="1" x14ac:dyDescent="0.35">
      <c r="B50" s="177" t="str">
        <f>'LISTA DE COMPRAS'!C5</f>
        <v>FIBRA  0.9DX38MM  na versão virgem</v>
      </c>
      <c r="C50" s="178"/>
      <c r="D50" s="178"/>
      <c r="E50" s="178"/>
      <c r="F50" s="179"/>
      <c r="G50" s="163">
        <f>'LISTA DE COMPRAS'!R5</f>
        <v>31.076977288302039</v>
      </c>
      <c r="J50" s="175">
        <v>100</v>
      </c>
      <c r="K50" s="175">
        <v>11.5</v>
      </c>
    </row>
    <row r="51" spans="1:16" x14ac:dyDescent="0.25">
      <c r="B51" s="54" t="s">
        <v>51</v>
      </c>
      <c r="C51" s="55">
        <f>'Est. Cust. Naci.'!L5</f>
        <v>24806.936000000002</v>
      </c>
      <c r="D51" s="56"/>
      <c r="E51" s="56"/>
      <c r="F51" s="56"/>
      <c r="G51" s="57"/>
      <c r="J51" s="175">
        <v>100</v>
      </c>
      <c r="K51" s="175">
        <v>4.4000000000000004</v>
      </c>
    </row>
    <row r="52" spans="1:16" x14ac:dyDescent="0.25">
      <c r="B52" s="58" t="s">
        <v>52</v>
      </c>
      <c r="C52" s="59">
        <f>C53-C51</f>
        <v>97014.814970143998</v>
      </c>
      <c r="G52" s="60"/>
      <c r="J52" s="175"/>
      <c r="K52" s="175">
        <v>0</v>
      </c>
    </row>
    <row r="53" spans="1:16" ht="19.5" thickBot="1" x14ac:dyDescent="0.3">
      <c r="B53" s="170" t="s">
        <v>50</v>
      </c>
      <c r="C53" s="171">
        <f>'Est. Cust. Naci.'!AQ5</f>
        <v>121821.750970144</v>
      </c>
      <c r="D53" s="172"/>
      <c r="E53" s="172"/>
      <c r="F53" s="172"/>
      <c r="G53" s="173"/>
      <c r="J53" s="175">
        <v>100</v>
      </c>
      <c r="K53" s="175">
        <v>6.2</v>
      </c>
    </row>
    <row r="54" spans="1:16" x14ac:dyDescent="0.25">
      <c r="J54" s="175">
        <v>100</v>
      </c>
      <c r="K54" s="175">
        <v>17.8</v>
      </c>
    </row>
    <row r="55" spans="1:16" x14ac:dyDescent="0.25">
      <c r="B55" s="79" t="s">
        <v>53</v>
      </c>
      <c r="J55" s="175">
        <v>100</v>
      </c>
      <c r="K55" s="175">
        <v>10.199999999999999</v>
      </c>
    </row>
    <row r="56" spans="1:16" s="13" customFormat="1" x14ac:dyDescent="0.25">
      <c r="A56" s="1"/>
      <c r="F56"/>
      <c r="H56" s="1"/>
      <c r="I56" s="1"/>
      <c r="J56" s="175">
        <v>100</v>
      </c>
      <c r="K56" s="175">
        <v>17.8</v>
      </c>
      <c r="L56" s="1"/>
      <c r="M56" s="1"/>
      <c r="N56" s="1"/>
      <c r="O56" s="1"/>
      <c r="P56" s="1"/>
    </row>
    <row r="57" spans="1:16" s="13" customFormat="1" hidden="1" x14ac:dyDescent="0.25">
      <c r="A57" s="1"/>
      <c r="B57" s="61">
        <f>F16+(F16*3.5%)</f>
        <v>4909.2119999999995</v>
      </c>
      <c r="D57" s="62">
        <f>(B57-F16)*D12</f>
        <v>868.24275999999861</v>
      </c>
      <c r="H57" s="1"/>
      <c r="I57" s="1"/>
      <c r="J57" s="1"/>
      <c r="K57" s="1"/>
      <c r="L57" s="1"/>
      <c r="M57" s="1"/>
      <c r="N57" s="1"/>
      <c r="O57" s="1"/>
      <c r="P57" s="1"/>
    </row>
  </sheetData>
  <mergeCells count="7">
    <mergeCell ref="B50:F50"/>
    <mergeCell ref="C5:G7"/>
    <mergeCell ref="B48:F48"/>
    <mergeCell ref="C9:D9"/>
    <mergeCell ref="B13:G13"/>
    <mergeCell ref="B21:G21"/>
    <mergeCell ref="B30:G30"/>
  </mergeCells>
  <phoneticPr fontId="14" type="noConversion"/>
  <pageMargins left="0.70866141732283472" right="0.23622047244094491" top="0.74803149606299213" bottom="0.74803149606299213" header="0.31496062992125984" footer="0.31496062992125984"/>
  <pageSetup paperSize="9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3868-631E-4CA2-9AA0-E67134B0A4CB}">
  <sheetPr>
    <pageSetUpPr fitToPage="1"/>
  </sheetPr>
  <dimension ref="A1:AA11"/>
  <sheetViews>
    <sheetView zoomScale="85" zoomScaleNormal="85" workbookViewId="0">
      <selection activeCell="F12" sqref="F12"/>
    </sheetView>
  </sheetViews>
  <sheetFormatPr defaultRowHeight="15" x14ac:dyDescent="0.25"/>
  <cols>
    <col min="1" max="1" width="9.28515625" customWidth="1"/>
    <col min="2" max="2" width="14.42578125" hidden="1" customWidth="1"/>
    <col min="3" max="3" width="20" customWidth="1"/>
    <col min="4" max="4" width="10.28515625" customWidth="1"/>
    <col min="5" max="5" width="6.42578125" bestFit="1" customWidth="1"/>
    <col min="6" max="6" width="8.7109375" bestFit="1" customWidth="1"/>
    <col min="7" max="7" width="6.42578125" bestFit="1" customWidth="1"/>
    <col min="8" max="8" width="8" bestFit="1" customWidth="1"/>
    <col min="9" max="9" width="5.85546875" bestFit="1" customWidth="1"/>
    <col min="10" max="10" width="13.140625" bestFit="1" customWidth="1"/>
    <col min="11" max="11" width="17.28515625" customWidth="1"/>
    <col min="12" max="12" width="14.7109375" hidden="1" customWidth="1"/>
    <col min="13" max="13" width="17.28515625" customWidth="1"/>
    <col min="14" max="14" width="17.42578125" customWidth="1"/>
    <col min="15" max="15" width="14.7109375" hidden="1" customWidth="1"/>
    <col min="16" max="16" width="10.5703125" customWidth="1"/>
    <col min="17" max="17" width="12.7109375" customWidth="1"/>
    <col min="18" max="18" width="19.85546875" bestFit="1" customWidth="1"/>
    <col min="19" max="19" width="16.28515625" hidden="1" customWidth="1"/>
    <col min="20" max="21" width="16.28515625" customWidth="1"/>
    <col min="22" max="22" width="10.28515625" customWidth="1"/>
    <col min="23" max="23" width="9.140625" customWidth="1"/>
    <col min="24" max="24" width="16.28515625" customWidth="1"/>
    <col min="25" max="25" width="13.28515625" customWidth="1"/>
    <col min="26" max="26" width="9.140625" customWidth="1"/>
    <col min="27" max="27" width="11.7109375" customWidth="1"/>
  </cols>
  <sheetData>
    <row r="1" spans="1:27" ht="26.25" x14ac:dyDescent="0.4">
      <c r="A1" s="130" t="s">
        <v>54</v>
      </c>
      <c r="W1" s="133"/>
      <c r="X1" s="133"/>
      <c r="Y1" s="133"/>
      <c r="Z1" s="133"/>
    </row>
    <row r="2" spans="1:27" x14ac:dyDescent="0.25">
      <c r="W2" s="133"/>
      <c r="X2" s="133"/>
      <c r="Y2" s="133"/>
      <c r="Z2" s="133"/>
    </row>
    <row r="3" spans="1:27" ht="47.25" x14ac:dyDescent="0.25">
      <c r="A3" s="117" t="s">
        <v>55</v>
      </c>
      <c r="B3" s="117" t="s">
        <v>102</v>
      </c>
      <c r="C3" s="118" t="s">
        <v>56</v>
      </c>
      <c r="D3" s="117" t="s">
        <v>57</v>
      </c>
      <c r="E3" s="119" t="s">
        <v>58</v>
      </c>
      <c r="F3" s="119" t="s">
        <v>59</v>
      </c>
      <c r="G3" s="119" t="s">
        <v>26</v>
      </c>
      <c r="H3" s="119" t="s">
        <v>60</v>
      </c>
      <c r="I3" s="119" t="s">
        <v>28</v>
      </c>
      <c r="J3" s="118" t="s">
        <v>101</v>
      </c>
      <c r="K3" s="118" t="s">
        <v>61</v>
      </c>
      <c r="L3" s="118" t="s">
        <v>62</v>
      </c>
      <c r="M3" s="118" t="s">
        <v>63</v>
      </c>
      <c r="N3" s="118" t="s">
        <v>63</v>
      </c>
      <c r="O3" s="118" t="s">
        <v>64</v>
      </c>
      <c r="P3" s="118" t="s">
        <v>65</v>
      </c>
      <c r="Q3" s="118" t="s">
        <v>66</v>
      </c>
      <c r="R3" s="120" t="s">
        <v>100</v>
      </c>
      <c r="S3" s="120" t="s">
        <v>103</v>
      </c>
      <c r="T3" s="69"/>
      <c r="U3" s="69"/>
      <c r="V3" s="69"/>
      <c r="W3" s="133"/>
      <c r="X3" s="133"/>
      <c r="Y3" s="133"/>
      <c r="Z3" s="133"/>
      <c r="AA3" s="131"/>
    </row>
    <row r="4" spans="1:27" ht="15.75" x14ac:dyDescent="0.25">
      <c r="A4" s="117"/>
      <c r="B4" s="117"/>
      <c r="C4" s="118"/>
      <c r="D4" s="117"/>
      <c r="E4" s="119"/>
      <c r="F4" s="119"/>
      <c r="G4" s="119"/>
      <c r="H4" s="119"/>
      <c r="I4" s="119"/>
      <c r="J4" s="118">
        <f>SUM(J5:J9)</f>
        <v>3920</v>
      </c>
      <c r="K4" s="121">
        <f>SUM(K5:K9)</f>
        <v>1.21</v>
      </c>
      <c r="L4" s="121"/>
      <c r="M4" s="121">
        <f>SUM(M5:M9)</f>
        <v>4743.2</v>
      </c>
      <c r="N4" s="122">
        <f>F11</f>
        <v>5.23</v>
      </c>
      <c r="O4" s="122"/>
      <c r="P4" s="123">
        <v>1</v>
      </c>
      <c r="Q4" s="123">
        <v>1</v>
      </c>
      <c r="R4" s="124"/>
      <c r="S4" s="124"/>
      <c r="T4" s="133"/>
      <c r="U4" s="133"/>
      <c r="V4" s="133"/>
      <c r="W4" s="133"/>
      <c r="X4" s="133"/>
      <c r="Y4" s="133"/>
      <c r="Z4" s="133"/>
      <c r="AA4" s="132"/>
    </row>
    <row r="5" spans="1:27" ht="57" customHeight="1" x14ac:dyDescent="0.25">
      <c r="A5" s="168">
        <v>1</v>
      </c>
      <c r="B5" s="176"/>
      <c r="C5" s="174" t="s">
        <v>109</v>
      </c>
      <c r="D5" s="2">
        <v>55032090</v>
      </c>
      <c r="E5" s="125">
        <v>0.126</v>
      </c>
      <c r="F5" s="126">
        <v>3.6499999999999998E-2</v>
      </c>
      <c r="G5" s="126">
        <v>2.1000000000000001E-2</v>
      </c>
      <c r="H5" s="126">
        <v>9.6500000000000002E-2</v>
      </c>
      <c r="I5" s="127">
        <v>0.06</v>
      </c>
      <c r="J5" s="175">
        <v>3920</v>
      </c>
      <c r="K5" s="175">
        <v>1.21</v>
      </c>
      <c r="L5" s="128">
        <f>K5/2</f>
        <v>0.60499999999999998</v>
      </c>
      <c r="M5" s="128">
        <f>K5*J5</f>
        <v>4743.2</v>
      </c>
      <c r="N5" s="129">
        <f>M5*$N$4</f>
        <v>24806.936000000002</v>
      </c>
      <c r="O5" s="129">
        <f>L5*J5*$N$4</f>
        <v>12403.468000000001</v>
      </c>
      <c r="P5" s="126">
        <f>(J5*$P$4)/$J$4</f>
        <v>1</v>
      </c>
      <c r="Q5" s="126">
        <f>(K5*$Q$4)/$K$4</f>
        <v>1</v>
      </c>
      <c r="R5" s="129">
        <f>'Est. Cust. Naci.'!AV6</f>
        <v>31.076977288302039</v>
      </c>
      <c r="S5" s="129" t="e">
        <f t="shared" ref="S5:S9" si="0">R5/B5</f>
        <v>#DIV/0!</v>
      </c>
      <c r="T5" s="65"/>
      <c r="U5" s="65"/>
      <c r="V5" s="65"/>
      <c r="W5" s="133"/>
      <c r="X5" s="133"/>
      <c r="Y5" s="133"/>
      <c r="Z5" s="133"/>
      <c r="AA5" s="115"/>
    </row>
    <row r="6" spans="1:27" x14ac:dyDescent="0.25">
      <c r="A6" s="1">
        <v>2</v>
      </c>
      <c r="B6" s="2"/>
      <c r="C6" s="174"/>
      <c r="D6" s="1"/>
      <c r="E6" s="125"/>
      <c r="F6" s="126"/>
      <c r="G6" s="126"/>
      <c r="H6" s="126"/>
      <c r="I6" s="127"/>
      <c r="J6" s="175"/>
      <c r="K6" s="175"/>
      <c r="M6" s="128">
        <f t="shared" ref="M6:M9" si="1">K6*J6</f>
        <v>0</v>
      </c>
      <c r="N6" s="129">
        <f t="shared" ref="N6:N9" si="2">M6*$N$4</f>
        <v>0</v>
      </c>
      <c r="O6" s="129">
        <f t="shared" ref="O6:O9" si="3">L6*J6*$N$4</f>
        <v>0</v>
      </c>
      <c r="P6" s="126">
        <f t="shared" ref="P6:P9" si="4">(J6*$P$4)/$J$4</f>
        <v>0</v>
      </c>
      <c r="Q6" s="126">
        <f t="shared" ref="Q6:Q9" si="5">(K6*$Q$4)/$K$4</f>
        <v>0</v>
      </c>
      <c r="R6" s="129" t="e">
        <f>'Est. Cust. Naci.'!AV7</f>
        <v>#DIV/0!</v>
      </c>
      <c r="S6" s="129" t="e">
        <f t="shared" si="0"/>
        <v>#DIV/0!</v>
      </c>
    </row>
    <row r="7" spans="1:27" x14ac:dyDescent="0.25">
      <c r="A7" s="1">
        <v>3</v>
      </c>
      <c r="B7" s="2"/>
      <c r="C7" s="174"/>
      <c r="D7" s="1"/>
      <c r="E7" s="125"/>
      <c r="F7" s="126"/>
      <c r="G7" s="126"/>
      <c r="H7" s="126"/>
      <c r="I7" s="127"/>
      <c r="J7" s="175"/>
      <c r="K7" s="175"/>
      <c r="M7" s="128">
        <f t="shared" si="1"/>
        <v>0</v>
      </c>
      <c r="N7" s="129">
        <f t="shared" si="2"/>
        <v>0</v>
      </c>
      <c r="O7" s="129">
        <f t="shared" si="3"/>
        <v>0</v>
      </c>
      <c r="P7" s="126">
        <f t="shared" si="4"/>
        <v>0</v>
      </c>
      <c r="Q7" s="126">
        <f t="shared" si="5"/>
        <v>0</v>
      </c>
      <c r="R7" s="129" t="e">
        <f>'Est. Cust. Naci.'!AV8</f>
        <v>#DIV/0!</v>
      </c>
      <c r="S7" s="129" t="e">
        <f t="shared" si="0"/>
        <v>#DIV/0!</v>
      </c>
    </row>
    <row r="8" spans="1:27" x14ac:dyDescent="0.25">
      <c r="A8" s="1">
        <v>4</v>
      </c>
      <c r="B8" s="2"/>
      <c r="C8" s="174"/>
      <c r="D8" s="1"/>
      <c r="E8" s="125"/>
      <c r="F8" s="126"/>
      <c r="G8" s="126"/>
      <c r="H8" s="126"/>
      <c r="I8" s="127"/>
      <c r="J8" s="175"/>
      <c r="K8" s="175"/>
      <c r="M8" s="128">
        <f t="shared" si="1"/>
        <v>0</v>
      </c>
      <c r="N8" s="129">
        <f t="shared" si="2"/>
        <v>0</v>
      </c>
      <c r="O8" s="129">
        <f t="shared" si="3"/>
        <v>0</v>
      </c>
      <c r="P8" s="126">
        <f t="shared" si="4"/>
        <v>0</v>
      </c>
      <c r="Q8" s="126">
        <f t="shared" si="5"/>
        <v>0</v>
      </c>
      <c r="R8" s="129" t="e">
        <f>'Est. Cust. Naci.'!AV9</f>
        <v>#DIV/0!</v>
      </c>
      <c r="S8" s="129" t="e">
        <f t="shared" si="0"/>
        <v>#DIV/0!</v>
      </c>
    </row>
    <row r="9" spans="1:27" x14ac:dyDescent="0.25">
      <c r="A9" s="1">
        <v>5</v>
      </c>
      <c r="B9" s="2"/>
      <c r="C9" s="174"/>
      <c r="D9" s="1"/>
      <c r="E9" s="125"/>
      <c r="F9" s="126"/>
      <c r="G9" s="126"/>
      <c r="H9" s="126"/>
      <c r="I9" s="127"/>
      <c r="J9" s="175"/>
      <c r="K9" s="175"/>
      <c r="M9" s="128">
        <f t="shared" si="1"/>
        <v>0</v>
      </c>
      <c r="N9" s="129">
        <f t="shared" si="2"/>
        <v>0</v>
      </c>
      <c r="O9" s="129">
        <f t="shared" si="3"/>
        <v>0</v>
      </c>
      <c r="P9" s="126">
        <f t="shared" si="4"/>
        <v>0</v>
      </c>
      <c r="Q9" s="126">
        <f t="shared" si="5"/>
        <v>0</v>
      </c>
      <c r="R9" s="129" t="e">
        <f>'Est. Cust. Naci.'!AV10</f>
        <v>#DIV/0!</v>
      </c>
      <c r="S9" s="129" t="e">
        <f t="shared" si="0"/>
        <v>#DIV/0!</v>
      </c>
    </row>
    <row r="11" spans="1:27" x14ac:dyDescent="0.25">
      <c r="E11" t="e" vm="1">
        <v>#VALUE!</v>
      </c>
      <c r="F11" s="10">
        <v>5.23</v>
      </c>
    </row>
  </sheetData>
  <phoneticPr fontId="14" type="noConversion"/>
  <pageMargins left="0.70866141732283472" right="0.23622047244094491" top="0.74803149606299213" bottom="0.74803149606299213" header="0.31496062992125984" footer="0.31496062992125984"/>
  <pageSetup paperSize="9" scale="6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4502-76C4-43B2-B029-6AE535E32796}">
  <dimension ref="A1:BC14"/>
  <sheetViews>
    <sheetView topLeftCell="K1" zoomScale="90" zoomScaleNormal="90" workbookViewId="0">
      <selection activeCell="U4" sqref="U4"/>
    </sheetView>
  </sheetViews>
  <sheetFormatPr defaultRowHeight="15" x14ac:dyDescent="0.25"/>
  <cols>
    <col min="1" max="1" width="9.140625" hidden="1" customWidth="1"/>
    <col min="2" max="2" width="9.140625" customWidth="1"/>
    <col min="3" max="3" width="13.5703125" customWidth="1"/>
    <col min="4" max="6" width="8.140625" customWidth="1"/>
    <col min="7" max="7" width="10.85546875" bestFit="1" customWidth="1"/>
    <col min="8" max="8" width="20.28515625" customWidth="1"/>
    <col min="9" max="9" width="9.140625" customWidth="1"/>
    <col min="10" max="10" width="9.5703125" bestFit="1" customWidth="1"/>
    <col min="11" max="11" width="13.28515625" bestFit="1" customWidth="1"/>
    <col min="12" max="12" width="19.5703125" bestFit="1" customWidth="1"/>
    <col min="13" max="13" width="15.5703125" hidden="1" customWidth="1"/>
    <col min="14" max="14" width="16" bestFit="1" customWidth="1"/>
    <col min="15" max="15" width="17.85546875" bestFit="1" customWidth="1"/>
    <col min="16" max="16" width="17.28515625" customWidth="1"/>
    <col min="17" max="17" width="20.140625" customWidth="1"/>
    <col min="18" max="18" width="14.85546875" bestFit="1" customWidth="1"/>
    <col min="19" max="19" width="13.85546875" bestFit="1" customWidth="1"/>
    <col min="20" max="20" width="14.85546875" bestFit="1" customWidth="1"/>
    <col min="21" max="21" width="14.85546875" customWidth="1"/>
    <col min="22" max="23" width="14.5703125" bestFit="1" customWidth="1"/>
    <col min="24" max="24" width="19.28515625" bestFit="1" customWidth="1"/>
    <col min="25" max="25" width="19.28515625" hidden="1" customWidth="1"/>
    <col min="26" max="27" width="14.5703125" bestFit="1" customWidth="1"/>
    <col min="28" max="28" width="16.85546875" bestFit="1" customWidth="1"/>
    <col min="29" max="29" width="13" bestFit="1" customWidth="1"/>
    <col min="30" max="30" width="14.5703125" bestFit="1" customWidth="1"/>
    <col min="31" max="31" width="16.7109375" bestFit="1" customWidth="1"/>
    <col min="32" max="32" width="16.85546875" bestFit="1" customWidth="1"/>
    <col min="33" max="33" width="13" bestFit="1" customWidth="1"/>
    <col min="34" max="34" width="16.85546875" bestFit="1" customWidth="1"/>
    <col min="35" max="35" width="10.28515625" bestFit="1" customWidth="1"/>
    <col min="36" max="36" width="16.7109375" bestFit="1" customWidth="1"/>
    <col min="37" max="39" width="14.5703125" bestFit="1" customWidth="1"/>
    <col min="40" max="40" width="18.28515625" bestFit="1" customWidth="1"/>
    <col min="41" max="41" width="16.7109375" bestFit="1" customWidth="1"/>
    <col min="42" max="42" width="18.28515625" bestFit="1" customWidth="1"/>
    <col min="43" max="43" width="19.7109375" customWidth="1"/>
    <col min="44" max="47" width="19.7109375" hidden="1" customWidth="1"/>
    <col min="48" max="48" width="19.7109375" customWidth="1"/>
    <col min="49" max="49" width="19.7109375" hidden="1" customWidth="1"/>
    <col min="50" max="50" width="19.7109375" customWidth="1"/>
    <col min="51" max="51" width="19.7109375" hidden="1" customWidth="1"/>
    <col min="52" max="52" width="19.7109375" customWidth="1"/>
    <col min="53" max="53" width="14.28515625" hidden="1" customWidth="1"/>
    <col min="54" max="54" width="13.140625" customWidth="1"/>
  </cols>
  <sheetData>
    <row r="1" spans="1:55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1:55" x14ac:dyDescent="0.25">
      <c r="A2" s="72"/>
      <c r="B2" s="72"/>
      <c r="C2" s="73" t="s">
        <v>67</v>
      </c>
      <c r="D2" s="73"/>
      <c r="E2" s="73"/>
      <c r="F2" s="73"/>
      <c r="G2" s="73"/>
      <c r="H2" s="73"/>
      <c r="I2" s="73"/>
      <c r="J2" s="73"/>
      <c r="K2" s="73"/>
      <c r="L2" s="74" t="s">
        <v>68</v>
      </c>
      <c r="M2" s="74"/>
      <c r="N2" s="74"/>
      <c r="O2" s="74"/>
      <c r="P2" s="75"/>
      <c r="Q2" s="75"/>
      <c r="R2" s="76" t="s">
        <v>21</v>
      </c>
      <c r="S2" s="77"/>
      <c r="T2" s="77"/>
      <c r="U2" s="77"/>
      <c r="V2" s="77"/>
      <c r="W2" s="77"/>
      <c r="X2" s="77"/>
      <c r="Y2" s="77"/>
      <c r="Z2" s="78" t="s">
        <v>69</v>
      </c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9"/>
      <c r="AR2" s="79"/>
      <c r="AS2" s="79"/>
      <c r="AT2" s="79"/>
      <c r="AU2" s="79"/>
      <c r="AV2" s="79"/>
      <c r="AW2" s="79"/>
      <c r="AX2" s="79"/>
      <c r="AY2" s="79"/>
      <c r="AZ2" s="79"/>
    </row>
    <row r="3" spans="1:55" ht="60" x14ac:dyDescent="0.25">
      <c r="A3" s="80"/>
      <c r="B3" s="81" t="s">
        <v>70</v>
      </c>
      <c r="C3" s="81" t="s">
        <v>8</v>
      </c>
      <c r="D3" s="82" t="s">
        <v>71</v>
      </c>
      <c r="E3" s="82" t="s">
        <v>72</v>
      </c>
      <c r="F3" s="82" t="s">
        <v>73</v>
      </c>
      <c r="G3" s="81" t="s">
        <v>57</v>
      </c>
      <c r="H3" s="83" t="s">
        <v>74</v>
      </c>
      <c r="I3" s="84" t="s">
        <v>66</v>
      </c>
      <c r="J3" s="85" t="s">
        <v>75</v>
      </c>
      <c r="K3" s="82" t="s">
        <v>76</v>
      </c>
      <c r="L3" s="86" t="s">
        <v>77</v>
      </c>
      <c r="M3" s="86" t="s">
        <v>78</v>
      </c>
      <c r="N3" s="86" t="s">
        <v>79</v>
      </c>
      <c r="O3" s="86" t="s">
        <v>80</v>
      </c>
      <c r="P3" s="86" t="s">
        <v>20</v>
      </c>
      <c r="Q3" s="86" t="s">
        <v>81</v>
      </c>
      <c r="R3" s="87" t="s">
        <v>82</v>
      </c>
      <c r="S3" s="88" t="s">
        <v>59</v>
      </c>
      <c r="T3" s="88" t="s">
        <v>26</v>
      </c>
      <c r="U3" s="88" t="s">
        <v>114</v>
      </c>
      <c r="V3" s="88" t="s">
        <v>60</v>
      </c>
      <c r="W3" s="88" t="s">
        <v>28</v>
      </c>
      <c r="X3" s="87" t="s">
        <v>83</v>
      </c>
      <c r="Y3" s="87" t="s">
        <v>84</v>
      </c>
      <c r="Z3" s="89" t="s">
        <v>31</v>
      </c>
      <c r="AA3" s="89" t="s">
        <v>32</v>
      </c>
      <c r="AB3" s="89" t="s">
        <v>85</v>
      </c>
      <c r="AC3" s="89" t="s">
        <v>34</v>
      </c>
      <c r="AD3" s="89" t="s">
        <v>35</v>
      </c>
      <c r="AE3" s="89" t="s">
        <v>36</v>
      </c>
      <c r="AF3" s="89" t="s">
        <v>37</v>
      </c>
      <c r="AG3" s="89" t="s">
        <v>38</v>
      </c>
      <c r="AH3" s="89" t="s">
        <v>39</v>
      </c>
      <c r="AI3" s="89" t="s">
        <v>40</v>
      </c>
      <c r="AJ3" s="89" t="s">
        <v>42</v>
      </c>
      <c r="AK3" s="89" t="s">
        <v>43</v>
      </c>
      <c r="AL3" s="89" t="s">
        <v>44</v>
      </c>
      <c r="AM3" s="89" t="s">
        <v>45</v>
      </c>
      <c r="AN3" s="89" t="s">
        <v>46</v>
      </c>
      <c r="AO3" s="89" t="s">
        <v>47</v>
      </c>
      <c r="AP3" s="89" t="s">
        <v>86</v>
      </c>
      <c r="AQ3" s="90" t="s">
        <v>50</v>
      </c>
      <c r="AR3" s="90" t="s">
        <v>87</v>
      </c>
      <c r="AS3" s="90" t="s">
        <v>87</v>
      </c>
      <c r="AT3" s="90" t="s">
        <v>88</v>
      </c>
      <c r="AU3" s="90" t="s">
        <v>89</v>
      </c>
      <c r="AV3" s="90" t="s">
        <v>90</v>
      </c>
      <c r="AW3" s="90" t="s">
        <v>91</v>
      </c>
      <c r="AX3" s="90" t="s">
        <v>92</v>
      </c>
      <c r="AY3" s="90" t="s">
        <v>93</v>
      </c>
      <c r="AZ3" s="90"/>
      <c r="BA3" s="90" t="s">
        <v>94</v>
      </c>
      <c r="BB3" s="3"/>
    </row>
    <row r="4" spans="1:55" ht="18.75" x14ac:dyDescent="0.25">
      <c r="A4" s="80" t="s">
        <v>70</v>
      </c>
      <c r="B4" s="80"/>
      <c r="C4" s="91"/>
      <c r="D4" s="91"/>
      <c r="E4" s="91"/>
      <c r="F4" s="91"/>
      <c r="G4" s="91"/>
      <c r="H4" s="92"/>
      <c r="I4" s="93"/>
      <c r="J4" s="94"/>
      <c r="K4" s="95"/>
      <c r="L4" s="96">
        <f>N14</f>
        <v>5.23</v>
      </c>
      <c r="M4" s="96">
        <v>4.8887</v>
      </c>
      <c r="N4" s="97">
        <v>0</v>
      </c>
      <c r="O4" s="98"/>
      <c r="P4" s="99">
        <f t="shared" ref="P4:W4" si="0">SUM(P6:P10)</f>
        <v>43442.936000000002</v>
      </c>
      <c r="Q4" s="99">
        <f t="shared" si="0"/>
        <v>48916.745935999999</v>
      </c>
      <c r="R4" s="166">
        <f t="shared" si="0"/>
        <v>5473.8099360000006</v>
      </c>
      <c r="S4" s="167">
        <f t="shared" si="0"/>
        <v>1785.4612266639999</v>
      </c>
      <c r="T4" s="166">
        <f t="shared" si="0"/>
        <v>1027.251664656</v>
      </c>
      <c r="U4" s="166">
        <v>47094.5</v>
      </c>
      <c r="V4" s="167">
        <f t="shared" si="0"/>
        <v>4720.4659828240001</v>
      </c>
      <c r="W4" s="167">
        <f t="shared" si="0"/>
        <v>2606.5761600000001</v>
      </c>
      <c r="X4" s="100"/>
      <c r="Y4" s="100"/>
      <c r="Z4" s="101"/>
      <c r="AA4" s="101"/>
      <c r="AB4" s="101"/>
      <c r="AC4" s="101"/>
      <c r="AD4" s="101"/>
      <c r="AE4" s="101"/>
      <c r="AF4" s="101"/>
      <c r="AG4" s="101"/>
      <c r="AH4" s="102">
        <v>0.08</v>
      </c>
      <c r="AI4" s="103"/>
      <c r="AJ4" s="101"/>
      <c r="AK4" s="101"/>
      <c r="AL4" s="101"/>
      <c r="AM4" s="101"/>
      <c r="AN4" s="101"/>
      <c r="AO4" s="101"/>
      <c r="AP4" s="101"/>
      <c r="AQ4" s="104"/>
      <c r="AR4" s="104"/>
      <c r="AS4" s="104"/>
      <c r="AT4" s="104"/>
      <c r="AU4" s="104"/>
      <c r="AV4" s="104"/>
      <c r="AW4" s="104"/>
      <c r="AX4" s="104"/>
      <c r="AY4" s="104"/>
      <c r="AZ4" s="104"/>
    </row>
    <row r="5" spans="1:55" ht="18.75" x14ac:dyDescent="0.25">
      <c r="A5" s="5" t="s">
        <v>95</v>
      </c>
      <c r="B5" s="5"/>
      <c r="C5" s="105"/>
      <c r="D5" s="105"/>
      <c r="E5" s="105"/>
      <c r="F5" s="105"/>
      <c r="G5" s="105"/>
      <c r="H5" s="106"/>
      <c r="I5" s="107"/>
      <c r="J5" s="108"/>
      <c r="K5" s="109"/>
      <c r="L5" s="110">
        <f>SUM(L6:L10)</f>
        <v>24806.936000000002</v>
      </c>
      <c r="M5" s="110"/>
      <c r="N5" s="111"/>
      <c r="O5" s="110">
        <f>SUM(O6:O10)</f>
        <v>18636</v>
      </c>
      <c r="P5" s="112"/>
      <c r="Q5" s="112"/>
      <c r="R5" s="113">
        <f>'LISTA DE COMPRAS'!E5</f>
        <v>0.126</v>
      </c>
      <c r="S5" s="113">
        <f>'LISTA DE COMPRAS'!F5</f>
        <v>3.6499999999999998E-2</v>
      </c>
      <c r="T5" s="153">
        <f>'LISTA DE COMPRAS'!G5</f>
        <v>2.1000000000000001E-2</v>
      </c>
      <c r="U5" s="153"/>
      <c r="V5" s="154">
        <f>'LISTA DE COMPRAS'!H5</f>
        <v>9.6500000000000002E-2</v>
      </c>
      <c r="W5" s="113">
        <f>'LISTA DE COMPRAS'!I5</f>
        <v>0.06</v>
      </c>
      <c r="X5" s="134">
        <f>SUM(X6:X10)</f>
        <v>62708.064970143998</v>
      </c>
      <c r="Y5" s="134" t="e">
        <f>SUM(#REF!,Y6)</f>
        <v>#REF!</v>
      </c>
      <c r="Z5" s="104">
        <f t="shared" ref="Z5:AH5" si="1">SUM(Z6:Z10)</f>
        <v>214.5</v>
      </c>
      <c r="AA5" s="104">
        <f t="shared" si="1"/>
        <v>490</v>
      </c>
      <c r="AB5" s="104">
        <f t="shared" si="1"/>
        <v>1547</v>
      </c>
      <c r="AC5" s="104">
        <f t="shared" si="1"/>
        <v>48</v>
      </c>
      <c r="AD5" s="104">
        <f t="shared" si="1"/>
        <v>122</v>
      </c>
      <c r="AE5" s="104">
        <f t="shared" si="1"/>
        <v>1072.94</v>
      </c>
      <c r="AF5" s="104">
        <f t="shared" si="1"/>
        <v>774.9</v>
      </c>
      <c r="AG5" s="104">
        <f t="shared" si="1"/>
        <v>29.8</v>
      </c>
      <c r="AH5" s="104">
        <f t="shared" si="1"/>
        <v>1490.88</v>
      </c>
      <c r="AI5" s="104">
        <f>SUM(AI6:AI6)</f>
        <v>0</v>
      </c>
      <c r="AJ5" s="104">
        <f t="shared" ref="AJ5:AP5" si="2">SUM(AJ6:AJ10)</f>
        <v>756.95</v>
      </c>
      <c r="AK5" s="104">
        <f t="shared" si="2"/>
        <v>320.33</v>
      </c>
      <c r="AL5" s="104">
        <f t="shared" si="2"/>
        <v>117.45</v>
      </c>
      <c r="AM5" s="104">
        <f t="shared" si="2"/>
        <v>286</v>
      </c>
      <c r="AN5" s="104">
        <f t="shared" si="2"/>
        <v>6000</v>
      </c>
      <c r="AO5" s="104">
        <f t="shared" si="2"/>
        <v>2400</v>
      </c>
      <c r="AP5" s="104">
        <f t="shared" si="2"/>
        <v>15670.75</v>
      </c>
      <c r="AQ5" s="104">
        <f>AP5+X5+P4</f>
        <v>121821.750970144</v>
      </c>
      <c r="AR5" s="104">
        <v>21877.4247962101</v>
      </c>
      <c r="AS5" s="104" t="e">
        <f>AP5+Y5+Q4+#REF!</f>
        <v>#REF!</v>
      </c>
      <c r="AT5" s="104"/>
      <c r="AU5" s="104"/>
      <c r="AV5" s="104"/>
      <c r="AW5" s="104"/>
      <c r="AX5" s="104"/>
      <c r="AY5" s="104"/>
      <c r="AZ5" s="104"/>
    </row>
    <row r="6" spans="1:55" x14ac:dyDescent="0.25">
      <c r="A6" t="s">
        <v>95</v>
      </c>
      <c r="B6">
        <f>'LISTA DE COMPRAS'!A5</f>
        <v>1</v>
      </c>
      <c r="C6" s="79" t="str">
        <f>'LISTA DE COMPRAS'!C5</f>
        <v>FIBRA  0.9DX38MM  na versão virgem</v>
      </c>
      <c r="G6" s="114">
        <f>'LISTA DE COMPRAS'!D6</f>
        <v>0</v>
      </c>
      <c r="H6" s="2">
        <f>'LISTA DE COMPRAS'!J5</f>
        <v>3920</v>
      </c>
      <c r="I6" s="115">
        <f>'LISTA DE COMPRAS'!P5</f>
        <v>1</v>
      </c>
      <c r="J6" s="12">
        <f>'LISTA DE COMPRAS'!K5</f>
        <v>1.21</v>
      </c>
      <c r="K6" s="12">
        <f>H6*J6</f>
        <v>4743.2</v>
      </c>
      <c r="L6" s="10">
        <f>K6*$L$4</f>
        <v>24806.936000000002</v>
      </c>
      <c r="M6" s="10">
        <f>L6*50%</f>
        <v>12403.468000000001</v>
      </c>
      <c r="N6" s="4">
        <f>$N$4*I6</f>
        <v>0</v>
      </c>
      <c r="O6" s="10">
        <f>'Rateio Custos Fixos'!E12</f>
        <v>18636</v>
      </c>
      <c r="P6" s="10">
        <f>SUM(L6,O6)</f>
        <v>43442.936000000002</v>
      </c>
      <c r="Q6" s="10">
        <f>P6+R6</f>
        <v>48916.745935999999</v>
      </c>
      <c r="R6" s="10">
        <f t="shared" ref="R6:R10" si="3">$P6*R$5</f>
        <v>5473.8099360000006</v>
      </c>
      <c r="S6" s="10">
        <f>$Q6*S$5</f>
        <v>1785.4612266639999</v>
      </c>
      <c r="T6" s="10">
        <f>$Q6*T$5</f>
        <v>1027.251664656</v>
      </c>
      <c r="U6" s="10">
        <f>U4</f>
        <v>47094.5</v>
      </c>
      <c r="V6" s="10">
        <f>$Q6*V$5</f>
        <v>4720.4659828240001</v>
      </c>
      <c r="W6" s="10">
        <f t="shared" ref="W6:W10" si="4">$P6*W$5</f>
        <v>2606.5761600000001</v>
      </c>
      <c r="X6" s="10">
        <f>SUM(R6:W6)</f>
        <v>62708.064970143998</v>
      </c>
      <c r="Y6" s="10" t="e">
        <f>SUM(#REF!)</f>
        <v>#REF!</v>
      </c>
      <c r="Z6" s="10">
        <f>'Rateio Custos Fixos'!F12</f>
        <v>214.5</v>
      </c>
      <c r="AA6" s="10">
        <f>'Rateio Custos Fixos'!G12</f>
        <v>490</v>
      </c>
      <c r="AB6" s="10">
        <f>'Rateio Custos Fixos'!H12</f>
        <v>1547</v>
      </c>
      <c r="AC6" s="10">
        <f>'Rateio Custos Fixos'!I12</f>
        <v>48</v>
      </c>
      <c r="AD6" s="10">
        <f>'Rateio Custos Fixos'!J12</f>
        <v>122</v>
      </c>
      <c r="AE6" s="10">
        <f>'Rateio Custos Fixos'!K12</f>
        <v>1072.94</v>
      </c>
      <c r="AF6" s="10">
        <f>'Rateio Custos Fixos'!L12</f>
        <v>774.9</v>
      </c>
      <c r="AG6" s="10">
        <f>'Rateio Custos Fixos'!M12</f>
        <v>29.8</v>
      </c>
      <c r="AH6" s="10">
        <f>'Rateio Custos Fixos'!N12</f>
        <v>1490.88</v>
      </c>
      <c r="AI6" s="10">
        <f>'Rateio Custos Fixos'!O12</f>
        <v>0</v>
      </c>
      <c r="AJ6" s="10">
        <f>'Rateio Custos Fixos'!P12</f>
        <v>756.95</v>
      </c>
      <c r="AK6" s="10">
        <f>'Rateio Custos Fixos'!Q12</f>
        <v>320.33</v>
      </c>
      <c r="AL6" s="10">
        <f>'Rateio Custos Fixos'!R12</f>
        <v>117.45</v>
      </c>
      <c r="AM6" s="10">
        <f>'Rateio Custos Fixos'!S12</f>
        <v>286</v>
      </c>
      <c r="AN6" s="10">
        <f>'Rateio Custos Fixos'!T12</f>
        <v>6000</v>
      </c>
      <c r="AO6" s="10">
        <f>'Rateio Custos Fixos'!U12</f>
        <v>2400</v>
      </c>
      <c r="AP6" s="10">
        <f>SUM(Z6:AO6)</f>
        <v>15670.75</v>
      </c>
      <c r="AQ6" s="10">
        <f>AP6+X6+P6</f>
        <v>121821.750970144</v>
      </c>
      <c r="AR6" s="10">
        <v>2595.3166170147351</v>
      </c>
      <c r="AS6" s="10" t="e">
        <f>AP6+Y6+P6</f>
        <v>#REF!</v>
      </c>
      <c r="AT6" s="10">
        <f>(AQ6/H6)</f>
        <v>31.076977288302039</v>
      </c>
      <c r="AU6" s="10" t="e">
        <f>AS6/H6</f>
        <v>#REF!</v>
      </c>
      <c r="AV6" s="10">
        <f>AQ6/H6</f>
        <v>31.076977288302039</v>
      </c>
      <c r="AW6" s="10" t="e">
        <f>(AS6*#REF!)/'Est. Cust. Naci.'!H6</f>
        <v>#REF!</v>
      </c>
      <c r="AX6" s="10">
        <f>(J6*9)</f>
        <v>10.89</v>
      </c>
      <c r="AY6" s="10">
        <f>AX6/2</f>
        <v>5.4450000000000003</v>
      </c>
      <c r="AZ6" s="116"/>
      <c r="BA6" s="10">
        <f>AQ6/H6</f>
        <v>31.076977288302039</v>
      </c>
      <c r="BC6" s="12"/>
    </row>
    <row r="7" spans="1:55" x14ac:dyDescent="0.25">
      <c r="B7">
        <f>'LISTA DE COMPRAS'!A6</f>
        <v>2</v>
      </c>
      <c r="C7" s="79">
        <f>'LISTA DE COMPRAS'!C6</f>
        <v>0</v>
      </c>
      <c r="G7" s="114">
        <f>'LISTA DE COMPRAS'!D7</f>
        <v>0</v>
      </c>
      <c r="H7" s="2">
        <f>'LISTA DE COMPRAS'!J6</f>
        <v>0</v>
      </c>
      <c r="I7" s="115">
        <f>'LISTA DE COMPRAS'!P6</f>
        <v>0</v>
      </c>
      <c r="J7" s="12">
        <f>'LISTA DE COMPRAS'!K6</f>
        <v>0</v>
      </c>
      <c r="K7" s="12">
        <f t="shared" ref="K7:K10" si="5">H7*J7</f>
        <v>0</v>
      </c>
      <c r="L7" s="10">
        <f t="shared" ref="L7:L10" si="6">K7*$L$4</f>
        <v>0</v>
      </c>
      <c r="M7" s="10">
        <f t="shared" ref="M7:M10" si="7">L7*50%</f>
        <v>0</v>
      </c>
      <c r="N7" s="4">
        <f t="shared" ref="N7:N10" si="8">$N$4*I7</f>
        <v>0</v>
      </c>
      <c r="O7" s="10">
        <f>'Rateio Custos Fixos'!E13</f>
        <v>0</v>
      </c>
      <c r="P7" s="10">
        <f t="shared" ref="P7:P10" si="9">SUM(L7,O7)</f>
        <v>0</v>
      </c>
      <c r="Q7" s="10">
        <f t="shared" ref="Q7:Q10" si="10">P7+R7</f>
        <v>0</v>
      </c>
      <c r="R7" s="10">
        <f t="shared" si="3"/>
        <v>0</v>
      </c>
      <c r="S7" s="10">
        <f t="shared" ref="S7:S10" si="11">$Q7*S$5</f>
        <v>0</v>
      </c>
      <c r="T7" s="10">
        <f t="shared" ref="T7:V10" si="12">$Q7*T$5</f>
        <v>0</v>
      </c>
      <c r="U7" s="10"/>
      <c r="V7" s="10">
        <f t="shared" si="12"/>
        <v>0</v>
      </c>
      <c r="W7" s="10">
        <f t="shared" si="4"/>
        <v>0</v>
      </c>
      <c r="X7" s="10">
        <f t="shared" ref="X7:X10" si="13">SUM(R7:W7)</f>
        <v>0</v>
      </c>
      <c r="Y7" s="10" t="e">
        <f>SUM(#REF!)</f>
        <v>#REF!</v>
      </c>
      <c r="Z7" s="10">
        <f>'Rateio Custos Fixos'!F13</f>
        <v>0</v>
      </c>
      <c r="AA7" s="10">
        <f>'Rateio Custos Fixos'!G13</f>
        <v>0</v>
      </c>
      <c r="AB7" s="10">
        <f>'Rateio Custos Fixos'!H13</f>
        <v>0</v>
      </c>
      <c r="AC7" s="10">
        <f>'Rateio Custos Fixos'!I13</f>
        <v>0</v>
      </c>
      <c r="AD7" s="10">
        <f>'Rateio Custos Fixos'!J13</f>
        <v>0</v>
      </c>
      <c r="AE7" s="10">
        <f>'Rateio Custos Fixos'!K13</f>
        <v>0</v>
      </c>
      <c r="AF7" s="10">
        <f>'Rateio Custos Fixos'!L13</f>
        <v>0</v>
      </c>
      <c r="AG7" s="10">
        <f>'Rateio Custos Fixos'!M13</f>
        <v>0</v>
      </c>
      <c r="AH7" s="10">
        <f>'Rateio Custos Fixos'!N13</f>
        <v>0</v>
      </c>
      <c r="AI7" s="10">
        <f>'Rateio Custos Fixos'!O13</f>
        <v>0</v>
      </c>
      <c r="AJ7" s="10">
        <f>'Rateio Custos Fixos'!P13</f>
        <v>0</v>
      </c>
      <c r="AK7" s="10">
        <f>'Rateio Custos Fixos'!Q13</f>
        <v>0</v>
      </c>
      <c r="AL7" s="10">
        <f>'Rateio Custos Fixos'!R13</f>
        <v>0</v>
      </c>
      <c r="AM7" s="10">
        <f>'Rateio Custos Fixos'!S13</f>
        <v>0</v>
      </c>
      <c r="AN7" s="10">
        <f>'Rateio Custos Fixos'!T13</f>
        <v>0</v>
      </c>
      <c r="AO7" s="10">
        <f>'Rateio Custos Fixos'!U13</f>
        <v>0</v>
      </c>
      <c r="AP7" s="10">
        <f t="shared" ref="AP7:AP10" si="14">SUM(Z7:AO7)</f>
        <v>0</v>
      </c>
      <c r="AQ7" s="10">
        <f t="shared" ref="AQ7:AQ10" si="15">AP7+X7+P7</f>
        <v>0</v>
      </c>
      <c r="AR7" s="10">
        <v>2596.3166170147401</v>
      </c>
      <c r="AS7" s="10" t="e">
        <f t="shared" ref="AS7:AS10" si="16">AP7+Y7+P7</f>
        <v>#REF!</v>
      </c>
      <c r="AT7" s="10" t="e">
        <f t="shared" ref="AT7:AT10" si="17">(AQ7/H7)</f>
        <v>#DIV/0!</v>
      </c>
      <c r="AU7" s="10" t="e">
        <f t="shared" ref="AU7:AU10" si="18">AS7/H7</f>
        <v>#REF!</v>
      </c>
      <c r="AV7" s="10" t="e">
        <f t="shared" ref="AV7:AV10" si="19">AQ7/H7</f>
        <v>#DIV/0!</v>
      </c>
      <c r="AW7" s="10" t="e">
        <f>(AS7*#REF!)/'Est. Cust. Naci.'!H7</f>
        <v>#REF!</v>
      </c>
      <c r="AX7" s="10">
        <f t="shared" ref="AX7:AX10" si="20">(J7*9)</f>
        <v>0</v>
      </c>
      <c r="AY7" s="116"/>
      <c r="BA7" t="s">
        <v>96</v>
      </c>
    </row>
    <row r="8" spans="1:55" x14ac:dyDescent="0.25">
      <c r="B8">
        <f>'LISTA DE COMPRAS'!A7</f>
        <v>3</v>
      </c>
      <c r="C8" s="79">
        <f>'LISTA DE COMPRAS'!C7</f>
        <v>0</v>
      </c>
      <c r="G8" s="114">
        <f>'LISTA DE COMPRAS'!D8</f>
        <v>0</v>
      </c>
      <c r="H8" s="2">
        <f>'LISTA DE COMPRAS'!J7</f>
        <v>0</v>
      </c>
      <c r="I8" s="115">
        <f>'LISTA DE COMPRAS'!P7</f>
        <v>0</v>
      </c>
      <c r="J8" s="12">
        <f>'LISTA DE COMPRAS'!K7</f>
        <v>0</v>
      </c>
      <c r="K8" s="12">
        <f t="shared" si="5"/>
        <v>0</v>
      </c>
      <c r="L8" s="10">
        <f t="shared" si="6"/>
        <v>0</v>
      </c>
      <c r="M8" s="10">
        <f t="shared" si="7"/>
        <v>0</v>
      </c>
      <c r="N8" s="4">
        <f t="shared" si="8"/>
        <v>0</v>
      </c>
      <c r="O8" s="10">
        <f>'Rateio Custos Fixos'!E14</f>
        <v>0</v>
      </c>
      <c r="P8" s="10">
        <f t="shared" si="9"/>
        <v>0</v>
      </c>
      <c r="Q8" s="10">
        <f t="shared" si="10"/>
        <v>0</v>
      </c>
      <c r="R8" s="10">
        <f t="shared" si="3"/>
        <v>0</v>
      </c>
      <c r="S8" s="10">
        <f t="shared" si="11"/>
        <v>0</v>
      </c>
      <c r="T8" s="10">
        <f t="shared" si="12"/>
        <v>0</v>
      </c>
      <c r="U8" s="10"/>
      <c r="V8" s="10">
        <f t="shared" si="12"/>
        <v>0</v>
      </c>
      <c r="W8" s="10">
        <f t="shared" si="4"/>
        <v>0</v>
      </c>
      <c r="X8" s="10">
        <f t="shared" si="13"/>
        <v>0</v>
      </c>
      <c r="Y8" s="10" t="e">
        <f>SUM(#REF!)</f>
        <v>#REF!</v>
      </c>
      <c r="Z8" s="10">
        <f>'Rateio Custos Fixos'!F14</f>
        <v>0</v>
      </c>
      <c r="AA8" s="10">
        <f>'Rateio Custos Fixos'!G14</f>
        <v>0</v>
      </c>
      <c r="AB8" s="10">
        <f>'Rateio Custos Fixos'!H14</f>
        <v>0</v>
      </c>
      <c r="AC8" s="10">
        <f>'Rateio Custos Fixos'!I14</f>
        <v>0</v>
      </c>
      <c r="AD8" s="10">
        <f>'Rateio Custos Fixos'!J14</f>
        <v>0</v>
      </c>
      <c r="AE8" s="10">
        <f>'Rateio Custos Fixos'!K14</f>
        <v>0</v>
      </c>
      <c r="AF8" s="10">
        <f>'Rateio Custos Fixos'!L14</f>
        <v>0</v>
      </c>
      <c r="AG8" s="10">
        <f>'Rateio Custos Fixos'!M14</f>
        <v>0</v>
      </c>
      <c r="AH8" s="10">
        <f>'Rateio Custos Fixos'!N14</f>
        <v>0</v>
      </c>
      <c r="AI8" s="10">
        <f>'Rateio Custos Fixos'!O14</f>
        <v>0</v>
      </c>
      <c r="AJ8" s="10">
        <f>'Rateio Custos Fixos'!P14</f>
        <v>0</v>
      </c>
      <c r="AK8" s="10">
        <f>'Rateio Custos Fixos'!Q14</f>
        <v>0</v>
      </c>
      <c r="AL8" s="10">
        <f>'Rateio Custos Fixos'!R14</f>
        <v>0</v>
      </c>
      <c r="AM8" s="10">
        <f>'Rateio Custos Fixos'!S14</f>
        <v>0</v>
      </c>
      <c r="AN8" s="10">
        <f>'Rateio Custos Fixos'!T14</f>
        <v>0</v>
      </c>
      <c r="AO8" s="10">
        <f>'Rateio Custos Fixos'!U14</f>
        <v>0</v>
      </c>
      <c r="AP8" s="10">
        <f t="shared" si="14"/>
        <v>0</v>
      </c>
      <c r="AQ8" s="10">
        <f t="shared" si="15"/>
        <v>0</v>
      </c>
      <c r="AR8" s="10">
        <v>2597.3166170147401</v>
      </c>
      <c r="AS8" s="10" t="e">
        <f t="shared" si="16"/>
        <v>#REF!</v>
      </c>
      <c r="AT8" s="10" t="e">
        <f t="shared" si="17"/>
        <v>#DIV/0!</v>
      </c>
      <c r="AU8" s="10" t="e">
        <f t="shared" si="18"/>
        <v>#REF!</v>
      </c>
      <c r="AV8" s="10" t="e">
        <f t="shared" si="19"/>
        <v>#DIV/0!</v>
      </c>
      <c r="AW8" s="10" t="e">
        <f>(AS8*#REF!)/'Est. Cust. Naci.'!H8</f>
        <v>#REF!</v>
      </c>
      <c r="AX8" s="10">
        <f t="shared" si="20"/>
        <v>0</v>
      </c>
      <c r="AY8" s="116"/>
    </row>
    <row r="9" spans="1:55" x14ac:dyDescent="0.25">
      <c r="B9">
        <f>'LISTA DE COMPRAS'!A8</f>
        <v>4</v>
      </c>
      <c r="C9" s="79">
        <f>'LISTA DE COMPRAS'!C8</f>
        <v>0</v>
      </c>
      <c r="G9" s="114">
        <f>'LISTA DE COMPRAS'!D9</f>
        <v>0</v>
      </c>
      <c r="H9" s="2">
        <f>'LISTA DE COMPRAS'!J8</f>
        <v>0</v>
      </c>
      <c r="I9" s="115">
        <f>'LISTA DE COMPRAS'!P8</f>
        <v>0</v>
      </c>
      <c r="J9" s="12">
        <f>'LISTA DE COMPRAS'!K8</f>
        <v>0</v>
      </c>
      <c r="K9" s="12">
        <f t="shared" si="5"/>
        <v>0</v>
      </c>
      <c r="L9" s="10">
        <f t="shared" si="6"/>
        <v>0</v>
      </c>
      <c r="M9" s="10">
        <f t="shared" si="7"/>
        <v>0</v>
      </c>
      <c r="N9" s="4">
        <f t="shared" si="8"/>
        <v>0</v>
      </c>
      <c r="O9" s="10">
        <f>'Rateio Custos Fixos'!E15</f>
        <v>0</v>
      </c>
      <c r="P9" s="10">
        <f t="shared" si="9"/>
        <v>0</v>
      </c>
      <c r="Q9" s="10">
        <f t="shared" si="10"/>
        <v>0</v>
      </c>
      <c r="R9" s="10">
        <f t="shared" si="3"/>
        <v>0</v>
      </c>
      <c r="S9" s="10">
        <f t="shared" si="11"/>
        <v>0</v>
      </c>
      <c r="T9" s="10">
        <f t="shared" si="12"/>
        <v>0</v>
      </c>
      <c r="U9" s="10"/>
      <c r="V9" s="10">
        <f t="shared" si="12"/>
        <v>0</v>
      </c>
      <c r="W9" s="10">
        <f t="shared" si="4"/>
        <v>0</v>
      </c>
      <c r="X9" s="10">
        <f t="shared" si="13"/>
        <v>0</v>
      </c>
      <c r="Y9" s="10" t="e">
        <f>SUM(#REF!)</f>
        <v>#REF!</v>
      </c>
      <c r="Z9" s="10">
        <f>'Rateio Custos Fixos'!F15</f>
        <v>0</v>
      </c>
      <c r="AA9" s="10">
        <f>'Rateio Custos Fixos'!G15</f>
        <v>0</v>
      </c>
      <c r="AB9" s="10">
        <f>'Rateio Custos Fixos'!H15</f>
        <v>0</v>
      </c>
      <c r="AC9" s="10">
        <f>'Rateio Custos Fixos'!I15</f>
        <v>0</v>
      </c>
      <c r="AD9" s="10">
        <f>'Rateio Custos Fixos'!J15</f>
        <v>0</v>
      </c>
      <c r="AE9" s="10">
        <f>'Rateio Custos Fixos'!K15</f>
        <v>0</v>
      </c>
      <c r="AF9" s="10">
        <f>'Rateio Custos Fixos'!L15</f>
        <v>0</v>
      </c>
      <c r="AG9" s="10">
        <f>'Rateio Custos Fixos'!M15</f>
        <v>0</v>
      </c>
      <c r="AH9" s="10">
        <f>'Rateio Custos Fixos'!N15</f>
        <v>0</v>
      </c>
      <c r="AI9" s="10">
        <f>'Rateio Custos Fixos'!O15</f>
        <v>0</v>
      </c>
      <c r="AJ9" s="10">
        <f>'Rateio Custos Fixos'!P15</f>
        <v>0</v>
      </c>
      <c r="AK9" s="10">
        <f>'Rateio Custos Fixos'!Q15</f>
        <v>0</v>
      </c>
      <c r="AL9" s="10">
        <f>'Rateio Custos Fixos'!R15</f>
        <v>0</v>
      </c>
      <c r="AM9" s="10">
        <f>'Rateio Custos Fixos'!S15</f>
        <v>0</v>
      </c>
      <c r="AN9" s="10">
        <f>'Rateio Custos Fixos'!T15</f>
        <v>0</v>
      </c>
      <c r="AO9" s="10">
        <f>'Rateio Custos Fixos'!U15</f>
        <v>0</v>
      </c>
      <c r="AP9" s="10">
        <f t="shared" si="14"/>
        <v>0</v>
      </c>
      <c r="AQ9" s="10">
        <f t="shared" si="15"/>
        <v>0</v>
      </c>
      <c r="AR9" s="10">
        <v>2598.3166170147401</v>
      </c>
      <c r="AS9" s="10" t="e">
        <f t="shared" si="16"/>
        <v>#REF!</v>
      </c>
      <c r="AT9" s="10" t="e">
        <f t="shared" si="17"/>
        <v>#DIV/0!</v>
      </c>
      <c r="AU9" s="10" t="e">
        <f t="shared" si="18"/>
        <v>#REF!</v>
      </c>
      <c r="AV9" s="10" t="e">
        <f t="shared" si="19"/>
        <v>#DIV/0!</v>
      </c>
      <c r="AW9" s="10" t="e">
        <f>(AS9*#REF!)/'Est. Cust. Naci.'!H9</f>
        <v>#REF!</v>
      </c>
      <c r="AX9" s="10">
        <f t="shared" si="20"/>
        <v>0</v>
      </c>
      <c r="AY9" s="116"/>
    </row>
    <row r="10" spans="1:55" x14ac:dyDescent="0.25">
      <c r="B10">
        <f>'LISTA DE COMPRAS'!A9</f>
        <v>5</v>
      </c>
      <c r="C10" s="79">
        <f>'LISTA DE COMPRAS'!C9</f>
        <v>0</v>
      </c>
      <c r="G10" s="114" t="e">
        <f>'LISTA DE COMPRAS'!#REF!</f>
        <v>#REF!</v>
      </c>
      <c r="H10" s="2">
        <f>'LISTA DE COMPRAS'!J9</f>
        <v>0</v>
      </c>
      <c r="I10" s="115">
        <f>'LISTA DE COMPRAS'!P9</f>
        <v>0</v>
      </c>
      <c r="J10" s="12">
        <f>'LISTA DE COMPRAS'!K9</f>
        <v>0</v>
      </c>
      <c r="K10" s="12">
        <f t="shared" si="5"/>
        <v>0</v>
      </c>
      <c r="L10" s="10">
        <f t="shared" si="6"/>
        <v>0</v>
      </c>
      <c r="M10" s="10">
        <f t="shared" si="7"/>
        <v>0</v>
      </c>
      <c r="N10" s="4">
        <f t="shared" si="8"/>
        <v>0</v>
      </c>
      <c r="O10" s="10">
        <f>'Rateio Custos Fixos'!E16</f>
        <v>0</v>
      </c>
      <c r="P10" s="10">
        <f t="shared" si="9"/>
        <v>0</v>
      </c>
      <c r="Q10" s="10">
        <f t="shared" si="10"/>
        <v>0</v>
      </c>
      <c r="R10" s="10">
        <f t="shared" si="3"/>
        <v>0</v>
      </c>
      <c r="S10" s="10">
        <f t="shared" si="11"/>
        <v>0</v>
      </c>
      <c r="T10" s="10">
        <f t="shared" si="12"/>
        <v>0</v>
      </c>
      <c r="U10" s="10"/>
      <c r="V10" s="10">
        <f t="shared" si="12"/>
        <v>0</v>
      </c>
      <c r="W10" s="10">
        <f t="shared" si="4"/>
        <v>0</v>
      </c>
      <c r="X10" s="10">
        <f t="shared" si="13"/>
        <v>0</v>
      </c>
      <c r="Y10" s="10" t="e">
        <f>SUM(#REF!)</f>
        <v>#REF!</v>
      </c>
      <c r="Z10" s="10">
        <f>'Rateio Custos Fixos'!F16</f>
        <v>0</v>
      </c>
      <c r="AA10" s="10">
        <f>'Rateio Custos Fixos'!G16</f>
        <v>0</v>
      </c>
      <c r="AB10" s="10">
        <f>'Rateio Custos Fixos'!H16</f>
        <v>0</v>
      </c>
      <c r="AC10" s="10">
        <f>'Rateio Custos Fixos'!I16</f>
        <v>0</v>
      </c>
      <c r="AD10" s="10">
        <f>'Rateio Custos Fixos'!J16</f>
        <v>0</v>
      </c>
      <c r="AE10" s="10">
        <f>'Rateio Custos Fixos'!K16</f>
        <v>0</v>
      </c>
      <c r="AF10" s="10">
        <f>'Rateio Custos Fixos'!L16</f>
        <v>0</v>
      </c>
      <c r="AG10" s="10">
        <f>'Rateio Custos Fixos'!M16</f>
        <v>0</v>
      </c>
      <c r="AH10" s="10">
        <f>'Rateio Custos Fixos'!N16</f>
        <v>0</v>
      </c>
      <c r="AI10" s="10">
        <f>'Rateio Custos Fixos'!O16</f>
        <v>0</v>
      </c>
      <c r="AJ10" s="10">
        <f>'Rateio Custos Fixos'!P16</f>
        <v>0</v>
      </c>
      <c r="AK10" s="10">
        <f>'Rateio Custos Fixos'!Q16</f>
        <v>0</v>
      </c>
      <c r="AL10" s="10">
        <f>'Rateio Custos Fixos'!R16</f>
        <v>0</v>
      </c>
      <c r="AM10" s="10">
        <f>'Rateio Custos Fixos'!S16</f>
        <v>0</v>
      </c>
      <c r="AN10" s="10">
        <f>'Rateio Custos Fixos'!T16</f>
        <v>0</v>
      </c>
      <c r="AO10" s="10">
        <f>'Rateio Custos Fixos'!U16</f>
        <v>0</v>
      </c>
      <c r="AP10" s="10">
        <f t="shared" si="14"/>
        <v>0</v>
      </c>
      <c r="AQ10" s="10">
        <f t="shared" si="15"/>
        <v>0</v>
      </c>
      <c r="AR10" s="10">
        <v>2599.3166170147401</v>
      </c>
      <c r="AS10" s="10" t="e">
        <f t="shared" si="16"/>
        <v>#REF!</v>
      </c>
      <c r="AT10" s="10" t="e">
        <f t="shared" si="17"/>
        <v>#DIV/0!</v>
      </c>
      <c r="AU10" s="10" t="e">
        <f t="shared" si="18"/>
        <v>#REF!</v>
      </c>
      <c r="AV10" s="10" t="e">
        <f t="shared" si="19"/>
        <v>#DIV/0!</v>
      </c>
      <c r="AW10" s="10" t="e">
        <f>(AS10*#REF!)/'Est. Cust. Naci.'!H10</f>
        <v>#REF!</v>
      </c>
      <c r="AX10" s="10">
        <f t="shared" si="20"/>
        <v>0</v>
      </c>
      <c r="AY10" s="116"/>
    </row>
    <row r="11" spans="1:55" x14ac:dyDescent="0.25">
      <c r="B11">
        <f>'LISTA DE COMPRAS'!A10</f>
        <v>0</v>
      </c>
    </row>
    <row r="14" spans="1:55" x14ac:dyDescent="0.25">
      <c r="L14" t="e" vm="1">
        <v>#VALUE!</v>
      </c>
      <c r="N14" s="10">
        <v>5.23</v>
      </c>
    </row>
  </sheetData>
  <autoFilter ref="A4:BA6" xr:uid="{5657F730-3338-4C15-B194-26A8EB2D236B}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757A-B503-465F-94ED-BC0767E10E0A}">
  <dimension ref="A1:V17"/>
  <sheetViews>
    <sheetView zoomScale="110" zoomScaleNormal="110" workbookViewId="0">
      <selection activeCell="B4" sqref="B4"/>
    </sheetView>
  </sheetViews>
  <sheetFormatPr defaultRowHeight="15" x14ac:dyDescent="0.25"/>
  <cols>
    <col min="1" max="1" width="10.5703125" bestFit="1" customWidth="1"/>
    <col min="2" max="2" width="12.5703125" customWidth="1"/>
    <col min="3" max="3" width="14.28515625" bestFit="1" customWidth="1"/>
    <col min="4" max="4" width="9.140625" customWidth="1"/>
    <col min="5" max="5" width="16.28515625" customWidth="1"/>
    <col min="6" max="10" width="15.7109375" customWidth="1"/>
    <col min="11" max="11" width="19.7109375" bestFit="1" customWidth="1"/>
    <col min="12" max="21" width="15.7109375" customWidth="1"/>
    <col min="22" max="22" width="15.42578125" bestFit="1" customWidth="1"/>
  </cols>
  <sheetData>
    <row r="1" spans="1:22" x14ac:dyDescent="0.25">
      <c r="A1" t="s">
        <v>97</v>
      </c>
      <c r="F1" t="s">
        <v>98</v>
      </c>
      <c r="G1" s="2" t="s">
        <v>15</v>
      </c>
    </row>
    <row r="2" spans="1:22" x14ac:dyDescent="0.25">
      <c r="F2" s="12">
        <v>3200</v>
      </c>
      <c r="G2" s="10">
        <f>F2*B3</f>
        <v>16736</v>
      </c>
    </row>
    <row r="3" spans="1:22" x14ac:dyDescent="0.25">
      <c r="A3" t="e" vm="1">
        <v>#VALUE!</v>
      </c>
      <c r="B3" s="10">
        <v>5.23</v>
      </c>
      <c r="F3" s="10">
        <v>1900</v>
      </c>
      <c r="G3" s="10">
        <f>F3</f>
        <v>1900</v>
      </c>
    </row>
    <row r="4" spans="1:22" x14ac:dyDescent="0.25">
      <c r="A4" t="e" vm="2">
        <v>#VALUE!</v>
      </c>
      <c r="B4" s="10" cm="1">
        <f t="array" aca="1" ref="B4" ca="1">_FV(A4,"Preço")</f>
        <v>5.9729999999999999</v>
      </c>
      <c r="F4" t="s">
        <v>50</v>
      </c>
      <c r="G4" s="10">
        <f>SUM(G2:G3)</f>
        <v>18636</v>
      </c>
    </row>
    <row r="5" spans="1:22" x14ac:dyDescent="0.25">
      <c r="G5" s="12">
        <f>G4/B3</f>
        <v>3563.2887189292542</v>
      </c>
    </row>
    <row r="8" spans="1:22" x14ac:dyDescent="0.25">
      <c r="U8" s="4" t="e">
        <f>'Rateio Custos Fixos'!#REF!</f>
        <v>#REF!</v>
      </c>
    </row>
    <row r="10" spans="1:22" s="2" customFormat="1" ht="45" x14ac:dyDescent="0.25">
      <c r="A10" s="5" t="s">
        <v>56</v>
      </c>
      <c r="B10" s="5" t="s">
        <v>99</v>
      </c>
      <c r="C10" s="5" t="str">
        <f>'[2]Lista de Compra'!Q2</f>
        <v>% Rateio Preço</v>
      </c>
      <c r="E10" s="6" t="s">
        <v>98</v>
      </c>
      <c r="F10" s="6" t="s">
        <v>31</v>
      </c>
      <c r="G10" s="6" t="s">
        <v>32</v>
      </c>
      <c r="H10" s="6" t="s">
        <v>85</v>
      </c>
      <c r="I10" s="6" t="s">
        <v>34</v>
      </c>
      <c r="J10" s="6" t="s">
        <v>35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110</v>
      </c>
      <c r="P10" s="6" t="s">
        <v>111</v>
      </c>
      <c r="Q10" s="6" t="s">
        <v>112</v>
      </c>
      <c r="R10" s="6" t="s">
        <v>113</v>
      </c>
      <c r="S10" s="6" t="s">
        <v>45</v>
      </c>
      <c r="T10" s="6" t="s">
        <v>46</v>
      </c>
      <c r="U10" s="6" t="s">
        <v>47</v>
      </c>
    </row>
    <row r="11" spans="1:22" x14ac:dyDescent="0.25">
      <c r="B11">
        <f>SUM(B12:B16)</f>
        <v>3920</v>
      </c>
      <c r="C11" s="7">
        <f>SUM(C12:C16)</f>
        <v>1</v>
      </c>
      <c r="E11" s="8">
        <f>G4</f>
        <v>18636</v>
      </c>
      <c r="F11" s="8">
        <v>214.5</v>
      </c>
      <c r="G11" s="8">
        <v>490</v>
      </c>
      <c r="H11" s="8">
        <f>1547</f>
        <v>1547</v>
      </c>
      <c r="I11" s="8">
        <v>48</v>
      </c>
      <c r="J11" s="8">
        <v>122</v>
      </c>
      <c r="K11" s="8">
        <f>1072.94</f>
        <v>1072.94</v>
      </c>
      <c r="L11" s="8">
        <f>774.9</f>
        <v>774.9</v>
      </c>
      <c r="M11" s="8">
        <v>29.8</v>
      </c>
      <c r="N11" s="9">
        <v>0.08</v>
      </c>
      <c r="O11" s="8">
        <v>0</v>
      </c>
      <c r="P11" s="8">
        <f>756.95</f>
        <v>756.95</v>
      </c>
      <c r="Q11" s="8">
        <f>320.33</f>
        <v>320.33</v>
      </c>
      <c r="R11" s="8">
        <f>117.45</f>
        <v>117.45</v>
      </c>
      <c r="S11" s="8">
        <v>286</v>
      </c>
      <c r="T11" s="8">
        <f>6000</f>
        <v>6000</v>
      </c>
      <c r="U11" s="8">
        <v>2400</v>
      </c>
      <c r="V11" s="10">
        <f>SUM(E11:U11)</f>
        <v>32815.950000000004</v>
      </c>
    </row>
    <row r="12" spans="1:22" x14ac:dyDescent="0.25">
      <c r="A12" s="2">
        <f>'LISTA DE COMPRAS'!A5</f>
        <v>1</v>
      </c>
      <c r="B12" s="2">
        <f>'LISTA DE COMPRAS'!J5</f>
        <v>3920</v>
      </c>
      <c r="C12" s="11">
        <f>'LISTA DE COMPRAS'!Q5</f>
        <v>1</v>
      </c>
      <c r="E12" s="165">
        <f t="shared" ref="E12:H16" si="0">E$11*$C12</f>
        <v>18636</v>
      </c>
      <c r="F12" s="165">
        <f t="shared" si="0"/>
        <v>214.5</v>
      </c>
      <c r="G12" s="165">
        <f t="shared" si="0"/>
        <v>490</v>
      </c>
      <c r="H12" s="165">
        <f t="shared" si="0"/>
        <v>1547</v>
      </c>
      <c r="I12" s="165">
        <f t="shared" ref="I12:U16" si="1">I$11*$C12</f>
        <v>48</v>
      </c>
      <c r="J12" s="165">
        <f t="shared" si="1"/>
        <v>122</v>
      </c>
      <c r="K12" s="165">
        <f t="shared" si="1"/>
        <v>1072.94</v>
      </c>
      <c r="L12" s="165">
        <f t="shared" si="1"/>
        <v>774.9</v>
      </c>
      <c r="M12" s="165">
        <f t="shared" si="1"/>
        <v>29.8</v>
      </c>
      <c r="N12" s="165">
        <f>$N$11*E12</f>
        <v>1490.88</v>
      </c>
      <c r="O12" s="165">
        <f t="shared" si="1"/>
        <v>0</v>
      </c>
      <c r="P12" s="165">
        <f t="shared" si="1"/>
        <v>756.95</v>
      </c>
      <c r="Q12" s="165">
        <f t="shared" si="1"/>
        <v>320.33</v>
      </c>
      <c r="R12" s="165">
        <f t="shared" si="1"/>
        <v>117.45</v>
      </c>
      <c r="S12" s="165">
        <f t="shared" si="1"/>
        <v>286</v>
      </c>
      <c r="T12" s="165">
        <f t="shared" si="1"/>
        <v>6000</v>
      </c>
      <c r="U12" s="165">
        <f t="shared" si="1"/>
        <v>2400</v>
      </c>
      <c r="V12" s="10"/>
    </row>
    <row r="13" spans="1:22" x14ac:dyDescent="0.25">
      <c r="A13" s="2">
        <f>'LISTA DE COMPRAS'!A6</f>
        <v>2</v>
      </c>
      <c r="B13" s="2">
        <f>'LISTA DE COMPRAS'!J6</f>
        <v>0</v>
      </c>
      <c r="C13" s="11">
        <f>'LISTA DE COMPRAS'!Q6</f>
        <v>0</v>
      </c>
      <c r="E13" s="165">
        <f t="shared" si="0"/>
        <v>0</v>
      </c>
      <c r="F13" s="165">
        <f t="shared" si="0"/>
        <v>0</v>
      </c>
      <c r="G13" s="165">
        <f t="shared" si="0"/>
        <v>0</v>
      </c>
      <c r="H13" s="165">
        <f t="shared" si="0"/>
        <v>0</v>
      </c>
      <c r="I13" s="165">
        <f t="shared" si="1"/>
        <v>0</v>
      </c>
      <c r="J13" s="165">
        <f t="shared" si="1"/>
        <v>0</v>
      </c>
      <c r="K13" s="165">
        <f t="shared" si="1"/>
        <v>0</v>
      </c>
      <c r="L13" s="165">
        <f t="shared" si="1"/>
        <v>0</v>
      </c>
      <c r="M13" s="165">
        <f t="shared" si="1"/>
        <v>0</v>
      </c>
      <c r="N13" s="165">
        <f t="shared" ref="N13:N16" si="2">$N$11*E13</f>
        <v>0</v>
      </c>
      <c r="O13" s="165">
        <f t="shared" si="1"/>
        <v>0</v>
      </c>
      <c r="P13" s="165">
        <f t="shared" si="1"/>
        <v>0</v>
      </c>
      <c r="Q13" s="165">
        <f t="shared" si="1"/>
        <v>0</v>
      </c>
      <c r="R13" s="165">
        <f t="shared" si="1"/>
        <v>0</v>
      </c>
      <c r="S13" s="165">
        <f t="shared" si="1"/>
        <v>0</v>
      </c>
      <c r="T13" s="165">
        <f t="shared" si="1"/>
        <v>0</v>
      </c>
      <c r="U13" s="165">
        <f t="shared" si="1"/>
        <v>0</v>
      </c>
      <c r="V13" s="10">
        <f>SUM(F13:U13)</f>
        <v>0</v>
      </c>
    </row>
    <row r="14" spans="1:22" x14ac:dyDescent="0.25">
      <c r="A14" s="2">
        <f>'LISTA DE COMPRAS'!A7</f>
        <v>3</v>
      </c>
      <c r="B14" s="2">
        <f>'LISTA DE COMPRAS'!J7</f>
        <v>0</v>
      </c>
      <c r="C14" s="11">
        <f>'LISTA DE COMPRAS'!Q7</f>
        <v>0</v>
      </c>
      <c r="E14" s="165">
        <f t="shared" si="0"/>
        <v>0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5">
        <f t="shared" si="1"/>
        <v>0</v>
      </c>
      <c r="J14" s="165">
        <f t="shared" si="1"/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2"/>
        <v>0</v>
      </c>
      <c r="O14" s="165">
        <f t="shared" si="1"/>
        <v>0</v>
      </c>
      <c r="P14" s="165">
        <f t="shared" si="1"/>
        <v>0</v>
      </c>
      <c r="Q14" s="165">
        <f t="shared" si="1"/>
        <v>0</v>
      </c>
      <c r="R14" s="165">
        <f t="shared" si="1"/>
        <v>0</v>
      </c>
      <c r="S14" s="165">
        <f t="shared" si="1"/>
        <v>0</v>
      </c>
      <c r="T14" s="165">
        <f t="shared" si="1"/>
        <v>0</v>
      </c>
      <c r="U14" s="165">
        <f t="shared" si="1"/>
        <v>0</v>
      </c>
      <c r="V14" s="10">
        <f>SUM(F14:U14)</f>
        <v>0</v>
      </c>
    </row>
    <row r="15" spans="1:22" x14ac:dyDescent="0.25">
      <c r="A15" s="2">
        <f>'LISTA DE COMPRAS'!A8</f>
        <v>4</v>
      </c>
      <c r="B15" s="2">
        <f>'LISTA DE COMPRAS'!J8</f>
        <v>0</v>
      </c>
      <c r="C15" s="11">
        <f>'LISTA DE COMPRAS'!Q8</f>
        <v>0</v>
      </c>
      <c r="E15" s="165">
        <f t="shared" si="0"/>
        <v>0</v>
      </c>
      <c r="F15" s="165">
        <f t="shared" si="0"/>
        <v>0</v>
      </c>
      <c r="G15" s="165">
        <f t="shared" si="0"/>
        <v>0</v>
      </c>
      <c r="H15" s="165">
        <f t="shared" si="0"/>
        <v>0</v>
      </c>
      <c r="I15" s="165">
        <f t="shared" si="1"/>
        <v>0</v>
      </c>
      <c r="J15" s="165">
        <f t="shared" si="1"/>
        <v>0</v>
      </c>
      <c r="K15" s="165">
        <f t="shared" si="1"/>
        <v>0</v>
      </c>
      <c r="L15" s="165">
        <f t="shared" si="1"/>
        <v>0</v>
      </c>
      <c r="M15" s="165">
        <f t="shared" si="1"/>
        <v>0</v>
      </c>
      <c r="N15" s="165">
        <f t="shared" si="2"/>
        <v>0</v>
      </c>
      <c r="O15" s="165">
        <f t="shared" si="1"/>
        <v>0</v>
      </c>
      <c r="P15" s="165">
        <f t="shared" si="1"/>
        <v>0</v>
      </c>
      <c r="Q15" s="165">
        <f t="shared" si="1"/>
        <v>0</v>
      </c>
      <c r="R15" s="165">
        <f t="shared" si="1"/>
        <v>0</v>
      </c>
      <c r="S15" s="165">
        <f t="shared" si="1"/>
        <v>0</v>
      </c>
      <c r="T15" s="165">
        <f t="shared" si="1"/>
        <v>0</v>
      </c>
      <c r="U15" s="165">
        <f t="shared" si="1"/>
        <v>0</v>
      </c>
      <c r="V15" s="10">
        <f>SUM(F15:U15)</f>
        <v>0</v>
      </c>
    </row>
    <row r="16" spans="1:22" x14ac:dyDescent="0.25">
      <c r="A16" s="2">
        <f>'LISTA DE COMPRAS'!A9</f>
        <v>5</v>
      </c>
      <c r="B16" s="2">
        <f>'LISTA DE COMPRAS'!J9</f>
        <v>0</v>
      </c>
      <c r="C16" s="11">
        <f>'LISTA DE COMPRAS'!Q9</f>
        <v>0</v>
      </c>
      <c r="E16" s="165">
        <f t="shared" si="0"/>
        <v>0</v>
      </c>
      <c r="F16" s="165">
        <f t="shared" si="0"/>
        <v>0</v>
      </c>
      <c r="G16" s="165">
        <f t="shared" si="0"/>
        <v>0</v>
      </c>
      <c r="H16" s="165">
        <f t="shared" si="0"/>
        <v>0</v>
      </c>
      <c r="I16" s="165">
        <f t="shared" si="1"/>
        <v>0</v>
      </c>
      <c r="J16" s="165">
        <f t="shared" si="1"/>
        <v>0</v>
      </c>
      <c r="K16" s="165">
        <f t="shared" si="1"/>
        <v>0</v>
      </c>
      <c r="L16" s="165">
        <f t="shared" si="1"/>
        <v>0</v>
      </c>
      <c r="M16" s="165">
        <f t="shared" si="1"/>
        <v>0</v>
      </c>
      <c r="N16" s="165">
        <f t="shared" si="2"/>
        <v>0</v>
      </c>
      <c r="O16" s="165">
        <f t="shared" si="1"/>
        <v>0</v>
      </c>
      <c r="P16" s="165">
        <f t="shared" si="1"/>
        <v>0</v>
      </c>
      <c r="Q16" s="165">
        <f t="shared" si="1"/>
        <v>0</v>
      </c>
      <c r="R16" s="165">
        <f t="shared" si="1"/>
        <v>0</v>
      </c>
      <c r="S16" s="165">
        <f t="shared" si="1"/>
        <v>0</v>
      </c>
      <c r="T16" s="165">
        <f t="shared" si="1"/>
        <v>0</v>
      </c>
      <c r="U16" s="165">
        <f t="shared" si="1"/>
        <v>0</v>
      </c>
    </row>
    <row r="17" spans="14:14" x14ac:dyDescent="0.25">
      <c r="N17" s="165">
        <f>SUM(N12:N16)</f>
        <v>1490.88</v>
      </c>
    </row>
  </sheetData>
  <autoFilter ref="A10:V14" xr:uid="{5321A8FE-AE3F-4721-8745-DDAAECFC927C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4c3ac-e1bd-4a3b-8663-545e021c8171">
      <Terms xmlns="http://schemas.microsoft.com/office/infopath/2007/PartnerControls"/>
    </lcf76f155ced4ddcb4097134ff3c332f>
    <TaxCatchAll xmlns="b81ac5c0-75f1-4ae4-b6c0-4c413cfcaf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0AEF83AE2E4C43860508BD3F45EFF1" ma:contentTypeVersion="14" ma:contentTypeDescription="Crie um novo documento." ma:contentTypeScope="" ma:versionID="03454f2e46f87a230baa63abe6ae244e">
  <xsd:schema xmlns:xsd="http://www.w3.org/2001/XMLSchema" xmlns:xs="http://www.w3.org/2001/XMLSchema" xmlns:p="http://schemas.microsoft.com/office/2006/metadata/properties" xmlns:ns2="c804c3ac-e1bd-4a3b-8663-545e021c8171" xmlns:ns3="b81ac5c0-75f1-4ae4-b6c0-4c413cfcaf0e" targetNamespace="http://schemas.microsoft.com/office/2006/metadata/properties" ma:root="true" ma:fieldsID="9cd5188ad430b261e2569c720ef633a1" ns2:_="" ns3:_="">
    <xsd:import namespace="c804c3ac-e1bd-4a3b-8663-545e021c8171"/>
    <xsd:import namespace="b81ac5c0-75f1-4ae4-b6c0-4c413cfcaf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4c3ac-e1bd-4a3b-8663-545e021c8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a8fb37-cb7c-4fcf-9922-39972c96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ac5c0-75f1-4ae4-b6c0-4c413cfcaf0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8f7ec9a-7396-45cd-ac8f-cf5113e83906}" ma:internalName="TaxCatchAll" ma:showField="CatchAllData" ma:web="b81ac5c0-75f1-4ae4-b6c0-4c413cfcaf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41F5FF-EE68-4068-BD7D-DCE5A4344D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CC087-B854-4AB5-A8C7-841F2D11F111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b81ac5c0-75f1-4ae4-b6c0-4c413cfcaf0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804c3ac-e1bd-4a3b-8663-545e021c817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B39A7F-7243-4ECC-8080-2D6AF6630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04c3ac-e1bd-4a3b-8663-545e021c8171"/>
    <ds:schemaRef ds:uri="b81ac5c0-75f1-4ae4-b6c0-4c413cfcaf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Resumo 100%</vt:lpstr>
      <vt:lpstr>LISTA DE COMPRAS</vt:lpstr>
      <vt:lpstr>Est. Cust. Naci.</vt:lpstr>
      <vt:lpstr>Rateio Custos Fixos</vt:lpstr>
      <vt:lpstr>'Resumo 100%'!Area_de_impressao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Leticia Nassif</dc:creator>
  <cp:keywords/>
  <dc:description/>
  <cp:lastModifiedBy>Gabriel Thomé de Albuquerque</cp:lastModifiedBy>
  <cp:revision/>
  <cp:lastPrinted>2026-03-23T19:21:49Z</cp:lastPrinted>
  <dcterms:created xsi:type="dcterms:W3CDTF">2023-06-07T20:41:43Z</dcterms:created>
  <dcterms:modified xsi:type="dcterms:W3CDTF">2026-03-30T19:46:00Z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</Properties>
</file>