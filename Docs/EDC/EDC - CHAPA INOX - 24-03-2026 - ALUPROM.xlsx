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Wise\Downloads\"/>
    </mc:Choice>
  </mc:AlternateContent>
  <xr:revisionPtr revIDLastSave="0" documentId="8_{4E09B0D4-9F75-437F-8280-72867BC7BE66}" xr6:coauthVersionLast="47" xr6:coauthVersionMax="47" xr10:uidLastSave="{00000000-0000-0000-0000-000000000000}"/>
  <bookViews>
    <workbookView xWindow="-120" yWindow="-120" windowWidth="20730" windowHeight="11160" xr2:uid="{0BB83204-0EE9-47D4-952E-D1C8855D8B54}"/>
  </bookViews>
  <sheets>
    <sheet name="Resumo 100%" sheetId="10" r:id="rId1"/>
    <sheet name="LISTA DE COMPRAS" sheetId="4" r:id="rId2"/>
    <sheet name="Est. Cust. Naci." sheetId="9" r:id="rId3"/>
    <sheet name="Rateio Custos Fixos" sheetId="5" r:id="rId4"/>
  </sheets>
  <externalReferences>
    <externalReference r:id="rId5"/>
    <externalReference r:id="rId6"/>
  </externalReferences>
  <definedNames>
    <definedName name="_xlnm._FilterDatabase" localSheetId="2" hidden="1">'Est. Cust. Naci.'!$A$4:$AO$6</definedName>
    <definedName name="_xlnm._FilterDatabase" localSheetId="3" hidden="1">'Rateio Custos Fixos'!$A$10:$V$16</definedName>
    <definedName name="_xlnm._FilterDatabase" localSheetId="0" hidden="1">'Resumo 100%'!$B$5:$G$49</definedName>
    <definedName name="_xlnm.Print_Area" localSheetId="0">'Resumo 100%'!$B$1:$G$56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10" l="1"/>
  <c r="G44" i="10"/>
  <c r="G43" i="10"/>
  <c r="G42" i="10"/>
  <c r="G41" i="10"/>
  <c r="G40" i="10"/>
  <c r="G37" i="10"/>
  <c r="G36" i="10"/>
  <c r="G35" i="10"/>
  <c r="G34" i="10"/>
  <c r="G33" i="10"/>
  <c r="G32" i="10"/>
  <c r="G31" i="10"/>
  <c r="G30" i="10"/>
  <c r="C15" i="10"/>
  <c r="V4" i="9"/>
  <c r="U4" i="9"/>
  <c r="C26" i="10" s="1"/>
  <c r="T4" i="9"/>
  <c r="C25" i="10" s="1"/>
  <c r="S4" i="9"/>
  <c r="C24" i="10" s="1"/>
  <c r="R4" i="9"/>
  <c r="C23" i="10"/>
  <c r="F12" i="10"/>
  <c r="B15" i="10"/>
  <c r="G9" i="10"/>
  <c r="S41" i="9" l="1"/>
  <c r="S42" i="9"/>
  <c r="S40" i="9"/>
  <c r="S39" i="9"/>
  <c r="S38" i="9"/>
  <c r="S5" i="9"/>
  <c r="P43" i="9"/>
  <c r="Y35" i="9"/>
  <c r="A14" i="5" l="1"/>
  <c r="B14" i="5"/>
  <c r="K4" i="4"/>
  <c r="J4" i="4"/>
  <c r="G39" i="10" l="1"/>
  <c r="E15" i="10"/>
  <c r="F15" i="10" s="1"/>
  <c r="B52" i="10"/>
  <c r="B51" i="10"/>
  <c r="B50" i="10"/>
  <c r="B49" i="10"/>
  <c r="L20" i="10"/>
  <c r="K20" i="10"/>
  <c r="J20" i="10"/>
  <c r="I20" i="10"/>
  <c r="L19" i="10"/>
  <c r="K19" i="10"/>
  <c r="J19" i="10"/>
  <c r="I19" i="10"/>
  <c r="L18" i="10"/>
  <c r="K18" i="10"/>
  <c r="J18" i="10"/>
  <c r="I18" i="10"/>
  <c r="L17" i="10"/>
  <c r="K17" i="10"/>
  <c r="J17" i="10"/>
  <c r="I17" i="10"/>
  <c r="L14" i="10"/>
  <c r="K14" i="10"/>
  <c r="J14" i="10"/>
  <c r="I14" i="10"/>
  <c r="L4" i="9"/>
  <c r="M20" i="10" l="1"/>
  <c r="N20" i="10" s="1"/>
  <c r="O20" i="10" s="1"/>
  <c r="M19" i="10"/>
  <c r="N19" i="10" s="1"/>
  <c r="O19" i="10" s="1"/>
  <c r="M18" i="10"/>
  <c r="N18" i="10" s="1"/>
  <c r="O18" i="10" s="1"/>
  <c r="M14" i="10"/>
  <c r="N14" i="10" s="1"/>
  <c r="O14" i="10" s="1"/>
  <c r="M17" i="10"/>
  <c r="N17" i="10" s="1"/>
  <c r="O17" i="10" s="1"/>
  <c r="T5" i="9"/>
  <c r="U5" i="9"/>
  <c r="V5" i="9"/>
  <c r="R5" i="9"/>
  <c r="J6" i="9"/>
  <c r="H6" i="9"/>
  <c r="G6" i="9"/>
  <c r="C6" i="9"/>
  <c r="B6" i="9"/>
  <c r="AW6" i="9" l="1"/>
  <c r="AX6" i="9" s="1"/>
  <c r="F16" i="10"/>
  <c r="B62" i="10" s="1"/>
  <c r="K6" i="9"/>
  <c r="L6" i="9" s="1"/>
  <c r="M6" i="9" l="1"/>
  <c r="AP14" i="9"/>
  <c r="B13" i="5" l="1"/>
  <c r="A13" i="5"/>
  <c r="L5" i="4"/>
  <c r="M5" i="4"/>
  <c r="N5" i="4" s="1"/>
  <c r="M4" i="4" l="1"/>
  <c r="B12" i="5"/>
  <c r="B11" i="5" s="1"/>
  <c r="A12" i="5"/>
  <c r="B4" i="5" a="1"/>
  <c r="B4" i="5" s="1"/>
  <c r="G3" i="5"/>
  <c r="G2" i="5"/>
  <c r="C10" i="5"/>
  <c r="U8" i="5"/>
  <c r="G4" i="5" l="1"/>
  <c r="G5" i="5" s="1"/>
  <c r="C14" i="5"/>
  <c r="D12" i="10"/>
  <c r="Q5" i="4"/>
  <c r="E11" i="5" l="1"/>
  <c r="E14" i="5" s="1"/>
  <c r="Q14" i="5"/>
  <c r="R14" i="5"/>
  <c r="F14" i="5"/>
  <c r="S14" i="5"/>
  <c r="G14" i="5"/>
  <c r="T14" i="5"/>
  <c r="H14" i="5"/>
  <c r="U14" i="5"/>
  <c r="I14" i="5"/>
  <c r="J14" i="5"/>
  <c r="K14" i="5"/>
  <c r="L14" i="5"/>
  <c r="M14" i="5"/>
  <c r="P14" i="5"/>
  <c r="O14" i="5"/>
  <c r="G15" i="10"/>
  <c r="D62" i="10"/>
  <c r="C13" i="5"/>
  <c r="M13" i="5" s="1"/>
  <c r="AF6" i="9" s="1"/>
  <c r="I6" i="9"/>
  <c r="C12" i="5"/>
  <c r="H12" i="5" s="1"/>
  <c r="F19" i="10"/>
  <c r="N17" i="5" l="1"/>
  <c r="E13" i="5"/>
  <c r="G16" i="10"/>
  <c r="G19" i="10"/>
  <c r="G38" i="10" s="1"/>
  <c r="G46" i="10" s="1"/>
  <c r="N14" i="5"/>
  <c r="P13" i="5"/>
  <c r="AI6" i="9" s="1"/>
  <c r="S13" i="5"/>
  <c r="AL6" i="9" s="1"/>
  <c r="U13" i="5"/>
  <c r="AN6" i="9" s="1"/>
  <c r="F13" i="5"/>
  <c r="Y6" i="9" s="1"/>
  <c r="H13" i="5"/>
  <c r="AA6" i="9" s="1"/>
  <c r="K13" i="5"/>
  <c r="AD6" i="9" s="1"/>
  <c r="Q13" i="5"/>
  <c r="AJ6" i="9" s="1"/>
  <c r="R13" i="5"/>
  <c r="AK6" i="9" s="1"/>
  <c r="I13" i="5"/>
  <c r="AB6" i="9" s="1"/>
  <c r="T13" i="5"/>
  <c r="AM6" i="9" s="1"/>
  <c r="L13" i="5"/>
  <c r="AE6" i="9" s="1"/>
  <c r="J13" i="5"/>
  <c r="AC6" i="9" s="1"/>
  <c r="O13" i="5"/>
  <c r="AH6" i="9" s="1"/>
  <c r="G13" i="5"/>
  <c r="Z6" i="9" s="1"/>
  <c r="M12" i="5"/>
  <c r="N6" i="9"/>
  <c r="I12" i="5"/>
  <c r="P12" i="5"/>
  <c r="J12" i="5"/>
  <c r="F12" i="5"/>
  <c r="S12" i="5"/>
  <c r="Q12" i="5"/>
  <c r="O12" i="5"/>
  <c r="K12" i="5"/>
  <c r="L12" i="5"/>
  <c r="R12" i="5"/>
  <c r="T12" i="5"/>
  <c r="U12" i="5"/>
  <c r="G12" i="5"/>
  <c r="C11" i="5"/>
  <c r="E12" i="5"/>
  <c r="G17" i="10" l="1"/>
  <c r="G20" i="10" s="1"/>
  <c r="H15" i="5"/>
  <c r="H16" i="5" s="1"/>
  <c r="E15" i="5"/>
  <c r="F15" i="5"/>
  <c r="F16" i="5" s="1"/>
  <c r="G15" i="5"/>
  <c r="G16" i="5" s="1"/>
  <c r="T15" i="5"/>
  <c r="T16" i="5" s="1"/>
  <c r="M15" i="5"/>
  <c r="M16" i="5" s="1"/>
  <c r="P15" i="5"/>
  <c r="P16" i="5" s="1"/>
  <c r="I15" i="5"/>
  <c r="I16" i="5" s="1"/>
  <c r="R15" i="5"/>
  <c r="R16" i="5" s="1"/>
  <c r="L15" i="5"/>
  <c r="L16" i="5" s="1"/>
  <c r="K15" i="5"/>
  <c r="K16" i="5" s="1"/>
  <c r="O15" i="5"/>
  <c r="O16" i="5" s="1"/>
  <c r="Q15" i="5"/>
  <c r="Q16" i="5" s="1"/>
  <c r="J15" i="5"/>
  <c r="J16" i="5" s="1"/>
  <c r="S15" i="5"/>
  <c r="S16" i="5" s="1"/>
  <c r="U15" i="5"/>
  <c r="C53" i="10"/>
  <c r="O6" i="9"/>
  <c r="U16" i="5"/>
  <c r="N12" i="5"/>
  <c r="N13" i="5"/>
  <c r="AG6" i="9" s="1"/>
  <c r="P6" i="9" l="1"/>
  <c r="N15" i="5"/>
  <c r="V13" i="5"/>
  <c r="AO6" i="9"/>
  <c r="V12" i="5"/>
  <c r="E16" i="5"/>
  <c r="R6" i="9" l="1"/>
  <c r="Q6" i="9" s="1"/>
  <c r="P4" i="9"/>
  <c r="V6" i="9"/>
  <c r="AO5" i="9"/>
  <c r="U6" i="9"/>
  <c r="T6" i="9"/>
  <c r="V15" i="5"/>
  <c r="S11" i="9"/>
  <c r="U11" i="9"/>
  <c r="V11" i="9"/>
  <c r="T11" i="9"/>
  <c r="R11" i="9"/>
  <c r="N18" i="5"/>
  <c r="N16" i="5"/>
  <c r="S6" i="9" l="1"/>
  <c r="S7" i="9" s="1"/>
  <c r="T12" i="9"/>
  <c r="U12" i="9"/>
  <c r="V12" i="9"/>
  <c r="R12" i="9"/>
  <c r="S12" i="9"/>
  <c r="G24" i="10"/>
  <c r="X6" i="9"/>
  <c r="AR6" i="9" s="1"/>
  <c r="AT6" i="9" s="1"/>
  <c r="W6" i="9"/>
  <c r="U7" i="9"/>
  <c r="T7" i="9"/>
  <c r="V7" i="9"/>
  <c r="G27" i="10" s="1"/>
  <c r="R7" i="9"/>
  <c r="G23" i="10" s="1"/>
  <c r="P19" i="9"/>
  <c r="P17" i="9"/>
  <c r="G25" i="10" l="1"/>
  <c r="G26" i="10"/>
  <c r="AP6" i="9"/>
  <c r="AS6" i="9" s="1"/>
  <c r="W5" i="9"/>
  <c r="S5" i="10"/>
  <c r="X5" i="9"/>
  <c r="AR5" i="9" s="1"/>
  <c r="G28" i="10" l="1"/>
  <c r="G47" i="10" s="1"/>
  <c r="C55" i="10" s="1"/>
  <c r="C54" i="10" s="1"/>
  <c r="C56" i="10" s="1"/>
  <c r="AZ6" i="9"/>
  <c r="AP5" i="9"/>
  <c r="AP16" i="9" s="1"/>
  <c r="O14" i="9"/>
  <c r="AV6" i="9"/>
  <c r="G52" i="10"/>
  <c r="G50" i="10"/>
  <c r="P5" i="4"/>
  <c r="P18" i="9" l="1"/>
  <c r="AP15" i="9"/>
  <c r="AP17" i="9" s="1"/>
  <c r="G51" i="10"/>
  <c r="AU6" i="9" l="1"/>
  <c r="G49" i="10" s="1"/>
  <c r="S5" i="4" s="1"/>
  <c r="O5" i="4"/>
  <c r="R5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tc={0C9ECCC5-3310-412D-8782-C1D3124F4B3E}</author>
  </authors>
  <commentList>
    <comment ref="E8" authorId="0" shapeId="0" xr:uid="{0C9ECCC5-3310-412D-8782-C1D3124F4B3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Notar que regime tributário é o Simples Nacional, portanto a função não impacta no cálculo de impostos.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1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<sst xmlns="http://schemas.openxmlformats.org/spreadsheetml/2006/main" count="179" uniqueCount="124">
  <si>
    <t>Estimativa de Custo 100%</t>
  </si>
  <si>
    <t>CLIENTE: ALUPLOM</t>
  </si>
  <si>
    <t>REGIME TRIBUTÁRIO: PRESUMIDO</t>
  </si>
  <si>
    <t>USO: INDUSTRIALIZAÇÃO</t>
  </si>
  <si>
    <t>CONSIDERAR ICMS 6%</t>
  </si>
  <si>
    <t>Valor das despesas</t>
  </si>
  <si>
    <t>PRODUTO: CHAPA DE AÇO INOX</t>
  </si>
  <si>
    <t>PORTO SAÍDA: SHANGHAI</t>
  </si>
  <si>
    <t>Custo total</t>
  </si>
  <si>
    <t>FRETE: FCL</t>
  </si>
  <si>
    <t>PORTO ENTRADA: PARANGUÁ</t>
  </si>
  <si>
    <t>SIMULAÇÃO 100%</t>
  </si>
  <si>
    <t xml:space="preserve">REFERÊNCIA CÁLCULO BASE </t>
  </si>
  <si>
    <t>R$/USD:</t>
  </si>
  <si>
    <t>NCM:</t>
  </si>
  <si>
    <t>VALORES ADUANEIROS</t>
  </si>
  <si>
    <t>ITEM</t>
  </si>
  <si>
    <t>DESCRIÇÃO</t>
  </si>
  <si>
    <t>USD UNIT PRICE</t>
  </si>
  <si>
    <t>QTY</t>
  </si>
  <si>
    <t>BRL UNIT PRICE</t>
  </si>
  <si>
    <t>DISCRIMINAÇÃO</t>
  </si>
  <si>
    <t>PESO BRUTO</t>
  </si>
  <si>
    <t>PREÇO USD</t>
  </si>
  <si>
    <t>PREÇO TOTAL USD</t>
  </si>
  <si>
    <t>R$</t>
  </si>
  <si>
    <t>TOTAL FOB</t>
  </si>
  <si>
    <t>PRODUTO + FRETE</t>
  </si>
  <si>
    <t>Seguro</t>
  </si>
  <si>
    <t>Frete</t>
  </si>
  <si>
    <t>TOTAL VALOR ADUANEIRO</t>
  </si>
  <si>
    <t>IMPOSTOS</t>
  </si>
  <si>
    <t>PERCENTUAL</t>
  </si>
  <si>
    <t>VALOR (R$)</t>
  </si>
  <si>
    <t xml:space="preserve">IMPOSTO. IMPORTAÇÃO  </t>
  </si>
  <si>
    <t xml:space="preserve">IPI </t>
  </si>
  <si>
    <t>PIS</t>
  </si>
  <si>
    <t>COFINS</t>
  </si>
  <si>
    <t>ICMS</t>
  </si>
  <si>
    <t>TOTAL VALOR IMPOSTOS</t>
  </si>
  <si>
    <t>TAXAS PORTUÁRIAS</t>
  </si>
  <si>
    <t>TAXA SISCOMEX</t>
  </si>
  <si>
    <t>LIBERAÇÃO DE B/L</t>
  </si>
  <si>
    <t>T.H.C|CAPATAZIA</t>
  </si>
  <si>
    <t>ISPS</t>
  </si>
  <si>
    <t>DAMAGE PROTECTION</t>
  </si>
  <si>
    <t>DESCONSOLIDAÇÃO</t>
  </si>
  <si>
    <t>DEVOLUÇÃO DE CONTAINER</t>
  </si>
  <si>
    <t>TRS</t>
  </si>
  <si>
    <t>AFRMM</t>
  </si>
  <si>
    <t xml:space="preserve">ARMAZENAGEM </t>
  </si>
  <si>
    <t xml:space="preserve">SCANNER </t>
  </si>
  <si>
    <t xml:space="preserve">HANDLING </t>
  </si>
  <si>
    <t xml:space="preserve">PESAGEM </t>
  </si>
  <si>
    <t xml:space="preserve">TAXA DO PARCEIRO </t>
  </si>
  <si>
    <t>FRETE RODOVIÁRIO</t>
  </si>
  <si>
    <t>DESEMBARAÇO ADUANEIRO</t>
  </si>
  <si>
    <t>TOTAL VALOR DESEMBARAÇO ADUANEIRO</t>
  </si>
  <si>
    <t>TOTAL   (PARTE 1 + PARTE 2 + PARTE 3) ........................................................:</t>
  </si>
  <si>
    <t>TOTAL</t>
  </si>
  <si>
    <t>PREÇO FOB</t>
  </si>
  <si>
    <t>DESPESAS</t>
  </si>
  <si>
    <t>% DESPESAS/FOB</t>
  </si>
  <si>
    <t>LISTA DE COMPRA</t>
  </si>
  <si>
    <t>Item</t>
  </si>
  <si>
    <t>Produto</t>
  </si>
  <si>
    <t>NCM</t>
  </si>
  <si>
    <t>II</t>
  </si>
  <si>
    <t>IPI</t>
  </si>
  <si>
    <t>Quantidade (kg)</t>
  </si>
  <si>
    <t>Preço Unitário</t>
  </si>
  <si>
    <t>Preço Unitário Sub 50%</t>
  </si>
  <si>
    <t>Preço total por produto</t>
  </si>
  <si>
    <t>Preço total por produto Sub</t>
  </si>
  <si>
    <t>% Rateio Quantidade</t>
  </si>
  <si>
    <t>% Rateio Preço</t>
  </si>
  <si>
    <t>Preço R$ Quilo nacionalizado</t>
  </si>
  <si>
    <t>Preço R$ Rolo nancionalizado</t>
  </si>
  <si>
    <t>Chapa de aço Inox</t>
  </si>
  <si>
    <t>DETALHES DO PRODUTO</t>
  </si>
  <si>
    <t>VALOR ADUANEIRO</t>
  </si>
  <si>
    <t>Nº</t>
  </si>
  <si>
    <t>Código</t>
  </si>
  <si>
    <t>Bitola (mm)</t>
  </si>
  <si>
    <t>Embal.</t>
  </si>
  <si>
    <t>QTD</t>
  </si>
  <si>
    <t>Preço unitário Fábrica (USD)</t>
  </si>
  <si>
    <t>Preço x QTD (Valor em USD)</t>
  </si>
  <si>
    <t>Preço x QTD (valor em BRL)</t>
  </si>
  <si>
    <t>Preço x QTD (valor em BRL) SUB</t>
  </si>
  <si>
    <t>THC (valor em BRL)</t>
  </si>
  <si>
    <t>Valor do frete (Valor em BRL)</t>
  </si>
  <si>
    <t>IMPOSTO DE IMPORTAÇÃO</t>
  </si>
  <si>
    <t>TOTAL IMPOSTOS</t>
  </si>
  <si>
    <t>TOTAL IMPOSTOS (SUB)</t>
  </si>
  <si>
    <t>T.H.C|  CAPATAZIA</t>
  </si>
  <si>
    <t>ARMAZENAGEM TCP</t>
  </si>
  <si>
    <t>SCANNER TCP</t>
  </si>
  <si>
    <t>HANDLING - TCP</t>
  </si>
  <si>
    <t>PESAGEM TCP</t>
  </si>
  <si>
    <t>TAXA DO PARCEIRO - PARANAGUÁ</t>
  </si>
  <si>
    <t>TOTAL TAXAS DESEMBARAÇO</t>
  </si>
  <si>
    <t>TOTAL (sub)</t>
  </si>
  <si>
    <t xml:space="preserve">MÉTODO ANTIGO </t>
  </si>
  <si>
    <t>MÉTODO ANTIGO (sub)</t>
  </si>
  <si>
    <t xml:space="preserve">MÉTODO DANI </t>
  </si>
  <si>
    <t>MÉTODO DANI (sub)</t>
  </si>
  <si>
    <t xml:space="preserve">MÉTODO JULIANA </t>
  </si>
  <si>
    <t>MÉTODO JULIANA (sub)</t>
  </si>
  <si>
    <t>VALOR UNITÁRIO C/ COMISSÃO SEAWISE</t>
  </si>
  <si>
    <t>AAA</t>
  </si>
  <si>
    <t xml:space="preserve"> </t>
  </si>
  <si>
    <t xml:space="preserve">                                                                                         </t>
  </si>
  <si>
    <t>fob</t>
  </si>
  <si>
    <t>despesas</t>
  </si>
  <si>
    <t>total</t>
  </si>
  <si>
    <t>despesas/fob</t>
  </si>
  <si>
    <t>CÂMBIO</t>
  </si>
  <si>
    <t>FRETE</t>
  </si>
  <si>
    <t>Quantidade</t>
  </si>
  <si>
    <t>VALOR COM IMPOSTO DE IMPORTAÇÃO</t>
  </si>
  <si>
    <t>DESPESAS ADUANEIRAS E LOGÍSTICAS</t>
  </si>
  <si>
    <t>5 DIAS DE ARMAZENAGEM</t>
  </si>
  <si>
    <t>FAVOR NOTAR QUE A ESTIMATIVA DE CUSTOS NÃO CONTEMPLA VALORES DE COMISSÃO, POIS ELES VARIAM CONFORME CONTRATO.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</si>
</sst>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R$-416]\ #,##0.00;\-[$R$-416]\ #,##0.00"/>
    <numFmt numFmtId="165" formatCode="_-[$USD]\ * #,##0.00_-;\-[$USD]\ * #,##0.00_-;_-[$USD]\ * &quot;-&quot;??_-;_-@_-"/>
    <numFmt numFmtId="166" formatCode="[$R$-416]\ #,##0.00"/>
    <numFmt numFmtId="167" formatCode="0.0%"/>
    <numFmt numFmtId="168" formatCode="_-[$R$-416]\ * #,##0.00_-;\-[$R$-416]\ * #,##0.00_-;_-[$R$-416]\ * &quot;-&quot;??_-;_-@_-"/>
    <numFmt numFmtId="169" formatCode="_-[$R$-416]\ * #,##0.0000_-;\-[$R$-416]\ * #,##0.0000_-;_-[$R$-416]\ * &quot;-&quot;????_-;_-@_-"/>
    <numFmt numFmtId="170" formatCode="_-[$$-409]* #,##0.00_ ;_-[$$-409]* \-#,##0.00\ ;_-[$$-409]* &quot;-&quot;??_ ;_-@_ "/>
    <numFmt numFmtId="171" formatCode="&quot;R$&quot;\ #,##0.00"/>
    <numFmt numFmtId="172" formatCode="_(&quot;$&quot;* #,##0.00_);_(&quot;$&quot;* \(#,##0.00\);_(&quot;$&quot;* &quot;-&quot;??_);_(@_)"/>
    <numFmt numFmtId="173" formatCode="[$USD]\ #,##0.0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4"/>
      <name val="Calibri"/>
      <family val="2"/>
      <scheme val="minor"/>
    </font>
    <font>
      <sz val="11"/>
      <color rgb="FF2A2E34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6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theme="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6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0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9" fontId="0" fillId="0" borderId="0" xfId="0" applyNumberFormat="1"/>
    <xf numFmtId="0" fontId="1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9" fontId="0" fillId="0" borderId="0" xfId="2" applyFont="1"/>
    <xf numFmtId="168" fontId="0" fillId="6" borderId="0" xfId="0" applyNumberFormat="1" applyFill="1" applyAlignment="1">
      <alignment horizontal="center" vertical="center"/>
    </xf>
    <xf numFmtId="9" fontId="0" fillId="6" borderId="0" xfId="2" applyFont="1" applyFill="1" applyAlignment="1">
      <alignment horizontal="center" vertical="center"/>
    </xf>
    <xf numFmtId="168" fontId="0" fillId="0" borderId="0" xfId="0" applyNumberFormat="1"/>
    <xf numFmtId="10" fontId="0" fillId="0" borderId="0" xfId="2" applyNumberFormat="1" applyFont="1" applyFill="1"/>
    <xf numFmtId="169" fontId="1" fillId="0" borderId="0" xfId="0" applyNumberFormat="1" applyFont="1"/>
    <xf numFmtId="170" fontId="0" fillId="0" borderId="0" xfId="0" applyNumberForma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8" fillId="7" borderId="0" xfId="0" applyFont="1" applyFill="1" applyAlignment="1">
      <alignment vertical="center"/>
    </xf>
    <xf numFmtId="168" fontId="0" fillId="0" borderId="0" xfId="0" applyNumberFormat="1" applyAlignment="1">
      <alignment vertical="center"/>
    </xf>
    <xf numFmtId="0" fontId="8" fillId="7" borderId="5" xfId="0" applyFont="1" applyFill="1" applyBorder="1" applyAlignment="1">
      <alignment horizontal="left" vertical="center"/>
    </xf>
    <xf numFmtId="0" fontId="9" fillId="7" borderId="12" xfId="0" applyFont="1" applyFill="1" applyBorder="1" applyAlignment="1">
      <alignment vertical="center"/>
    </xf>
    <xf numFmtId="0" fontId="9" fillId="7" borderId="12" xfId="0" applyFont="1" applyFill="1" applyBorder="1" applyAlignment="1">
      <alignment horizontal="center" vertical="center"/>
    </xf>
    <xf numFmtId="9" fontId="0" fillId="0" borderId="0" xfId="2" applyFont="1" applyAlignment="1">
      <alignment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right" vertical="center"/>
    </xf>
    <xf numFmtId="171" fontId="11" fillId="8" borderId="0" xfId="0" applyNumberFormat="1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2" fillId="8" borderId="5" xfId="0" applyFont="1" applyFill="1" applyBorder="1" applyAlignment="1">
      <alignment vertical="center"/>
    </xf>
    <xf numFmtId="0" fontId="3" fillId="10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8" fontId="0" fillId="0" borderId="1" xfId="0" applyNumberFormat="1" applyBorder="1"/>
    <xf numFmtId="168" fontId="0" fillId="0" borderId="1" xfId="0" applyNumberFormat="1" applyBorder="1" applyAlignment="1">
      <alignment vertical="center"/>
    </xf>
    <xf numFmtId="0" fontId="5" fillId="11" borderId="4" xfId="0" applyFont="1" applyFill="1" applyBorder="1"/>
    <xf numFmtId="0" fontId="5" fillId="11" borderId="0" xfId="3" applyNumberFormat="1" applyFont="1" applyFill="1" applyAlignment="1">
      <alignment vertical="center"/>
    </xf>
    <xf numFmtId="1" fontId="5" fillId="11" borderId="0" xfId="4" applyNumberFormat="1" applyFont="1" applyFill="1" applyAlignment="1">
      <alignment horizontal="center" vertical="center"/>
    </xf>
    <xf numFmtId="0" fontId="5" fillId="0" borderId="4" xfId="0" applyFont="1" applyBorder="1" applyAlignment="1">
      <alignment vertical="center"/>
    </xf>
    <xf numFmtId="172" fontId="5" fillId="0" borderId="0" xfId="3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164" fontId="7" fillId="0" borderId="13" xfId="0" applyNumberFormat="1" applyFont="1" applyBorder="1" applyAlignment="1">
      <alignment vertical="center"/>
    </xf>
    <xf numFmtId="164" fontId="7" fillId="0" borderId="14" xfId="0" applyNumberFormat="1" applyFont="1" applyBorder="1" applyAlignment="1">
      <alignment vertical="center"/>
    </xf>
    <xf numFmtId="0" fontId="7" fillId="11" borderId="4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11" borderId="5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left" vertical="center"/>
    </xf>
    <xf numFmtId="43" fontId="0" fillId="0" borderId="0" xfId="0" applyNumberFormat="1" applyAlignment="1">
      <alignment vertical="center"/>
    </xf>
    <xf numFmtId="0" fontId="5" fillId="0" borderId="4" xfId="0" applyFont="1" applyBorder="1"/>
    <xf numFmtId="0" fontId="5" fillId="0" borderId="0" xfId="0" applyFont="1"/>
    <xf numFmtId="0" fontId="0" fillId="0" borderId="0" xfId="0" applyAlignment="1">
      <alignment horizontal="left" vertical="center"/>
    </xf>
    <xf numFmtId="9" fontId="5" fillId="0" borderId="0" xfId="2" applyFont="1"/>
    <xf numFmtId="171" fontId="7" fillId="0" borderId="14" xfId="0" applyNumberFormat="1" applyFont="1" applyBorder="1" applyAlignment="1">
      <alignment vertical="center"/>
    </xf>
    <xf numFmtId="0" fontId="8" fillId="12" borderId="6" xfId="0" applyFont="1" applyFill="1" applyBorder="1" applyAlignment="1">
      <alignment horizontal="left" vertical="center"/>
    </xf>
    <xf numFmtId="0" fontId="11" fillId="12" borderId="12" xfId="0" applyFont="1" applyFill="1" applyBorder="1" applyAlignment="1">
      <alignment horizontal="left" vertical="center"/>
    </xf>
    <xf numFmtId="0" fontId="11" fillId="12" borderId="7" xfId="0" applyFont="1" applyFill="1" applyBorder="1" applyAlignment="1">
      <alignment horizontal="left" vertical="center"/>
    </xf>
    <xf numFmtId="166" fontId="8" fillId="12" borderId="11" xfId="0" applyNumberFormat="1" applyFont="1" applyFill="1" applyBorder="1" applyAlignment="1">
      <alignment horizontal="right"/>
    </xf>
    <xf numFmtId="0" fontId="7" fillId="0" borderId="2" xfId="0" applyFont="1" applyBorder="1" applyAlignment="1">
      <alignment vertical="center"/>
    </xf>
    <xf numFmtId="164" fontId="7" fillId="0" borderId="9" xfId="0" applyNumberFormat="1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166" fontId="7" fillId="0" borderId="0" xfId="0" applyNumberFormat="1" applyFont="1" applyAlignment="1">
      <alignment vertical="center"/>
    </xf>
    <xf numFmtId="0" fontId="5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9" fontId="7" fillId="0" borderId="12" xfId="2" applyFont="1" applyBorder="1" applyAlignment="1">
      <alignment vertical="center"/>
    </xf>
    <xf numFmtId="0" fontId="5" fillId="0" borderId="7" xfId="0" applyFont="1" applyBorder="1" applyAlignment="1">
      <alignment vertical="center"/>
    </xf>
    <xf numFmtId="165" fontId="5" fillId="0" borderId="0" xfId="0" applyNumberFormat="1" applyFont="1" applyAlignment="1">
      <alignment vertical="center"/>
    </xf>
    <xf numFmtId="168" fontId="5" fillId="0" borderId="0" xfId="1" applyNumberFormat="1" applyFont="1" applyAlignment="1">
      <alignment vertical="center"/>
    </xf>
    <xf numFmtId="0" fontId="8" fillId="7" borderId="0" xfId="0" applyFont="1" applyFill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9" fontId="0" fillId="0" borderId="0" xfId="2" applyFont="1" applyBorder="1" applyAlignment="1">
      <alignment vertical="center"/>
    </xf>
    <xf numFmtId="0" fontId="9" fillId="7" borderId="7" xfId="0" applyFont="1" applyFill="1" applyBorder="1" applyAlignment="1">
      <alignment horizontal="center" vertical="center"/>
    </xf>
    <xf numFmtId="0" fontId="10" fillId="11" borderId="4" xfId="0" applyFont="1" applyFill="1" applyBorder="1"/>
    <xf numFmtId="1" fontId="10" fillId="11" borderId="0" xfId="4" applyNumberFormat="1" applyFont="1" applyFill="1" applyAlignment="1">
      <alignment horizontal="center" vertical="center"/>
    </xf>
    <xf numFmtId="164" fontId="0" fillId="0" borderId="0" xfId="0" applyNumberFormat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" fillId="0" borderId="17" xfId="0" applyFont="1" applyBorder="1"/>
    <xf numFmtId="0" fontId="1" fillId="13" borderId="17" xfId="0" applyFont="1" applyFill="1" applyBorder="1" applyAlignment="1">
      <alignment horizontal="centerContinuous"/>
    </xf>
    <xf numFmtId="0" fontId="1" fillId="14" borderId="17" xfId="0" applyFont="1" applyFill="1" applyBorder="1" applyAlignment="1">
      <alignment horizontal="centerContinuous"/>
    </xf>
    <xf numFmtId="0" fontId="1" fillId="14" borderId="17" xfId="0" applyFont="1" applyFill="1" applyBorder="1" applyAlignment="1">
      <alignment horizontal="centerContinuous" wrapText="1"/>
    </xf>
    <xf numFmtId="0" fontId="1" fillId="7" borderId="17" xfId="0" applyFont="1" applyFill="1" applyBorder="1" applyAlignment="1">
      <alignment horizontal="centerContinuous" wrapText="1"/>
    </xf>
    <xf numFmtId="0" fontId="1" fillId="7" borderId="17" xfId="0" applyFont="1" applyFill="1" applyBorder="1" applyAlignment="1">
      <alignment horizontal="centerContinuous"/>
    </xf>
    <xf numFmtId="0" fontId="1" fillId="15" borderId="17" xfId="0" applyFont="1" applyFill="1" applyBorder="1" applyAlignment="1">
      <alignment horizontal="centerContinuous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49" fontId="17" fillId="13" borderId="1" xfId="0" applyNumberFormat="1" applyFont="1" applyFill="1" applyBorder="1" applyAlignment="1">
      <alignment horizontal="center" vertical="center"/>
    </xf>
    <xf numFmtId="49" fontId="17" fillId="13" borderId="1" xfId="0" applyNumberFormat="1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/>
    </xf>
    <xf numFmtId="49" fontId="10" fillId="13" borderId="1" xfId="0" applyNumberFormat="1" applyFont="1" applyFill="1" applyBorder="1" applyAlignment="1">
      <alignment horizontal="center" vertical="center"/>
    </xf>
    <xf numFmtId="49" fontId="8" fillId="13" borderId="1" xfId="0" applyNumberFormat="1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168" fontId="7" fillId="14" borderId="1" xfId="0" applyNumberFormat="1" applyFont="1" applyFill="1" applyBorder="1" applyAlignment="1">
      <alignment horizontal="center" vertical="center" wrapText="1"/>
    </xf>
    <xf numFmtId="168" fontId="20" fillId="14" borderId="1" xfId="0" applyNumberFormat="1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168" fontId="20" fillId="17" borderId="1" xfId="0" applyNumberFormat="1" applyFont="1" applyFill="1" applyBorder="1" applyAlignment="1">
      <alignment horizontal="center" vertical="center" wrapText="1"/>
    </xf>
    <xf numFmtId="9" fontId="0" fillId="18" borderId="1" xfId="5" applyFont="1" applyFill="1" applyBorder="1" applyAlignment="1">
      <alignment horizontal="center" vertical="center"/>
    </xf>
    <xf numFmtId="4" fontId="20" fillId="17" borderId="1" xfId="0" applyNumberFormat="1" applyFont="1" applyFill="1" applyBorder="1" applyAlignment="1">
      <alignment horizontal="center" vertical="center"/>
    </xf>
    <xf numFmtId="168" fontId="7" fillId="15" borderId="1" xfId="0" applyNumberFormat="1" applyFont="1" applyFill="1" applyBorder="1" applyAlignment="1">
      <alignment horizontal="center" vertical="center"/>
    </xf>
    <xf numFmtId="10" fontId="1" fillId="15" borderId="1" xfId="0" applyNumberFormat="1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168" fontId="7" fillId="15" borderId="0" xfId="0" applyNumberFormat="1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49" fontId="10" fillId="13" borderId="0" xfId="0" applyNumberFormat="1" applyFont="1" applyFill="1" applyAlignment="1">
      <alignment horizontal="center" vertical="center"/>
    </xf>
    <xf numFmtId="49" fontId="8" fillId="13" borderId="0" xfId="0" applyNumberFormat="1" applyFont="1" applyFill="1" applyAlignment="1">
      <alignment horizontal="center" vertical="center"/>
    </xf>
    <xf numFmtId="0" fontId="19" fillId="13" borderId="0" xfId="0" applyFont="1" applyFill="1" applyAlignment="1">
      <alignment horizontal="center" vertical="center" wrapText="1"/>
    </xf>
    <xf numFmtId="0" fontId="7" fillId="13" borderId="0" xfId="0" applyFont="1" applyFill="1" applyAlignment="1">
      <alignment horizontal="center" vertical="center" wrapText="1"/>
    </xf>
    <xf numFmtId="168" fontId="7" fillId="14" borderId="0" xfId="0" applyNumberFormat="1" applyFont="1" applyFill="1" applyAlignment="1">
      <alignment horizontal="center" vertical="center" wrapText="1"/>
    </xf>
    <xf numFmtId="168" fontId="20" fillId="14" borderId="0" xfId="0" applyNumberFormat="1" applyFont="1" applyFill="1" applyAlignment="1">
      <alignment horizontal="center" vertical="center" wrapText="1"/>
    </xf>
    <xf numFmtId="0" fontId="7" fillId="14" borderId="0" xfId="0" applyFont="1" applyFill="1" applyAlignment="1">
      <alignment horizontal="center" vertical="center" wrapText="1"/>
    </xf>
    <xf numFmtId="168" fontId="20" fillId="17" borderId="0" xfId="0" applyNumberFormat="1" applyFont="1" applyFill="1" applyAlignment="1">
      <alignment horizontal="center" vertical="center" wrapText="1"/>
    </xf>
    <xf numFmtId="9" fontId="0" fillId="18" borderId="0" xfId="5" applyFont="1" applyFill="1" applyBorder="1" applyAlignment="1">
      <alignment horizontal="center" vertical="center"/>
    </xf>
    <xf numFmtId="10" fontId="1" fillId="15" borderId="0" xfId="0" applyNumberFormat="1" applyFont="1" applyFill="1" applyAlignment="1">
      <alignment horizontal="center" vertical="center"/>
    </xf>
    <xf numFmtId="0" fontId="7" fillId="15" borderId="0" xfId="0" applyFont="1" applyFill="1" applyAlignment="1">
      <alignment horizontal="center" vertical="center"/>
    </xf>
    <xf numFmtId="3" fontId="0" fillId="0" borderId="0" xfId="0" applyNumberFormat="1"/>
    <xf numFmtId="9" fontId="0" fillId="0" borderId="0" xfId="0" applyNumberFormat="1"/>
    <xf numFmtId="9" fontId="0" fillId="0" borderId="0" xfId="5" applyFont="1"/>
    <xf numFmtId="0" fontId="4" fillId="2" borderId="18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165" fontId="4" fillId="2" borderId="18" xfId="0" applyNumberFormat="1" applyFont="1" applyFill="1" applyBorder="1" applyAlignment="1">
      <alignment horizontal="center" vertical="center" wrapText="1"/>
    </xf>
    <xf numFmtId="168" fontId="4" fillId="2" borderId="18" xfId="0" applyNumberFormat="1" applyFont="1" applyFill="1" applyBorder="1" applyAlignment="1">
      <alignment horizontal="center" vertical="center" wrapText="1"/>
    </xf>
    <xf numFmtId="9" fontId="4" fillId="2" borderId="18" xfId="2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/>
    </xf>
    <xf numFmtId="167" fontId="0" fillId="0" borderId="18" xfId="2" applyNumberFormat="1" applyFont="1" applyBorder="1" applyAlignment="1">
      <alignment horizontal="center" vertical="center"/>
    </xf>
    <xf numFmtId="167" fontId="0" fillId="0" borderId="18" xfId="2" applyNumberFormat="1" applyFont="1" applyFill="1" applyBorder="1" applyAlignment="1">
      <alignment horizontal="center" vertical="center"/>
    </xf>
    <xf numFmtId="10" fontId="0" fillId="0" borderId="18" xfId="2" applyNumberFormat="1" applyFont="1" applyFill="1" applyBorder="1" applyAlignment="1">
      <alignment horizontal="center" vertical="center"/>
    </xf>
    <xf numFmtId="9" fontId="0" fillId="0" borderId="18" xfId="2" applyFont="1" applyFill="1" applyBorder="1" applyAlignment="1">
      <alignment horizontal="center" vertical="center"/>
    </xf>
    <xf numFmtId="165" fontId="0" fillId="0" borderId="18" xfId="0" applyNumberFormat="1" applyBorder="1" applyAlignment="1">
      <alignment horizontal="center" vertical="center"/>
    </xf>
    <xf numFmtId="168" fontId="0" fillId="0" borderId="18" xfId="0" applyNumberFormat="1" applyBorder="1" applyAlignment="1">
      <alignment horizontal="center" vertical="center"/>
    </xf>
    <xf numFmtId="0" fontId="0" fillId="0" borderId="18" xfId="0" applyBorder="1"/>
    <xf numFmtId="0" fontId="0" fillId="0" borderId="18" xfId="2" applyNumberFormat="1" applyFont="1" applyFill="1" applyBorder="1" applyAlignment="1">
      <alignment horizontal="center" vertical="center"/>
    </xf>
    <xf numFmtId="0" fontId="21" fillId="0" borderId="0" xfId="0" applyFont="1"/>
    <xf numFmtId="164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vertical="center"/>
    </xf>
    <xf numFmtId="168" fontId="1" fillId="0" borderId="0" xfId="0" applyNumberFormat="1" applyFont="1"/>
    <xf numFmtId="168" fontId="20" fillId="17" borderId="0" xfId="0" applyNumberFormat="1" applyFont="1" applyFill="1" applyAlignment="1">
      <alignment horizontal="center" vertical="center"/>
    </xf>
    <xf numFmtId="173" fontId="10" fillId="11" borderId="0" xfId="3" applyNumberFormat="1" applyFont="1" applyFill="1" applyAlignment="1">
      <alignment horizontal="center" vertical="center"/>
    </xf>
    <xf numFmtId="173" fontId="10" fillId="0" borderId="0" xfId="3" applyNumberFormat="1" applyFont="1" applyAlignment="1">
      <alignment horizontal="center" vertical="center"/>
    </xf>
    <xf numFmtId="164" fontId="10" fillId="0" borderId="5" xfId="4" applyNumberFormat="1" applyFont="1" applyBorder="1" applyAlignment="1">
      <alignment horizontal="center"/>
    </xf>
    <xf numFmtId="173" fontId="5" fillId="11" borderId="0" xfId="3" applyNumberFormat="1" applyFont="1" applyFill="1" applyAlignment="1">
      <alignment horizontal="center" vertical="center"/>
    </xf>
    <xf numFmtId="164" fontId="5" fillId="11" borderId="5" xfId="4" applyNumberFormat="1" applyFont="1" applyFill="1" applyBorder="1" applyAlignment="1">
      <alignment horizontal="center"/>
    </xf>
    <xf numFmtId="173" fontId="5" fillId="0" borderId="0" xfId="3" applyNumberFormat="1" applyFont="1" applyAlignment="1">
      <alignment horizontal="center" vertical="center"/>
    </xf>
    <xf numFmtId="164" fontId="5" fillId="0" borderId="5" xfId="4" applyNumberFormat="1" applyFont="1" applyBorder="1" applyAlignment="1">
      <alignment horizontal="center"/>
    </xf>
    <xf numFmtId="173" fontId="5" fillId="0" borderId="12" xfId="3" applyNumberFormat="1" applyFont="1" applyBorder="1" applyAlignment="1">
      <alignment horizontal="center" vertical="center"/>
    </xf>
    <xf numFmtId="164" fontId="5" fillId="0" borderId="7" xfId="4" applyNumberFormat="1" applyFont="1" applyBorder="1" applyAlignment="1">
      <alignment horizontal="center"/>
    </xf>
    <xf numFmtId="164" fontId="7" fillId="0" borderId="15" xfId="0" applyNumberFormat="1" applyFont="1" applyBorder="1" applyAlignment="1">
      <alignment horizontal="center" vertical="center"/>
    </xf>
    <xf numFmtId="166" fontId="5" fillId="11" borderId="5" xfId="0" applyNumberFormat="1" applyFont="1" applyFill="1" applyBorder="1" applyAlignment="1">
      <alignment horizontal="center" vertical="center"/>
    </xf>
    <xf numFmtId="171" fontId="7" fillId="0" borderId="15" xfId="0" applyNumberFormat="1" applyFont="1" applyBorder="1" applyAlignment="1">
      <alignment horizontal="center" vertical="center"/>
    </xf>
    <xf numFmtId="171" fontId="5" fillId="0" borderId="5" xfId="0" applyNumberFormat="1" applyFont="1" applyBorder="1" applyAlignment="1">
      <alignment horizontal="center"/>
    </xf>
    <xf numFmtId="171" fontId="11" fillId="8" borderId="16" xfId="0" applyNumberFormat="1" applyFont="1" applyFill="1" applyBorder="1" applyAlignment="1">
      <alignment horizontal="center"/>
    </xf>
    <xf numFmtId="10" fontId="13" fillId="11" borderId="0" xfId="0" applyNumberFormat="1" applyFont="1" applyFill="1" applyAlignment="1">
      <alignment horizontal="center" vertical="center"/>
    </xf>
    <xf numFmtId="0" fontId="11" fillId="8" borderId="6" xfId="0" applyFont="1" applyFill="1" applyBorder="1" applyAlignment="1">
      <alignment horizontal="left" vertical="center"/>
    </xf>
    <xf numFmtId="0" fontId="11" fillId="8" borderId="12" xfId="0" applyFont="1" applyFill="1" applyBorder="1" applyAlignment="1">
      <alignment horizontal="left" vertical="center"/>
    </xf>
    <xf numFmtId="167" fontId="0" fillId="18" borderId="1" xfId="5" applyNumberFormat="1" applyFont="1" applyFill="1" applyBorder="1" applyAlignment="1">
      <alignment horizontal="center" vertical="center"/>
    </xf>
    <xf numFmtId="10" fontId="0" fillId="18" borderId="1" xfId="5" applyNumberFormat="1" applyFont="1" applyFill="1" applyBorder="1" applyAlignment="1">
      <alignment horizontal="center" vertical="center"/>
    </xf>
    <xf numFmtId="0" fontId="10" fillId="11" borderId="0" xfId="3" applyNumberFormat="1" applyFont="1" applyFill="1" applyAlignment="1">
      <alignment horizontal="center" vertical="center"/>
    </xf>
    <xf numFmtId="0" fontId="10" fillId="14" borderId="4" xfId="0" applyFont="1" applyFill="1" applyBorder="1"/>
    <xf numFmtId="0" fontId="10" fillId="14" borderId="0" xfId="3" applyNumberFormat="1" applyFont="1" applyFill="1" applyAlignment="1">
      <alignment vertical="center"/>
    </xf>
    <xf numFmtId="1" fontId="10" fillId="14" borderId="0" xfId="4" applyNumberFormat="1" applyFont="1" applyFill="1" applyAlignment="1">
      <alignment horizontal="center" vertical="center"/>
    </xf>
    <xf numFmtId="173" fontId="10" fillId="14" borderId="0" xfId="3" applyNumberFormat="1" applyFont="1" applyFill="1" applyAlignment="1">
      <alignment horizontal="center" vertical="center"/>
    </xf>
    <xf numFmtId="164" fontId="10" fillId="14" borderId="5" xfId="4" applyNumberFormat="1" applyFont="1" applyFill="1" applyBorder="1" applyAlignment="1">
      <alignment horizontal="center"/>
    </xf>
    <xf numFmtId="171" fontId="11" fillId="8" borderId="11" xfId="0" applyNumberFormat="1" applyFont="1" applyFill="1" applyBorder="1" applyAlignment="1">
      <alignment horizontal="center"/>
    </xf>
    <xf numFmtId="0" fontId="11" fillId="8" borderId="7" xfId="0" applyFont="1" applyFill="1" applyBorder="1" applyAlignment="1">
      <alignment horizontal="center" vertical="center"/>
    </xf>
    <xf numFmtId="166" fontId="8" fillId="12" borderId="11" xfId="0" applyNumberFormat="1" applyFont="1" applyFill="1" applyBorder="1" applyAlignment="1">
      <alignment horizontal="center"/>
    </xf>
    <xf numFmtId="14" fontId="8" fillId="7" borderId="5" xfId="0" applyNumberFormat="1" applyFont="1" applyFill="1" applyBorder="1" applyAlignment="1">
      <alignment horizontal="left" vertical="center"/>
    </xf>
    <xf numFmtId="167" fontId="0" fillId="18" borderId="0" xfId="5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2" fillId="7" borderId="2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3" xfId="0" applyFont="1" applyFill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2" fillId="7" borderId="5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left" vertical="center"/>
    </xf>
    <xf numFmtId="0" fontId="11" fillId="8" borderId="12" xfId="0" applyFont="1" applyFill="1" applyBorder="1" applyAlignment="1">
      <alignment horizontal="left" vertical="center"/>
    </xf>
    <xf numFmtId="0" fontId="11" fillId="8" borderId="7" xfId="0" applyFont="1" applyFill="1" applyBorder="1" applyAlignment="1">
      <alignment horizontal="left" vertical="center"/>
    </xf>
    <xf numFmtId="0" fontId="8" fillId="7" borderId="4" xfId="0" applyFont="1" applyFill="1" applyBorder="1" applyAlignment="1">
      <alignment horizontal="left" vertical="top" wrapText="1"/>
    </xf>
    <xf numFmtId="0" fontId="8" fillId="7" borderId="0" xfId="0" applyFont="1" applyFill="1" applyAlignment="1">
      <alignment horizontal="left" vertical="top" wrapText="1"/>
    </xf>
    <xf numFmtId="0" fontId="11" fillId="9" borderId="2" xfId="0" applyFont="1" applyFill="1" applyBorder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</cellXfs>
  <cellStyles count="6">
    <cellStyle name="Moeda" xfId="1" builtinId="4"/>
    <cellStyle name="Moeda 2" xfId="3" xr:uid="{E0E3407B-4119-4CE1-B329-047C370A3B37}"/>
    <cellStyle name="Normal" xfId="0" builtinId="0"/>
    <cellStyle name="Porcentagem" xfId="5" builtinId="5"/>
    <cellStyle name="Porcentagem 2" xfId="2" xr:uid="{D9D601C8-BEA3-4A0D-8099-62F753563B82}"/>
    <cellStyle name="Vírgula 2" xfId="4" xr:uid="{D8108249-B196-416A-9FAC-57A2D0A0E4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ichStyles" Target="richData/richStyle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1.xml"/><Relationship Id="rId15" Type="http://schemas.microsoft.com/office/2017/06/relationships/rdSupportingPropertyBag" Target="richData/rdsupportingpropertybag.xml"/><Relationship Id="rId10" Type="http://schemas.openxmlformats.org/officeDocument/2006/relationships/sheetMetadata" Target="metadata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SupportingPropertyBagStructure" Target="richData/rdsupportingpropertybagstructur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1000125</xdr:colOff>
      <xdr:row>0</xdr:row>
      <xdr:rowOff>63500</xdr:rowOff>
    </xdr:from>
    <xdr:to>
      <xdr:col>6</xdr:col>
      <xdr:colOff>2381251</xdr:colOff>
      <xdr:row>3</xdr:row>
      <xdr:rowOff>206374</xdr:rowOff>
    </xdr:to>
    <xdr:pic>
      <xdr:nvPicPr>
        <xdr:cNvPr id="2" name="Imagem 1" descr="Avaliações da empresa Seawise: Como é trabalhar nela? | Glassdoo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82725" y="63500"/>
          <a:ext cx="1381126" cy="1038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1492250</xdr:colOff>
      <xdr:row>52</xdr:row>
      <xdr:rowOff>142875</xdr:rowOff>
    </xdr:from>
    <xdr:to>
      <xdr:col>6</xdr:col>
      <xdr:colOff>2190750</xdr:colOff>
      <xdr:row>55</xdr:row>
      <xdr:rowOff>127000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74850" y="14716125"/>
          <a:ext cx="698500" cy="6985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304800</xdr:colOff>
      <xdr:row>8</xdr:row>
      <xdr:rowOff>66675</xdr:rowOff>
    </xdr:to>
    <xdr:sp macro="" textlink="">
      <xdr:nvSpPr>
        <xdr:cNvPr id="11267" name="AutoShape 3" descr="Magnetron Para Microondas 2m 219j">
          <a:extLst>
            <a:ext uri="{FF2B5EF4-FFF2-40B4-BE49-F238E27FC236}">
              <a16:creationId xmlns:a16="http://schemas.microsoft.com/office/drawing/2014/main" id="{00000000-0008-0000-0000-0000032C0000}"/>
            </a:ext>
          </a:extLst>
        </xdr:cNvPr>
        <xdr:cNvSpPr>
          <a:spLocks noChangeAspect="1" noChangeArrowheads="1"/>
        </xdr:cNvSpPr>
      </xdr:nvSpPr>
      <xdr:spPr bwMode="auto">
        <a:xfrm>
          <a:off x="1936432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963706</xdr:colOff>
      <xdr:row>0</xdr:row>
      <xdr:rowOff>0</xdr:rowOff>
    </xdr:from>
    <xdr:to>
      <xdr:col>19</xdr:col>
      <xdr:colOff>278855</xdr:colOff>
      <xdr:row>1</xdr:row>
      <xdr:rowOff>144556</xdr:rowOff>
    </xdr:to>
    <xdr:pic>
      <xdr:nvPicPr>
        <xdr:cNvPr id="9" name="Imagem 8" descr="Avaliações da empresa Seawise: Como é trabalhar nela? | Glassdoor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3735" y="0"/>
          <a:ext cx="637443" cy="480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235324</xdr:colOff>
      <xdr:row>5</xdr:row>
      <xdr:rowOff>67235</xdr:rowOff>
    </xdr:from>
    <xdr:to>
      <xdr:col>19</xdr:col>
      <xdr:colOff>934944</xdr:colOff>
      <xdr:row>9</xdr:row>
      <xdr:rowOff>8778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63500" y="2353235"/>
          <a:ext cx="699620" cy="7035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8a01a03989ce713/IMPORTA&#199;&#194;O/SEAWISE/CLIENTES/HORTAVIVA/Estimativas/2023/F&#225;brica%203/Estimativa%20de%20Custos%20-%20F&#193;BRICA%203%20-%20HORTAVIVA.xlsx" TargetMode="External"/><Relationship Id="rId1" Type="http://schemas.openxmlformats.org/officeDocument/2006/relationships/externalLinkPath" Target="https://seawiseexterior.sharepoint.com/68a01a03989ce713/IMPORTA&#199;&#194;O/SEAWISE/CLIENTES/HORTAVIVA/Estimativas/2023/F&#225;brica%203/Estimativa%20de%20Custos%20-%20F&#193;BRICA%203%20-%20HORTAVIV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8a01a03989ce713/IMPORTA&#199;&#194;O/SEAWISE/CLIENTES/PEVESUL/Estimativa%20de%20Custos%20-%20F&#225;brica%204.xlsx" TargetMode="External"/><Relationship Id="rId1" Type="http://schemas.openxmlformats.org/officeDocument/2006/relationships/externalLinkPath" Target="https://seawiseexterior.sharepoint.com/68a01a03989ce713/IMPORTA&#199;&#194;O/SEAWISE/CLIENTES/PEVESUL/Estimativa%20de%20Custos%20-%20F&#225;brica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1"/>
      <sheetName val="Estimativa (2)"/>
      <sheetName val="Est. Cust. Naci. 100%"/>
      <sheetName val="Rateio Custos Fixos"/>
      <sheetName val="Lista de Compra"/>
      <sheetName val="Sheet1"/>
    </sheetNames>
    <sheetDataSet>
      <sheetData sheetId="0" refreshError="1"/>
      <sheetData sheetId="1" refreshError="1"/>
      <sheetData sheetId="2" refreshError="1">
        <row r="21">
          <cell r="AB21">
            <v>0</v>
          </cell>
        </row>
      </sheetData>
      <sheetData sheetId="3" refreshError="1">
        <row r="26">
          <cell r="B26">
            <v>4.7972000000000001</v>
          </cell>
        </row>
      </sheetData>
      <sheetData sheetId="4" refreshError="1">
        <row r="4">
          <cell r="B4">
            <v>1</v>
          </cell>
          <cell r="C4" t="str">
            <v>Nº 9</v>
          </cell>
          <cell r="J4">
            <v>15</v>
          </cell>
          <cell r="K4">
            <v>107.71</v>
          </cell>
        </row>
        <row r="6">
          <cell r="B6">
            <v>3</v>
          </cell>
          <cell r="C6" t="str">
            <v>Nº 9</v>
          </cell>
          <cell r="J6">
            <v>15</v>
          </cell>
          <cell r="K6">
            <v>64.63</v>
          </cell>
        </row>
        <row r="7">
          <cell r="B7">
            <v>4</v>
          </cell>
          <cell r="C7" t="str">
            <v>Nº 9</v>
          </cell>
          <cell r="J7">
            <v>15</v>
          </cell>
          <cell r="K7">
            <v>107.71</v>
          </cell>
        </row>
        <row r="8">
          <cell r="B8">
            <v>5</v>
          </cell>
          <cell r="C8" t="str">
            <v>Nº 9</v>
          </cell>
          <cell r="J8">
            <v>15</v>
          </cell>
          <cell r="K8">
            <v>86.17</v>
          </cell>
        </row>
        <row r="9">
          <cell r="B9">
            <v>6</v>
          </cell>
          <cell r="C9" t="str">
            <v>Nº 9</v>
          </cell>
          <cell r="J9">
            <v>15</v>
          </cell>
          <cell r="K9">
            <v>64.63</v>
          </cell>
        </row>
      </sheetData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a de Compra"/>
      <sheetName val="Resumo 100%"/>
      <sheetName val="Estimativa 50%"/>
      <sheetName val="Resumo 50%"/>
      <sheetName val="Est. Cust. Naci. 50%"/>
      <sheetName val="Estimativa 100%"/>
      <sheetName val="Est. Cust. Naci."/>
      <sheetName val="Planilha2"/>
      <sheetName val="Rateio Custos Fixos"/>
      <sheetName val="Pedido"/>
      <sheetName val="Formulário"/>
      <sheetName val="Est. Cust. Nacionalização"/>
      <sheetName val="Resumo"/>
      <sheetName val="Planilha1"/>
    </sheetNames>
    <sheetDataSet>
      <sheetData sheetId="0">
        <row r="2">
          <cell r="Q2" t="str">
            <v>% Rateio Preço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F5">
            <v>0.47782963827304553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aroline Barbosa" id="{9814B698-D3DD-40C6-9CF7-C15691FC606F}" userId="640303dfd0d430f8" providerId="Windows Live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4">
  <rv s="0">
    <v>pt-BR</v>
    <v>avylgh</v>
    <v>268435456</v>
    <v>1</v>
    <v>Da plataforma Refinitiv</v>
    <v>0</v>
    <v>1</v>
    <v>USD/BRL</v>
    <v>3</v>
    <v>4</v>
    <v>Finance</v>
    <v>5</v>
    <v>6.3139000000000003</v>
    <v>5.3795000000000002</v>
    <v>5.4715999999999996</v>
    <v>5.4469000000000003</v>
    <v>USD</v>
    <v>5.4512999999999998</v>
    <v>45904.748379629629</v>
    <v>BRL</v>
    <v>US Dollar/Brazilian Real FX Spot Rate</v>
    <v>5.4513999999999996</v>
    <v>5.4551999999999996</v>
    <v>USDBRL</v>
    <v>Par de Moedas</v>
    <v>USD/BRL</v>
    <v>3.8999999999999998E-3</v>
    <v>7.1540000000000004E-4</v>
  </rv>
  <rv s="1">
    <v>0</v>
  </rv>
  <rv s="0">
    <v>pt-BR</v>
    <v>av8tf2</v>
    <v>268435456</v>
    <v>1</v>
    <v>Da plataforma Refinitiv</v>
    <v>0</v>
    <v>1</v>
    <v>EUR/BRL</v>
    <v>3</v>
    <v>4</v>
    <v>Finance</v>
    <v>5</v>
    <v>6.7522000000000002</v>
    <v>5.9242999999999997</v>
    <v>6.3689</v>
    <v>6.343</v>
    <v>EUR</v>
    <v>6.3567999999999998</v>
    <v>45904.748402777775</v>
    <v>BRL</v>
    <v>Euro/Brazilian Real FX Cross Rate</v>
    <v>6.3556999999999997</v>
    <v>6.3476999999999997</v>
    <v>EURBRL</v>
    <v>Par de Moedas</v>
    <v>EUR/BRL</v>
    <v>-9.1000000000000004E-3</v>
    <v>-1.4319999999999999E-3</v>
  </rv>
  <rv s="1">
    <v>2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lto"/>
    <k n="Baixo"/>
    <k n="Da moeda" t="s"/>
    <k n="Fechamento anterior"/>
    <k n="Hora da última transação"/>
    <k n="Moeda" t="s"/>
    <k n="Nome" t="s"/>
    <k n="Pendência"/>
    <k n="Preço"/>
    <k n="Símbolo do ticker" t="s"/>
    <k n="Tipo de instrumento" t="s"/>
    <k n="UniqueName" t="s"/>
    <k n="Variação"/>
    <k n="Variação (%)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8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Preço</v>
      <v t="s">_SubLabel</v>
      <v t="s">Hora da última transação</v>
      <v t="s">Símbolo do ticker</v>
      <v t="s">Variação</v>
      <v t="s">Variação (%)</v>
      <v t="s">Moeda</v>
      <v t="s">Da moeda</v>
      <v t="s">Fechamento anterior</v>
      <v t="s">Pendência</v>
      <v t="s">Alto</v>
      <v t="s">Baixo</v>
      <v t="s">52 semanas de alta</v>
      <v t="s">52 semanas de baixa</v>
      <v t="s">Tipo de instrumento</v>
      <v t="s">_Flags</v>
      <v t="s">UniqueName</v>
      <v t="s">_DisplayString</v>
      <v t="s">%ProviderInfo</v>
    </a>
  </spbArrays>
  <spbData count="6">
    <spb s="0">
      <v>High</v>
      <v>Name</v>
      <v>Low</v>
      <v>Currency</v>
      <v>Price</v>
      <v>From currency</v>
      <v>Change</v>
      <v>Open</v>
      <v>UniqueName</v>
      <v>Change (%)</v>
      <v>%ProviderInfo</v>
      <v>Ticker symbol</v>
      <v>52 week high</v>
      <v>52 week low</v>
      <v>Previous close</v>
      <v>Instrument type</v>
      <v>Last trade time</v>
    </spb>
    <spb s="1">
      <v>0</v>
      <v>Name</v>
    </spb>
    <spb s="2">
      <v>0</v>
      <v>0</v>
      <v>0</v>
    </spb>
    <spb s="3">
      <v>2</v>
      <v>2</v>
    </spb>
    <spb s="4">
      <v>1</v>
      <v>2</v>
      <v>1</v>
      <v>1</v>
      <v>1</v>
      <v>1</v>
      <v>3</v>
      <v>4</v>
      <v>1</v>
      <v>1</v>
      <v>1</v>
      <v>5</v>
    </spb>
    <spb s="5">
      <v>GMT</v>
    </spb>
  </spbData>
</supportingPropertyBags>
</file>

<file path=xl/richData/rdsupportingpropertybagstructure.xml><?xml version="1.0" encoding="utf-8"?>
<spbStructures xmlns="http://schemas.microsoft.com/office/spreadsheetml/2017/richdata2" count="6">
  <s>
    <k n="Alto" t="s"/>
    <k n="Nome" t="s"/>
    <k n="Baixo" t="s"/>
    <k n="Moeda" t="s"/>
    <k n="Preço" t="s"/>
    <k n="Da moeda" t="s"/>
    <k n="Variação" t="s"/>
    <k n="Pendência" t="s"/>
    <k n="UniqueName" t="s"/>
    <k n="Variação (%)" t="s"/>
    <k n="%ProviderInfo" t="s"/>
    <k n="Símbolo do ticker" t="s"/>
    <k n="52 semanas de alta" t="s"/>
    <k n="52 semanas de baixa" t="s"/>
    <k n="Fechamento anterior" t="s"/>
    <k n="Tipo de instrumento" t="s"/>
    <k n="Hora da última transação" t="s"/>
  </s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Alto" t="i"/>
    <k n="Nome" t="i"/>
    <k n="Baixo" t="i"/>
    <k n="Preço" t="i"/>
    <k n="Variação" t="i"/>
    <k n="Pendência" t="i"/>
    <k n="Variação (%)" t="i"/>
    <k n="`%EntityServiceId" t="i"/>
    <k n="52 semanas de alta" t="i"/>
    <k n="52 semanas de baixa" t="i"/>
    <k n="Fechamento anterior" t="i"/>
    <k n="Hora da última transação" t="i"/>
  </s>
  <s>
    <k n="Hora da última transação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0" formatCode="General"/>
    </x:dxf>
    <x:dxf>
      <x:numFmt numFmtId="14" formatCode="0.00%"/>
    </x:dxf>
    <x:dxf>
      <x:numFmt numFmtId="2" formatCode="0.00"/>
    </x:dxf>
    <x:dxf>
      <x:numFmt numFmtId="27" formatCode="dd/mm/yyyy\ hh:mm"/>
    </x:dxf>
  </dxfs>
  <richProperties>
    <rPr n="NumberFormat" t="s"/>
    <rPr n="IsTitleField" t="b"/>
  </richProperties>
  <richStyles>
    <rSty dxfid="0">
      <rpv i="0">_-[$R$-pt-BR] * #,##0.00_-;-[$R$-pt-BR] * #,##0.00_-;_-[$R$-pt-BR] * "-"??_-;_-@_-</rpv>
    </rSty>
    <rSty>
      <rpv i="1">1</rpv>
    </rSty>
    <rSty dxfid="1"/>
    <rSty dxfid="2">
      <rpv i="0">0.00</rpv>
    </rSty>
    <rSty dxfid="3"/>
  </richStyles>
</richStyleShee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8" dT="2023-01-11T19:16:55.26" personId="{9814B698-D3DD-40C6-9CF7-C15691FC606F}" id="{0C9ECCC5-3310-412D-8782-C1D3124F4B3E}">
    <text>Notar que regime tributário é o Simples Nacional, portanto a função não impacta no cálculo de impostos.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FCC9-79BD-4E29-9B49-19F72F5CBFA8}">
  <sheetPr>
    <tabColor theme="5" tint="-0.249977111117893"/>
    <pageSetUpPr fitToPage="1"/>
  </sheetPr>
  <dimension ref="A1:S62"/>
  <sheetViews>
    <sheetView showGridLines="0" tabSelected="1" zoomScale="60" zoomScaleNormal="60" workbookViewId="0">
      <selection activeCell="F61" sqref="F61"/>
    </sheetView>
  </sheetViews>
  <sheetFormatPr defaultColWidth="8.85546875" defaultRowHeight="18.75" x14ac:dyDescent="0.25"/>
  <cols>
    <col min="1" max="1" width="11.7109375" style="1" customWidth="1"/>
    <col min="2" max="2" width="55.140625" style="14" customWidth="1"/>
    <col min="3" max="3" width="31.42578125" style="14" customWidth="1"/>
    <col min="4" max="4" width="30.140625" style="14" bestFit="1" customWidth="1"/>
    <col min="5" max="5" width="27" style="14" customWidth="1"/>
    <col min="6" max="6" width="42.28515625" style="14" customWidth="1"/>
    <col min="7" max="7" width="37.7109375" style="14" customWidth="1"/>
    <col min="8" max="8" width="41" style="1" customWidth="1"/>
    <col min="9" max="9" width="17.85546875" style="1" hidden="1" customWidth="1"/>
    <col min="10" max="10" width="43.28515625" style="1" hidden="1" customWidth="1"/>
    <col min="11" max="11" width="14.85546875" style="1" hidden="1" customWidth="1"/>
    <col min="12" max="12" width="8.85546875" style="1" hidden="1" customWidth="1"/>
    <col min="13" max="13" width="17.85546875" style="1" hidden="1" customWidth="1"/>
    <col min="14" max="14" width="18.140625" style="1" hidden="1" customWidth="1"/>
    <col min="15" max="15" width="24.42578125" style="1" hidden="1" customWidth="1"/>
    <col min="16" max="16" width="14" style="1" bestFit="1" customWidth="1"/>
    <col min="17" max="16384" width="8.85546875" style="1"/>
  </cols>
  <sheetData>
    <row r="1" spans="1:19" ht="20.25" customHeight="1" x14ac:dyDescent="0.25"/>
    <row r="3" spans="1:19" ht="31.5" x14ac:dyDescent="0.25">
      <c r="B3" s="15" t="s">
        <v>0</v>
      </c>
    </row>
    <row r="4" spans="1:19" ht="19.5" thickBot="1" x14ac:dyDescent="0.3"/>
    <row r="5" spans="1:19" ht="27.75" customHeight="1" x14ac:dyDescent="0.25">
      <c r="B5" s="16"/>
      <c r="C5" s="187" t="s">
        <v>1</v>
      </c>
      <c r="D5" s="188"/>
      <c r="E5" s="188"/>
      <c r="F5" s="188"/>
      <c r="G5" s="189"/>
      <c r="S5" s="1" t="e">
        <f>'Est. Cust. Naci.'!#REF!</f>
        <v>#REF!</v>
      </c>
    </row>
    <row r="6" spans="1:19" x14ac:dyDescent="0.25">
      <c r="B6" s="17"/>
      <c r="C6" s="190"/>
      <c r="D6" s="191"/>
      <c r="E6" s="191"/>
      <c r="F6" s="191"/>
      <c r="G6" s="192"/>
    </row>
    <row r="7" spans="1:19" x14ac:dyDescent="0.25">
      <c r="B7" s="17"/>
      <c r="C7" s="190"/>
      <c r="D7" s="191"/>
      <c r="E7" s="191"/>
      <c r="F7" s="191"/>
      <c r="G7" s="192"/>
      <c r="J7" s="19"/>
    </row>
    <row r="8" spans="1:19" x14ac:dyDescent="0.25">
      <c r="B8" s="17"/>
      <c r="C8" s="18" t="s">
        <v>2</v>
      </c>
      <c r="D8" s="18"/>
      <c r="E8" s="18" t="s">
        <v>3</v>
      </c>
      <c r="F8" s="18"/>
      <c r="G8" s="20" t="s">
        <v>4</v>
      </c>
      <c r="J8" s="1" t="s">
        <v>5</v>
      </c>
      <c r="K8" s="19">
        <v>52965.3615976</v>
      </c>
      <c r="Q8"/>
    </row>
    <row r="9" spans="1:19" x14ac:dyDescent="0.25">
      <c r="B9" s="17"/>
      <c r="C9" s="196" t="s">
        <v>6</v>
      </c>
      <c r="D9" s="197"/>
      <c r="E9" s="18" t="s">
        <v>7</v>
      </c>
      <c r="F9" s="18"/>
      <c r="G9" s="184">
        <f ca="1">TODAY()</f>
        <v>46105</v>
      </c>
      <c r="J9" s="1" t="s">
        <v>8</v>
      </c>
      <c r="K9" s="19">
        <v>90312.509357599993</v>
      </c>
    </row>
    <row r="10" spans="1:19" ht="15" customHeight="1" x14ac:dyDescent="0.25">
      <c r="B10" s="17"/>
      <c r="C10" s="18" t="s">
        <v>9</v>
      </c>
      <c r="D10" s="73"/>
      <c r="E10" s="18" t="s">
        <v>10</v>
      </c>
      <c r="F10" s="18"/>
      <c r="G10" s="20" t="s">
        <v>11</v>
      </c>
    </row>
    <row r="11" spans="1:19" ht="15" customHeight="1" thickBot="1" x14ac:dyDescent="0.3">
      <c r="B11" s="74"/>
      <c r="C11" s="21"/>
      <c r="D11" s="22"/>
      <c r="E11" s="21"/>
      <c r="F11" s="21"/>
      <c r="G11" s="76"/>
      <c r="K11" s="23">
        <v>1.4181902708599241</v>
      </c>
    </row>
    <row r="12" spans="1:19" ht="36.75" customHeight="1" thickBot="1" x14ac:dyDescent="0.3">
      <c r="A12" s="14"/>
      <c r="B12" s="24" t="s">
        <v>12</v>
      </c>
      <c r="C12" s="25" t="s">
        <v>13</v>
      </c>
      <c r="D12" s="26">
        <f>'Rateio Custos Fixos'!B3</f>
        <v>5.26</v>
      </c>
      <c r="E12" s="25" t="s">
        <v>14</v>
      </c>
      <c r="F12" s="27">
        <f>'LISTA DE COMPRAS'!D5</f>
        <v>72192300</v>
      </c>
      <c r="G12" s="28"/>
      <c r="I12"/>
      <c r="J12"/>
    </row>
    <row r="13" spans="1:19" ht="18.600000000000001" customHeight="1" thickBot="1" x14ac:dyDescent="0.3">
      <c r="B13" s="198" t="s">
        <v>15</v>
      </c>
      <c r="C13" s="199"/>
      <c r="D13" s="199"/>
      <c r="E13" s="199"/>
      <c r="F13" s="199"/>
      <c r="G13" s="200"/>
      <c r="I13" s="29" t="s">
        <v>16</v>
      </c>
      <c r="J13" s="29" t="s">
        <v>17</v>
      </c>
      <c r="K13" s="29" t="s">
        <v>18</v>
      </c>
      <c r="L13" s="29" t="s">
        <v>19</v>
      </c>
      <c r="M13" s="29"/>
      <c r="N13" s="29"/>
      <c r="O13" s="29" t="s">
        <v>20</v>
      </c>
    </row>
    <row r="14" spans="1:19" x14ac:dyDescent="0.25">
      <c r="B14" s="30" t="s">
        <v>21</v>
      </c>
      <c r="C14" s="31" t="s">
        <v>22</v>
      </c>
      <c r="D14" s="31"/>
      <c r="E14" s="31" t="s">
        <v>23</v>
      </c>
      <c r="F14" s="31" t="s">
        <v>24</v>
      </c>
      <c r="G14" s="32" t="s">
        <v>25</v>
      </c>
      <c r="I14" s="33">
        <f>'[1]Lista de Compra'!B4</f>
        <v>1</v>
      </c>
      <c r="J14" s="33" t="str">
        <f>'[1]Lista de Compra'!C4</f>
        <v>Nº 9</v>
      </c>
      <c r="K14" s="33">
        <f>'[1]Lista de Compra'!K4</f>
        <v>107.71</v>
      </c>
      <c r="L14" s="33">
        <f>'[1]Lista de Compra'!J4</f>
        <v>15</v>
      </c>
      <c r="M14" s="34">
        <f>K14*L14*'[1]Rateio Custos Fixos'!$B$26</f>
        <v>7750.5961799999995</v>
      </c>
      <c r="N14" s="35">
        <f t="shared" ref="N14:N20" si="0">M14+(M14*$K$11)</f>
        <v>18742.416275840093</v>
      </c>
      <c r="O14" s="35">
        <f>N14/L14</f>
        <v>1249.4944183893394</v>
      </c>
    </row>
    <row r="15" spans="1:19" x14ac:dyDescent="0.3">
      <c r="B15" s="77" t="str">
        <f>'LISTA DE COMPRAS'!C5</f>
        <v>Chapa de aço Inox</v>
      </c>
      <c r="C15" s="175">
        <f>'LISTA DE COMPRAS'!J5</f>
        <v>27</v>
      </c>
      <c r="D15" s="78"/>
      <c r="E15" s="156">
        <f>'LISTA DE COMPRAS'!K5</f>
        <v>1500</v>
      </c>
      <c r="F15" s="157">
        <f>E15*C15</f>
        <v>40500</v>
      </c>
      <c r="G15" s="158">
        <f>F15*$D$12</f>
        <v>213030</v>
      </c>
      <c r="I15" s="33"/>
      <c r="J15" s="33"/>
      <c r="K15" s="33"/>
      <c r="L15" s="33"/>
      <c r="M15" s="34"/>
      <c r="N15" s="35"/>
      <c r="O15" s="35"/>
    </row>
    <row r="16" spans="1:19" x14ac:dyDescent="0.3">
      <c r="B16" s="176" t="s">
        <v>26</v>
      </c>
      <c r="C16" s="177"/>
      <c r="D16" s="178"/>
      <c r="E16" s="179"/>
      <c r="F16" s="179">
        <f>SUM(F15:F15)</f>
        <v>40500</v>
      </c>
      <c r="G16" s="180">
        <f>SUM(G15:G15)</f>
        <v>213030</v>
      </c>
      <c r="I16" s="33"/>
      <c r="J16" s="33"/>
      <c r="K16" s="33"/>
      <c r="L16" s="33"/>
      <c r="M16" s="34"/>
      <c r="N16" s="35"/>
      <c r="O16" s="35"/>
    </row>
    <row r="17" spans="1:16" x14ac:dyDescent="0.3">
      <c r="B17" s="36" t="s">
        <v>27</v>
      </c>
      <c r="C17" s="37"/>
      <c r="D17" s="38"/>
      <c r="E17" s="159"/>
      <c r="F17" s="2"/>
      <c r="G17" s="160">
        <f>G16+G19</f>
        <v>234240</v>
      </c>
      <c r="I17" s="33">
        <f>'[1]Lista de Compra'!B6</f>
        <v>3</v>
      </c>
      <c r="J17" s="33" t="str">
        <f>'[1]Lista de Compra'!C6</f>
        <v>Nº 9</v>
      </c>
      <c r="K17" s="33">
        <f>'[1]Lista de Compra'!K6</f>
        <v>64.63</v>
      </c>
      <c r="L17" s="33">
        <f>'[1]Lista de Compra'!J6</f>
        <v>15</v>
      </c>
      <c r="M17" s="34">
        <f>K17*L17*'[1]Rateio Custos Fixos'!$B$26</f>
        <v>4650.6455399999995</v>
      </c>
      <c r="N17" s="35">
        <f t="shared" si="0"/>
        <v>11246.145798046098</v>
      </c>
      <c r="O17" s="35">
        <f>N17/L17</f>
        <v>749.74305320307326</v>
      </c>
    </row>
    <row r="18" spans="1:16" x14ac:dyDescent="0.3">
      <c r="B18" s="39" t="s">
        <v>28</v>
      </c>
      <c r="C18" s="40"/>
      <c r="D18" s="41"/>
      <c r="E18" s="161"/>
      <c r="F18" s="161"/>
      <c r="G18" s="162"/>
      <c r="I18" s="33">
        <f>'[1]Lista de Compra'!B7</f>
        <v>4</v>
      </c>
      <c r="J18" s="33" t="str">
        <f>'[1]Lista de Compra'!C7</f>
        <v>Nº 9</v>
      </c>
      <c r="K18" s="33">
        <f>'[1]Lista de Compra'!K7</f>
        <v>107.71</v>
      </c>
      <c r="L18" s="33">
        <f>'[1]Lista de Compra'!J7</f>
        <v>15</v>
      </c>
      <c r="M18" s="34">
        <f>K18*L18*'[1]Rateio Custos Fixos'!$B$26</f>
        <v>7750.5961799999995</v>
      </c>
      <c r="N18" s="35">
        <f t="shared" si="0"/>
        <v>18742.416275840093</v>
      </c>
      <c r="O18" s="35">
        <f>N18/L18</f>
        <v>1249.4944183893394</v>
      </c>
    </row>
    <row r="19" spans="1:16" ht="19.5" thickBot="1" x14ac:dyDescent="0.35">
      <c r="B19" s="42" t="s">
        <v>29</v>
      </c>
      <c r="C19" s="43"/>
      <c r="D19" s="44"/>
      <c r="E19" s="163"/>
      <c r="F19" s="161">
        <f>'Rateio Custos Fixos'!G5</f>
        <v>4032.319391634981</v>
      </c>
      <c r="G19" s="164">
        <f>F19*D12</f>
        <v>21210</v>
      </c>
      <c r="I19" s="33">
        <f>'[1]Lista de Compra'!B8</f>
        <v>5</v>
      </c>
      <c r="J19" s="33" t="str">
        <f>'[1]Lista de Compra'!C8</f>
        <v>Nº 9</v>
      </c>
      <c r="K19" s="33">
        <f>'[1]Lista de Compra'!K8</f>
        <v>86.17</v>
      </c>
      <c r="L19" s="33">
        <f>'[1]Lista de Compra'!J8</f>
        <v>15</v>
      </c>
      <c r="M19" s="34">
        <f>K19*L19*'[1]Rateio Custos Fixos'!$B$26</f>
        <v>6200.62086</v>
      </c>
      <c r="N19" s="35">
        <f t="shared" si="0"/>
        <v>14994.281036943095</v>
      </c>
      <c r="O19" s="35">
        <f>N19/L19</f>
        <v>999.61873579620635</v>
      </c>
    </row>
    <row r="20" spans="1:16" ht="15.75" customHeight="1" thickBot="1" x14ac:dyDescent="0.3">
      <c r="B20" s="45" t="s">
        <v>30</v>
      </c>
      <c r="C20" s="46"/>
      <c r="D20" s="46"/>
      <c r="E20" s="46"/>
      <c r="F20" s="46"/>
      <c r="G20" s="165">
        <f>G17</f>
        <v>234240</v>
      </c>
      <c r="I20" s="33">
        <f>'[1]Lista de Compra'!B9</f>
        <v>6</v>
      </c>
      <c r="J20" s="33" t="str">
        <f>'[1]Lista de Compra'!C9</f>
        <v>Nº 9</v>
      </c>
      <c r="K20" s="33">
        <f>'[1]Lista de Compra'!K9</f>
        <v>64.63</v>
      </c>
      <c r="L20" s="33">
        <f>'[1]Lista de Compra'!J9</f>
        <v>15</v>
      </c>
      <c r="M20" s="34">
        <f>K20*L20*'[1]Rateio Custos Fixos'!$B$26</f>
        <v>4650.6455399999995</v>
      </c>
      <c r="N20" s="35">
        <f t="shared" si="0"/>
        <v>11246.145798046098</v>
      </c>
      <c r="O20" s="35">
        <f>N20/L20</f>
        <v>749.74305320307326</v>
      </c>
    </row>
    <row r="21" spans="1:16" ht="18.600000000000001" customHeight="1" x14ac:dyDescent="0.25">
      <c r="B21" s="198" t="s">
        <v>31</v>
      </c>
      <c r="C21" s="199"/>
      <c r="D21" s="199"/>
      <c r="E21" s="199"/>
      <c r="F21" s="199"/>
      <c r="G21" s="200"/>
    </row>
    <row r="22" spans="1:16" s="2" customFormat="1" ht="15" customHeight="1" x14ac:dyDescent="0.25">
      <c r="B22" s="47" t="s">
        <v>31</v>
      </c>
      <c r="C22" s="48" t="s">
        <v>32</v>
      </c>
      <c r="D22" s="48"/>
      <c r="E22" s="48"/>
      <c r="F22" s="48"/>
      <c r="G22" s="49" t="s">
        <v>33</v>
      </c>
      <c r="P22" s="1"/>
    </row>
    <row r="23" spans="1:16" s="2" customFormat="1" x14ac:dyDescent="0.25">
      <c r="B23" s="50" t="s">
        <v>34</v>
      </c>
      <c r="C23" s="170">
        <f>'Est. Cust. Naci.'!R4</f>
        <v>0.126</v>
      </c>
      <c r="D23" s="48"/>
      <c r="E23" s="48"/>
      <c r="F23" s="48"/>
      <c r="G23" s="166">
        <f>'Est. Cust. Naci.'!R$7</f>
        <v>29514.240000000002</v>
      </c>
    </row>
    <row r="24" spans="1:16" s="2" customFormat="1" x14ac:dyDescent="0.25">
      <c r="B24" s="50" t="s">
        <v>35</v>
      </c>
      <c r="C24" s="170">
        <f>'Est. Cust. Naci.'!S4</f>
        <v>3.6499999999999998E-2</v>
      </c>
      <c r="D24" s="48"/>
      <c r="E24" s="48"/>
      <c r="F24" s="48"/>
      <c r="G24" s="166">
        <f>'Est. Cust. Naci.'!S$7</f>
        <v>9627.0297599999994</v>
      </c>
    </row>
    <row r="25" spans="1:16" s="2" customFormat="1" x14ac:dyDescent="0.25">
      <c r="B25" s="50" t="s">
        <v>36</v>
      </c>
      <c r="C25" s="170">
        <f>'Est. Cust. Naci.'!T4</f>
        <v>2.1000000000000001E-2</v>
      </c>
      <c r="D25" s="48"/>
      <c r="E25" s="48"/>
      <c r="F25" s="48"/>
      <c r="G25" s="166">
        <f>'Est. Cust. Naci.'!T$7</f>
        <v>4919.04</v>
      </c>
    </row>
    <row r="26" spans="1:16" s="2" customFormat="1" x14ac:dyDescent="0.25">
      <c r="B26" s="50" t="s">
        <v>37</v>
      </c>
      <c r="C26" s="170">
        <f>'Est. Cust. Naci.'!U4</f>
        <v>9.6500000000000002E-2</v>
      </c>
      <c r="D26" s="48"/>
      <c r="E26" s="48"/>
      <c r="F26" s="48"/>
      <c r="G26" s="166">
        <f>'Est. Cust. Naci.'!U$7</f>
        <v>22604.16</v>
      </c>
    </row>
    <row r="27" spans="1:16" s="2" customFormat="1" ht="19.5" thickBot="1" x14ac:dyDescent="0.3">
      <c r="B27" s="50" t="s">
        <v>38</v>
      </c>
      <c r="C27" s="170">
        <v>0.06</v>
      </c>
      <c r="D27" s="48"/>
      <c r="E27" s="48"/>
      <c r="F27" s="48"/>
      <c r="G27" s="166">
        <f>'Est. Cust. Naci.'!V$7</f>
        <v>14054.4</v>
      </c>
    </row>
    <row r="28" spans="1:16" s="2" customFormat="1" ht="19.5" thickBot="1" x14ac:dyDescent="0.3">
      <c r="B28" s="45" t="s">
        <v>39</v>
      </c>
      <c r="C28" s="46"/>
      <c r="D28" s="46"/>
      <c r="E28" s="46"/>
      <c r="F28" s="46"/>
      <c r="G28" s="165">
        <f>SUM(G23:G27)</f>
        <v>80718.869760000001</v>
      </c>
    </row>
    <row r="29" spans="1:16" ht="18.600000000000001" customHeight="1" x14ac:dyDescent="0.25">
      <c r="A29" s="51"/>
      <c r="B29" s="198" t="s">
        <v>121</v>
      </c>
      <c r="C29" s="199"/>
      <c r="D29" s="199"/>
      <c r="E29" s="199"/>
      <c r="F29" s="199"/>
      <c r="G29" s="200"/>
    </row>
    <row r="30" spans="1:16" ht="18.600000000000001" customHeight="1" x14ac:dyDescent="0.3">
      <c r="A30" s="51"/>
      <c r="B30" s="52" t="s">
        <v>41</v>
      </c>
      <c r="C30" s="53"/>
      <c r="D30" s="53"/>
      <c r="E30" s="53"/>
      <c r="F30" s="53"/>
      <c r="G30" s="168">
        <f>'Rateio Custos Fixos'!F11</f>
        <v>214.5</v>
      </c>
    </row>
    <row r="31" spans="1:16" ht="18.600000000000001" customHeight="1" x14ac:dyDescent="0.3">
      <c r="A31" s="51"/>
      <c r="B31" s="52" t="s">
        <v>42</v>
      </c>
      <c r="C31" s="53"/>
      <c r="D31" s="53"/>
      <c r="E31" s="53"/>
      <c r="F31" s="53"/>
      <c r="G31" s="168">
        <f>'Rateio Custos Fixos'!G11</f>
        <v>490</v>
      </c>
    </row>
    <row r="32" spans="1:16" ht="18.600000000000001" customHeight="1" x14ac:dyDescent="0.3">
      <c r="A32" s="51"/>
      <c r="B32" s="52" t="s">
        <v>43</v>
      </c>
      <c r="C32" s="53"/>
      <c r="D32" s="53"/>
      <c r="E32" s="53"/>
      <c r="F32" s="53"/>
      <c r="G32" s="168">
        <f>'Rateio Custos Fixos'!H11</f>
        <v>1547</v>
      </c>
      <c r="H32" s="54"/>
    </row>
    <row r="33" spans="1:8" ht="18.600000000000001" customHeight="1" x14ac:dyDescent="0.3">
      <c r="A33" s="51"/>
      <c r="B33" s="52" t="s">
        <v>44</v>
      </c>
      <c r="C33" s="53"/>
      <c r="D33" s="53"/>
      <c r="E33" s="53"/>
      <c r="F33" s="53"/>
      <c r="G33" s="168">
        <f>'Rateio Custos Fixos'!I11</f>
        <v>48</v>
      </c>
    </row>
    <row r="34" spans="1:8" ht="18.600000000000001" customHeight="1" x14ac:dyDescent="0.3">
      <c r="A34" s="51"/>
      <c r="B34" s="52" t="s">
        <v>45</v>
      </c>
      <c r="C34" s="53"/>
      <c r="D34" s="53"/>
      <c r="E34" s="53"/>
      <c r="F34" s="53"/>
      <c r="G34" s="168">
        <f>'Rateio Custos Fixos'!J11</f>
        <v>122</v>
      </c>
    </row>
    <row r="35" spans="1:8" ht="18.600000000000001" customHeight="1" x14ac:dyDescent="0.3">
      <c r="A35" s="51"/>
      <c r="B35" s="52" t="s">
        <v>46</v>
      </c>
      <c r="C35" s="53"/>
      <c r="D35" s="53"/>
      <c r="E35" s="53"/>
      <c r="F35" s="53"/>
      <c r="G35" s="168">
        <f>'Rateio Custos Fixos'!K11</f>
        <v>1072.94</v>
      </c>
      <c r="H35"/>
    </row>
    <row r="36" spans="1:8" ht="18.600000000000001" customHeight="1" x14ac:dyDescent="0.3">
      <c r="A36" s="51"/>
      <c r="B36" s="52" t="s">
        <v>47</v>
      </c>
      <c r="C36" s="53"/>
      <c r="D36" s="53"/>
      <c r="E36" s="53"/>
      <c r="F36" s="53"/>
      <c r="G36" s="168">
        <f>'Rateio Custos Fixos'!L11</f>
        <v>774.9</v>
      </c>
    </row>
    <row r="37" spans="1:8" x14ac:dyDescent="0.3">
      <c r="A37" s="51"/>
      <c r="B37" s="52" t="s">
        <v>48</v>
      </c>
      <c r="C37" s="53"/>
      <c r="D37" s="53"/>
      <c r="E37" s="53"/>
      <c r="F37" s="53"/>
      <c r="G37" s="168">
        <f>'Rateio Custos Fixos'!M11</f>
        <v>29.8</v>
      </c>
    </row>
    <row r="38" spans="1:8" ht="18.600000000000001" customHeight="1" x14ac:dyDescent="0.3">
      <c r="A38" s="51"/>
      <c r="B38" s="52" t="s">
        <v>49</v>
      </c>
      <c r="C38" s="55">
        <v>0.08</v>
      </c>
      <c r="D38" s="53"/>
      <c r="E38" s="53"/>
      <c r="F38" s="53"/>
      <c r="G38" s="168">
        <f>C38*G19</f>
        <v>1696.8</v>
      </c>
    </row>
    <row r="39" spans="1:8" ht="18.600000000000001" customHeight="1" x14ac:dyDescent="0.3">
      <c r="A39" s="51"/>
      <c r="B39" s="52" t="s">
        <v>50</v>
      </c>
      <c r="C39" s="53"/>
      <c r="D39" s="53"/>
      <c r="E39" s="53"/>
      <c r="F39" s="53"/>
      <c r="G39" s="168">
        <f>'[1]Est. Cust. Naci. 100%'!AB21</f>
        <v>0</v>
      </c>
      <c r="H39" s="186" t="s">
        <v>122</v>
      </c>
    </row>
    <row r="40" spans="1:8" ht="18.600000000000001" customHeight="1" x14ac:dyDescent="0.3">
      <c r="A40" s="51"/>
      <c r="B40" s="52" t="s">
        <v>51</v>
      </c>
      <c r="D40" s="53"/>
      <c r="E40" s="53"/>
      <c r="F40" s="53"/>
      <c r="G40" s="168">
        <f>'Rateio Custos Fixos'!P11</f>
        <v>756.95</v>
      </c>
    </row>
    <row r="41" spans="1:8" ht="18.600000000000001" customHeight="1" x14ac:dyDescent="0.3">
      <c r="A41" s="51"/>
      <c r="B41" s="52" t="s">
        <v>52</v>
      </c>
      <c r="C41" s="53"/>
      <c r="D41" s="53"/>
      <c r="E41" s="53"/>
      <c r="F41" s="53"/>
      <c r="G41" s="168">
        <f>'Rateio Custos Fixos'!Q11</f>
        <v>320.33</v>
      </c>
    </row>
    <row r="42" spans="1:8" ht="18.600000000000001" customHeight="1" x14ac:dyDescent="0.3">
      <c r="A42" s="51"/>
      <c r="B42" s="52" t="s">
        <v>53</v>
      </c>
      <c r="C42" s="53"/>
      <c r="D42" s="53"/>
      <c r="E42" s="53"/>
      <c r="F42" s="53"/>
      <c r="G42" s="168">
        <f>'Rateio Custos Fixos'!R11</f>
        <v>117.45</v>
      </c>
    </row>
    <row r="43" spans="1:8" ht="18.600000000000001" customHeight="1" x14ac:dyDescent="0.3">
      <c r="A43" s="51"/>
      <c r="B43" s="52" t="s">
        <v>54</v>
      </c>
      <c r="C43" s="53"/>
      <c r="D43" s="53"/>
      <c r="E43" s="53"/>
      <c r="F43" s="53"/>
      <c r="G43" s="168">
        <f>'Rateio Custos Fixos'!S11</f>
        <v>286</v>
      </c>
    </row>
    <row r="44" spans="1:8" ht="18.600000000000001" customHeight="1" x14ac:dyDescent="0.3">
      <c r="A44" s="51"/>
      <c r="B44" s="52" t="s">
        <v>55</v>
      </c>
      <c r="C44" s="53"/>
      <c r="D44" s="53"/>
      <c r="E44" s="53"/>
      <c r="F44" s="53"/>
      <c r="G44" s="168">
        <f>'Rateio Custos Fixos'!T11</f>
        <v>6000</v>
      </c>
    </row>
    <row r="45" spans="1:8" ht="18.600000000000001" customHeight="1" thickBot="1" x14ac:dyDescent="0.35">
      <c r="A45" s="51"/>
      <c r="B45" s="52" t="s">
        <v>56</v>
      </c>
      <c r="C45" s="53"/>
      <c r="D45" s="53"/>
      <c r="E45" s="53"/>
      <c r="F45" s="53"/>
      <c r="G45" s="168">
        <f>'Rateio Custos Fixos'!U11</f>
        <v>2300</v>
      </c>
    </row>
    <row r="46" spans="1:8" ht="18.600000000000001" customHeight="1" thickBot="1" x14ac:dyDescent="0.3">
      <c r="A46" s="51"/>
      <c r="B46" s="45" t="s">
        <v>57</v>
      </c>
      <c r="C46" s="56"/>
      <c r="D46" s="56"/>
      <c r="E46" s="56"/>
      <c r="F46" s="56"/>
      <c r="G46" s="167">
        <f>SUM(G30:G45)</f>
        <v>15776.67</v>
      </c>
    </row>
    <row r="47" spans="1:8" ht="19.5" thickBot="1" x14ac:dyDescent="0.35">
      <c r="B47" s="193" t="s">
        <v>58</v>
      </c>
      <c r="C47" s="194"/>
      <c r="D47" s="194"/>
      <c r="E47" s="194"/>
      <c r="F47" s="195"/>
      <c r="G47" s="169">
        <f>G20+G28+G46</f>
        <v>330735.53976000001</v>
      </c>
    </row>
    <row r="48" spans="1:8" ht="19.5" thickBot="1" x14ac:dyDescent="0.35">
      <c r="B48" s="171"/>
      <c r="C48" s="172"/>
      <c r="D48" s="172"/>
      <c r="E48" s="172"/>
      <c r="F48" s="182"/>
      <c r="G48" s="181" t="s">
        <v>59</v>
      </c>
    </row>
    <row r="49" spans="1:16" ht="19.5" thickBot="1" x14ac:dyDescent="0.35">
      <c r="B49" s="57" t="str">
        <f>B15</f>
        <v>Chapa de aço Inox</v>
      </c>
      <c r="C49" s="58"/>
      <c r="D49" s="58"/>
      <c r="E49" s="58"/>
      <c r="F49" s="183"/>
      <c r="G49" s="183">
        <f>'Est. Cust. Naci.'!AU6</f>
        <v>12249.464435555556</v>
      </c>
    </row>
    <row r="50" spans="1:16" ht="19.5" hidden="1" thickBot="1" x14ac:dyDescent="0.35">
      <c r="B50" s="57" t="e">
        <f>#REF!</f>
        <v>#REF!</v>
      </c>
      <c r="C50" s="58"/>
      <c r="D50" s="58"/>
      <c r="E50" s="58"/>
      <c r="F50" s="59"/>
      <c r="G50" s="60" t="e">
        <f>'Est. Cust. Naci.'!#REF!</f>
        <v>#REF!</v>
      </c>
    </row>
    <row r="51" spans="1:16" ht="19.5" hidden="1" thickBot="1" x14ac:dyDescent="0.35">
      <c r="B51" s="57" t="e">
        <f>#REF!</f>
        <v>#REF!</v>
      </c>
      <c r="C51" s="58"/>
      <c r="D51" s="58"/>
      <c r="E51" s="58"/>
      <c r="F51" s="59"/>
      <c r="G51" s="60" t="e">
        <f>'Est. Cust. Naci.'!#REF!</f>
        <v>#REF!</v>
      </c>
    </row>
    <row r="52" spans="1:16" ht="19.5" hidden="1" thickBot="1" x14ac:dyDescent="0.35">
      <c r="B52" s="57" t="e">
        <f>#REF!</f>
        <v>#REF!</v>
      </c>
      <c r="C52" s="58"/>
      <c r="D52" s="58"/>
      <c r="E52" s="58"/>
      <c r="F52" s="59"/>
      <c r="G52" s="60" t="e">
        <f>'Est. Cust. Naci.'!#REF!</f>
        <v>#REF!</v>
      </c>
    </row>
    <row r="53" spans="1:16" x14ac:dyDescent="0.25">
      <c r="B53" s="61" t="s">
        <v>60</v>
      </c>
      <c r="C53" s="62">
        <f>G16</f>
        <v>213030</v>
      </c>
      <c r="D53" s="63"/>
      <c r="E53" s="63"/>
      <c r="F53" s="63"/>
      <c r="G53" s="64"/>
    </row>
    <row r="54" spans="1:16" x14ac:dyDescent="0.25">
      <c r="B54" s="65" t="s">
        <v>61</v>
      </c>
      <c r="C54" s="66">
        <f>C55-C53</f>
        <v>117705.53976000001</v>
      </c>
      <c r="G54" s="67"/>
    </row>
    <row r="55" spans="1:16" x14ac:dyDescent="0.25">
      <c r="B55" s="65" t="s">
        <v>59</v>
      </c>
      <c r="C55" s="66">
        <f>G47</f>
        <v>330735.53976000001</v>
      </c>
      <c r="G55" s="67"/>
    </row>
    <row r="56" spans="1:16" ht="19.5" thickBot="1" x14ac:dyDescent="0.3">
      <c r="B56" s="68" t="s">
        <v>62</v>
      </c>
      <c r="C56" s="69">
        <f>C54/C53</f>
        <v>0.55253034671173085</v>
      </c>
      <c r="D56" s="43"/>
      <c r="E56" s="43"/>
      <c r="F56" s="43"/>
      <c r="G56" s="70"/>
    </row>
    <row r="58" spans="1:16" x14ac:dyDescent="0.25">
      <c r="B58" s="89" t="s">
        <v>123</v>
      </c>
    </row>
    <row r="59" spans="1:16" s="14" customFormat="1" x14ac:dyDescent="0.25">
      <c r="A59" s="1"/>
      <c r="F59"/>
      <c r="H59" s="1"/>
      <c r="I59" s="1"/>
      <c r="J59" s="1"/>
      <c r="K59" s="1"/>
      <c r="L59" s="1"/>
      <c r="M59" s="1"/>
      <c r="N59" s="1"/>
      <c r="O59" s="1"/>
      <c r="P59" s="1"/>
    </row>
    <row r="62" spans="1:16" s="14" customFormat="1" hidden="1" x14ac:dyDescent="0.25">
      <c r="A62" s="1"/>
      <c r="B62" s="71">
        <f>F16+(F16*3.5%)</f>
        <v>41917.5</v>
      </c>
      <c r="D62" s="72">
        <f>(B62-F16)*D12</f>
        <v>7456.0499999999993</v>
      </c>
      <c r="H62" s="1"/>
      <c r="I62" s="1"/>
      <c r="J62" s="1"/>
      <c r="K62" s="1"/>
      <c r="L62" s="1"/>
      <c r="M62" s="1"/>
      <c r="N62" s="1"/>
      <c r="O62" s="1"/>
      <c r="P62" s="1"/>
    </row>
  </sheetData>
  <mergeCells count="6">
    <mergeCell ref="C5:G7"/>
    <mergeCell ref="B47:F47"/>
    <mergeCell ref="C9:D9"/>
    <mergeCell ref="B13:G13"/>
    <mergeCell ref="B21:G21"/>
    <mergeCell ref="B29:G29"/>
  </mergeCells>
  <phoneticPr fontId="15" type="noConversion"/>
  <pageMargins left="0.70866141732283472" right="0.23622047244094491" top="0.74803149606299213" bottom="0.74803149606299213" header="0.31496062992125984" footer="0.31496062992125984"/>
  <pageSetup paperSize="9" scale="49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3868-631E-4CA2-9AA0-E67134B0A4CB}">
  <sheetPr>
    <pageSetUpPr fitToPage="1"/>
  </sheetPr>
  <dimension ref="A1:AB16"/>
  <sheetViews>
    <sheetView zoomScale="85" zoomScaleNormal="85" workbookViewId="0">
      <selection activeCell="F17" sqref="F17"/>
    </sheetView>
  </sheetViews>
  <sheetFormatPr defaultRowHeight="15" x14ac:dyDescent="0.25"/>
  <cols>
    <col min="1" max="1" width="9.28515625" customWidth="1"/>
    <col min="2" max="2" width="14.42578125" customWidth="1"/>
    <col min="3" max="3" width="14" customWidth="1"/>
    <col min="4" max="4" width="10.28515625" customWidth="1"/>
    <col min="5" max="5" width="6.140625" bestFit="1" customWidth="1"/>
    <col min="6" max="6" width="8.7109375" bestFit="1" customWidth="1"/>
    <col min="7" max="7" width="5.140625" bestFit="1" customWidth="1"/>
    <col min="8" max="8" width="8" bestFit="1" customWidth="1"/>
    <col min="9" max="9" width="5.85546875" bestFit="1" customWidth="1"/>
    <col min="10" max="10" width="13.140625" bestFit="1" customWidth="1"/>
    <col min="11" max="11" width="16.42578125" customWidth="1"/>
    <col min="12" max="12" width="14.7109375" hidden="1" customWidth="1"/>
    <col min="13" max="13" width="17.28515625" customWidth="1"/>
    <col min="14" max="14" width="17.42578125" customWidth="1"/>
    <col min="15" max="15" width="14.7109375" hidden="1" customWidth="1"/>
    <col min="16" max="16" width="10.5703125" customWidth="1"/>
    <col min="17" max="17" width="12.7109375" customWidth="1"/>
    <col min="18" max="18" width="19.85546875" bestFit="1" customWidth="1"/>
    <col min="19" max="19" width="18.7109375" style="2" hidden="1" customWidth="1"/>
    <col min="20" max="22" width="16.28515625" customWidth="1"/>
    <col min="23" max="23" width="10.28515625" customWidth="1"/>
    <col min="24" max="24" width="9.140625" customWidth="1"/>
    <col min="25" max="25" width="16.28515625" customWidth="1"/>
    <col min="26" max="26" width="13.28515625" customWidth="1"/>
    <col min="27" max="27" width="9.140625" customWidth="1"/>
    <col min="28" max="28" width="11.7109375" customWidth="1"/>
  </cols>
  <sheetData>
    <row r="1" spans="1:28" ht="26.25" x14ac:dyDescent="0.4">
      <c r="A1" s="150" t="s">
        <v>63</v>
      </c>
      <c r="X1" s="153"/>
      <c r="Y1" s="153"/>
      <c r="Z1" s="153"/>
      <c r="AA1" s="153"/>
    </row>
    <row r="2" spans="1:28" x14ac:dyDescent="0.25">
      <c r="X2" s="153"/>
      <c r="Y2" s="153"/>
      <c r="Z2" s="153"/>
      <c r="AA2" s="153"/>
    </row>
    <row r="3" spans="1:28" ht="47.25" x14ac:dyDescent="0.25">
      <c r="A3" s="131" t="s">
        <v>64</v>
      </c>
      <c r="B3" s="131" t="s">
        <v>0</v>
      </c>
      <c r="C3" s="132" t="s">
        <v>65</v>
      </c>
      <c r="D3" s="131" t="s">
        <v>66</v>
      </c>
      <c r="E3" s="133" t="s">
        <v>67</v>
      </c>
      <c r="F3" s="133" t="s">
        <v>68</v>
      </c>
      <c r="G3" s="133" t="s">
        <v>36</v>
      </c>
      <c r="H3" s="133" t="s">
        <v>37</v>
      </c>
      <c r="I3" s="133" t="s">
        <v>38</v>
      </c>
      <c r="J3" s="132" t="s">
        <v>69</v>
      </c>
      <c r="K3" s="132" t="s">
        <v>70</v>
      </c>
      <c r="L3" s="132" t="s">
        <v>71</v>
      </c>
      <c r="M3" s="132" t="s">
        <v>72</v>
      </c>
      <c r="N3" s="132" t="s">
        <v>72</v>
      </c>
      <c r="O3" s="132" t="s">
        <v>73</v>
      </c>
      <c r="P3" s="132" t="s">
        <v>74</v>
      </c>
      <c r="Q3" s="132" t="s">
        <v>75</v>
      </c>
      <c r="R3" s="134" t="s">
        <v>76</v>
      </c>
      <c r="S3" s="134" t="s">
        <v>77</v>
      </c>
      <c r="T3" s="79"/>
      <c r="U3" s="79"/>
      <c r="V3" s="79"/>
      <c r="W3" s="79"/>
      <c r="X3" s="153"/>
      <c r="Y3" s="153"/>
      <c r="Z3" s="153"/>
      <c r="AA3" s="153"/>
      <c r="AB3" s="151"/>
    </row>
    <row r="4" spans="1:28" ht="15.75" x14ac:dyDescent="0.25">
      <c r="A4" s="131"/>
      <c r="B4" s="131"/>
      <c r="C4" s="132"/>
      <c r="D4" s="131"/>
      <c r="E4" s="133"/>
      <c r="F4" s="133"/>
      <c r="G4" s="133"/>
      <c r="H4" s="133"/>
      <c r="I4" s="133"/>
      <c r="J4" s="132">
        <f>SUM(J5:J5)</f>
        <v>27</v>
      </c>
      <c r="K4" s="135">
        <f>SUM(K5:K5)</f>
        <v>1500</v>
      </c>
      <c r="L4" s="135"/>
      <c r="M4" s="135">
        <f>SUM(M5:M5)</f>
        <v>40500</v>
      </c>
      <c r="N4" s="136">
        <v>5.38</v>
      </c>
      <c r="O4" s="136"/>
      <c r="P4" s="137">
        <v>1</v>
      </c>
      <c r="Q4" s="137">
        <v>1</v>
      </c>
      <c r="R4" s="138"/>
      <c r="S4" s="138"/>
      <c r="T4" s="153"/>
      <c r="U4" s="153"/>
      <c r="V4" s="153"/>
      <c r="W4" s="153"/>
      <c r="X4" s="153"/>
      <c r="Y4" s="153"/>
      <c r="Z4" s="153"/>
      <c r="AA4" s="153"/>
      <c r="AB4" s="152"/>
    </row>
    <row r="5" spans="1:28" ht="75" customHeight="1" x14ac:dyDescent="0.25">
      <c r="A5" s="139">
        <v>1</v>
      </c>
      <c r="B5" s="148"/>
      <c r="C5" s="140" t="s">
        <v>78</v>
      </c>
      <c r="D5" s="141">
        <v>72192300</v>
      </c>
      <c r="E5" s="142">
        <v>0.126</v>
      </c>
      <c r="F5" s="144">
        <v>3.6499999999999998E-2</v>
      </c>
      <c r="G5" s="143">
        <v>2.1000000000000001E-2</v>
      </c>
      <c r="H5" s="144">
        <v>9.6500000000000002E-2</v>
      </c>
      <c r="I5" s="145">
        <v>0.06</v>
      </c>
      <c r="J5" s="149">
        <v>27</v>
      </c>
      <c r="K5" s="146">
        <v>1500</v>
      </c>
      <c r="L5" s="146">
        <f>K5/2</f>
        <v>750</v>
      </c>
      <c r="M5" s="146">
        <f>K5*J5</f>
        <v>40500</v>
      </c>
      <c r="N5" s="147">
        <f>M5*$N$4</f>
        <v>217890</v>
      </c>
      <c r="O5" s="147">
        <f>L5*J5*$N$4</f>
        <v>108945</v>
      </c>
      <c r="P5" s="144">
        <f>(J5*$P$4)/$J$4</f>
        <v>1</v>
      </c>
      <c r="Q5" s="144">
        <f>(K5*$Q$4)/$K$4</f>
        <v>1</v>
      </c>
      <c r="R5" s="147">
        <f>'Est. Cust. Naci.'!AU6</f>
        <v>12249.464435555556</v>
      </c>
      <c r="S5" s="147">
        <f>'Resumo 100%'!G49</f>
        <v>12249.464435555556</v>
      </c>
      <c r="T5" s="75"/>
      <c r="U5" s="75"/>
      <c r="V5" s="75"/>
      <c r="W5" s="75"/>
      <c r="X5" s="153"/>
      <c r="Y5" s="153"/>
      <c r="Z5" s="153"/>
      <c r="AA5" s="153"/>
      <c r="AB5" s="129"/>
    </row>
    <row r="10" spans="1:28" x14ac:dyDescent="0.25">
      <c r="S10"/>
    </row>
    <row r="16" spans="1:28" x14ac:dyDescent="0.25">
      <c r="E16" t="e" vm="1">
        <v>#VALUE!</v>
      </c>
      <c r="F16" s="10">
        <v>5.26</v>
      </c>
    </row>
  </sheetData>
  <phoneticPr fontId="15" type="noConversion"/>
  <pageMargins left="0.70866141732283472" right="0.23622047244094491" top="0.74803149606299213" bottom="0.74803149606299213" header="0.31496062992125984" footer="0.31496062992125984"/>
  <pageSetup paperSize="9" scale="6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A4502-76C4-43B2-B029-6AE535E32796}">
  <dimension ref="A1:BB43"/>
  <sheetViews>
    <sheetView topLeftCell="B1" zoomScale="90" zoomScaleNormal="90" workbookViewId="0">
      <selection activeCell="N14" sqref="N14"/>
    </sheetView>
  </sheetViews>
  <sheetFormatPr defaultRowHeight="15" x14ac:dyDescent="0.25"/>
  <cols>
    <col min="1" max="1" width="9.140625" hidden="1" customWidth="1"/>
    <col min="2" max="2" width="9.140625" customWidth="1"/>
    <col min="3" max="3" width="13.5703125" customWidth="1"/>
    <col min="4" max="6" width="8.140625" customWidth="1"/>
    <col min="7" max="7" width="10.85546875" bestFit="1" customWidth="1"/>
    <col min="8" max="8" width="20.28515625" customWidth="1"/>
    <col min="9" max="9" width="9.140625" customWidth="1"/>
    <col min="10" max="10" width="9.5703125" bestFit="1" customWidth="1"/>
    <col min="11" max="11" width="13.28515625" bestFit="1" customWidth="1"/>
    <col min="12" max="12" width="17.42578125" bestFit="1" customWidth="1"/>
    <col min="13" max="13" width="15.5703125" hidden="1" customWidth="1"/>
    <col min="14" max="14" width="16" bestFit="1" customWidth="1"/>
    <col min="15" max="15" width="14.28515625" bestFit="1" customWidth="1"/>
    <col min="16" max="16" width="17.28515625" customWidth="1"/>
    <col min="17" max="17" width="20.140625" customWidth="1"/>
    <col min="18" max="18" width="14.28515625" bestFit="1" customWidth="1"/>
    <col min="19" max="20" width="13.85546875" bestFit="1" customWidth="1"/>
    <col min="21" max="22" width="14.5703125" bestFit="1" customWidth="1"/>
    <col min="23" max="23" width="19.28515625" bestFit="1" customWidth="1"/>
    <col min="24" max="24" width="19.28515625" hidden="1" customWidth="1"/>
    <col min="25" max="27" width="14.5703125" bestFit="1" customWidth="1"/>
    <col min="28" max="28" width="13" bestFit="1" customWidth="1"/>
    <col min="29" max="29" width="14.5703125" bestFit="1" customWidth="1"/>
    <col min="30" max="30" width="16.7109375" bestFit="1" customWidth="1"/>
    <col min="31" max="31" width="14.5703125" bestFit="1" customWidth="1"/>
    <col min="32" max="32" width="13" bestFit="1" customWidth="1"/>
    <col min="33" max="33" width="12.7109375" bestFit="1" customWidth="1"/>
    <col min="35" max="35" width="16.7109375" bestFit="1" customWidth="1"/>
    <col min="36" max="38" width="14.5703125" bestFit="1" customWidth="1"/>
    <col min="39" max="40" width="16.7109375" bestFit="1" customWidth="1"/>
    <col min="41" max="41" width="18.28515625" bestFit="1" customWidth="1"/>
    <col min="42" max="42" width="19.7109375" customWidth="1"/>
    <col min="43" max="46" width="19.7109375" hidden="1" customWidth="1"/>
    <col min="47" max="47" width="19.7109375" customWidth="1"/>
    <col min="48" max="48" width="19.7109375" hidden="1" customWidth="1"/>
    <col min="49" max="49" width="19.7109375" customWidth="1"/>
    <col min="50" max="50" width="19.7109375" hidden="1" customWidth="1"/>
    <col min="51" max="51" width="19.7109375" customWidth="1"/>
    <col min="52" max="52" width="14.28515625" hidden="1" customWidth="1"/>
    <col min="53" max="53" width="13.140625" customWidth="1"/>
  </cols>
  <sheetData>
    <row r="1" spans="1:54" x14ac:dyDescent="0.2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1"/>
      <c r="AQ1" s="81"/>
      <c r="AR1" s="81"/>
      <c r="AS1" s="81"/>
      <c r="AT1" s="81"/>
      <c r="AU1" s="81"/>
      <c r="AV1" s="81"/>
      <c r="AW1" s="81"/>
      <c r="AX1" s="81"/>
      <c r="AY1" s="81"/>
    </row>
    <row r="2" spans="1:54" x14ac:dyDescent="0.25">
      <c r="A2" s="82"/>
      <c r="B2" s="82"/>
      <c r="C2" s="83" t="s">
        <v>79</v>
      </c>
      <c r="D2" s="83"/>
      <c r="E2" s="83"/>
      <c r="F2" s="83"/>
      <c r="G2" s="83"/>
      <c r="H2" s="83"/>
      <c r="I2" s="83"/>
      <c r="J2" s="83"/>
      <c r="K2" s="83"/>
      <c r="L2" s="84" t="s">
        <v>80</v>
      </c>
      <c r="M2" s="84"/>
      <c r="N2" s="84"/>
      <c r="O2" s="84"/>
      <c r="P2" s="85"/>
      <c r="Q2" s="85"/>
      <c r="R2" s="86" t="s">
        <v>31</v>
      </c>
      <c r="S2" s="87"/>
      <c r="T2" s="87"/>
      <c r="U2" s="87"/>
      <c r="V2" s="87"/>
      <c r="W2" s="87"/>
      <c r="X2" s="87"/>
      <c r="Y2" s="88" t="s">
        <v>40</v>
      </c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9"/>
      <c r="AQ2" s="89"/>
      <c r="AR2" s="89"/>
      <c r="AS2" s="89"/>
      <c r="AT2" s="89"/>
      <c r="AU2" s="89"/>
      <c r="AV2" s="89"/>
      <c r="AW2" s="89"/>
      <c r="AX2" s="89"/>
      <c r="AY2" s="89"/>
    </row>
    <row r="3" spans="1:54" ht="60" x14ac:dyDescent="0.25">
      <c r="A3" s="90"/>
      <c r="B3" s="91" t="s">
        <v>81</v>
      </c>
      <c r="C3" s="91" t="s">
        <v>16</v>
      </c>
      <c r="D3" s="92" t="s">
        <v>82</v>
      </c>
      <c r="E3" s="92" t="s">
        <v>83</v>
      </c>
      <c r="F3" s="92" t="s">
        <v>84</v>
      </c>
      <c r="G3" s="91" t="s">
        <v>66</v>
      </c>
      <c r="H3" s="93" t="s">
        <v>85</v>
      </c>
      <c r="I3" s="94" t="s">
        <v>75</v>
      </c>
      <c r="J3" s="95" t="s">
        <v>86</v>
      </c>
      <c r="K3" s="92" t="s">
        <v>87</v>
      </c>
      <c r="L3" s="96" t="s">
        <v>88</v>
      </c>
      <c r="M3" s="96" t="s">
        <v>89</v>
      </c>
      <c r="N3" s="96" t="s">
        <v>90</v>
      </c>
      <c r="O3" s="96" t="s">
        <v>91</v>
      </c>
      <c r="P3" s="96" t="s">
        <v>30</v>
      </c>
      <c r="Q3" s="96" t="s">
        <v>120</v>
      </c>
      <c r="R3" s="97" t="s">
        <v>92</v>
      </c>
      <c r="S3" s="98" t="s">
        <v>68</v>
      </c>
      <c r="T3" s="98" t="s">
        <v>36</v>
      </c>
      <c r="U3" s="98" t="s">
        <v>37</v>
      </c>
      <c r="V3" s="98" t="s">
        <v>38</v>
      </c>
      <c r="W3" s="97" t="s">
        <v>93</v>
      </c>
      <c r="X3" s="97" t="s">
        <v>94</v>
      </c>
      <c r="Y3" s="99" t="s">
        <v>41</v>
      </c>
      <c r="Z3" s="99" t="s">
        <v>42</v>
      </c>
      <c r="AA3" s="99" t="s">
        <v>95</v>
      </c>
      <c r="AB3" s="99" t="s">
        <v>44</v>
      </c>
      <c r="AC3" s="99" t="s">
        <v>45</v>
      </c>
      <c r="AD3" s="99" t="s">
        <v>46</v>
      </c>
      <c r="AE3" s="99" t="s">
        <v>47</v>
      </c>
      <c r="AF3" s="99" t="s">
        <v>48</v>
      </c>
      <c r="AG3" s="99" t="s">
        <v>49</v>
      </c>
      <c r="AH3" s="99" t="s">
        <v>96</v>
      </c>
      <c r="AI3" s="99" t="s">
        <v>97</v>
      </c>
      <c r="AJ3" s="99" t="s">
        <v>98</v>
      </c>
      <c r="AK3" s="99" t="s">
        <v>99</v>
      </c>
      <c r="AL3" s="99" t="s">
        <v>100</v>
      </c>
      <c r="AM3" s="99" t="s">
        <v>55</v>
      </c>
      <c r="AN3" s="99" t="s">
        <v>56</v>
      </c>
      <c r="AO3" s="99" t="s">
        <v>101</v>
      </c>
      <c r="AP3" s="100" t="s">
        <v>59</v>
      </c>
      <c r="AQ3" s="100" t="s">
        <v>102</v>
      </c>
      <c r="AR3" s="100" t="s">
        <v>102</v>
      </c>
      <c r="AS3" s="100" t="s">
        <v>103</v>
      </c>
      <c r="AT3" s="100" t="s">
        <v>104</v>
      </c>
      <c r="AU3" s="100" t="s">
        <v>105</v>
      </c>
      <c r="AV3" s="100" t="s">
        <v>106</v>
      </c>
      <c r="AW3" s="100" t="s">
        <v>107</v>
      </c>
      <c r="AX3" s="100" t="s">
        <v>108</v>
      </c>
      <c r="AY3" s="100"/>
      <c r="AZ3" s="100" t="s">
        <v>109</v>
      </c>
      <c r="BA3" s="3"/>
    </row>
    <row r="4" spans="1:54" ht="18.75" x14ac:dyDescent="0.25">
      <c r="A4" s="90" t="s">
        <v>81</v>
      </c>
      <c r="B4" s="90"/>
      <c r="C4" s="101"/>
      <c r="D4" s="101"/>
      <c r="E4" s="101"/>
      <c r="F4" s="101"/>
      <c r="G4" s="101"/>
      <c r="H4" s="102"/>
      <c r="I4" s="103"/>
      <c r="J4" s="104"/>
      <c r="K4" s="105"/>
      <c r="L4" s="106">
        <f>N13</f>
        <v>5.26</v>
      </c>
      <c r="M4" s="106">
        <v>4.8887</v>
      </c>
      <c r="N4" s="107">
        <v>0</v>
      </c>
      <c r="O4" s="108"/>
      <c r="P4" s="109">
        <f>SUM(P6:P6)</f>
        <v>234240</v>
      </c>
      <c r="Q4" s="109"/>
      <c r="R4" s="173">
        <f>'LISTA DE COMPRAS'!E5</f>
        <v>0.126</v>
      </c>
      <c r="S4" s="174">
        <f>'LISTA DE COMPRAS'!F5</f>
        <v>3.6499999999999998E-2</v>
      </c>
      <c r="T4" s="173">
        <f>'LISTA DE COMPRAS'!G5</f>
        <v>2.1000000000000001E-2</v>
      </c>
      <c r="U4" s="174">
        <f>'LISTA DE COMPRAS'!H5</f>
        <v>9.6500000000000002E-2</v>
      </c>
      <c r="V4" s="110">
        <f>'LISTA DE COMPRAS'!I5</f>
        <v>0.06</v>
      </c>
      <c r="W4" s="111"/>
      <c r="X4" s="111"/>
      <c r="Y4" s="112"/>
      <c r="Z4" s="112"/>
      <c r="AA4" s="112"/>
      <c r="AB4" s="112"/>
      <c r="AC4" s="112"/>
      <c r="AD4" s="112"/>
      <c r="AE4" s="112"/>
      <c r="AF4" s="112"/>
      <c r="AG4" s="113">
        <v>0.08</v>
      </c>
      <c r="AH4" s="114"/>
      <c r="AI4" s="112"/>
      <c r="AJ4" s="112"/>
      <c r="AK4" s="112"/>
      <c r="AL4" s="112"/>
      <c r="AM4" s="112"/>
      <c r="AN4" s="112"/>
      <c r="AO4" s="112"/>
      <c r="AP4" s="115"/>
      <c r="AQ4" s="115"/>
      <c r="AR4" s="115"/>
      <c r="AS4" s="115"/>
      <c r="AT4" s="115"/>
      <c r="AU4" s="115"/>
      <c r="AV4" s="115"/>
      <c r="AW4" s="115"/>
      <c r="AX4" s="115"/>
      <c r="AY4" s="115"/>
    </row>
    <row r="5" spans="1:54" ht="18.75" x14ac:dyDescent="0.25">
      <c r="A5" s="5" t="s">
        <v>110</v>
      </c>
      <c r="B5" s="5"/>
      <c r="C5" s="116"/>
      <c r="D5" s="116"/>
      <c r="E5" s="116"/>
      <c r="F5" s="116"/>
      <c r="G5" s="116"/>
      <c r="H5" s="117"/>
      <c r="I5" s="118"/>
      <c r="J5" s="119"/>
      <c r="K5" s="120"/>
      <c r="L5" s="121"/>
      <c r="M5" s="121"/>
      <c r="N5" s="122"/>
      <c r="O5" s="123"/>
      <c r="P5" s="124"/>
      <c r="Q5" s="124"/>
      <c r="R5" s="185">
        <f>R4</f>
        <v>0.126</v>
      </c>
      <c r="S5" s="125">
        <f>S4</f>
        <v>3.6499999999999998E-2</v>
      </c>
      <c r="T5" s="125">
        <f>T4</f>
        <v>2.1000000000000001E-2</v>
      </c>
      <c r="U5" s="125">
        <f>U4</f>
        <v>9.6500000000000002E-2</v>
      </c>
      <c r="V5" s="125">
        <f>V4</f>
        <v>0.06</v>
      </c>
      <c r="W5" s="155">
        <f>W6</f>
        <v>80718.869760000001</v>
      </c>
      <c r="X5" s="155" t="e">
        <f>SUM(#REF!,X6)</f>
        <v>#REF!</v>
      </c>
      <c r="Y5" s="115"/>
      <c r="Z5" s="115"/>
      <c r="AA5" s="115"/>
      <c r="AB5" s="115"/>
      <c r="AC5" s="115"/>
      <c r="AD5" s="115"/>
      <c r="AE5" s="115"/>
      <c r="AF5" s="115"/>
      <c r="AG5" s="126"/>
      <c r="AH5" s="127"/>
      <c r="AI5" s="115"/>
      <c r="AJ5" s="115"/>
      <c r="AK5" s="115"/>
      <c r="AL5" s="115"/>
      <c r="AM5" s="115"/>
      <c r="AN5" s="115"/>
      <c r="AO5" s="115">
        <f>SUM(AO6:AO6)</f>
        <v>15776.67</v>
      </c>
      <c r="AP5" s="115">
        <f>AO5+W5+P4</f>
        <v>330735.53976000001</v>
      </c>
      <c r="AQ5" s="115">
        <v>21877.4247962101</v>
      </c>
      <c r="AR5" s="115" t="e">
        <f>AO5+X5+Q4+#REF!</f>
        <v>#REF!</v>
      </c>
      <c r="AS5" s="115"/>
      <c r="AT5" s="115"/>
      <c r="AU5" s="115"/>
      <c r="AV5" s="115"/>
      <c r="AW5" s="115"/>
      <c r="AX5" s="115"/>
      <c r="AY5" s="115"/>
    </row>
    <row r="6" spans="1:54" x14ac:dyDescent="0.25">
      <c r="A6" t="s">
        <v>110</v>
      </c>
      <c r="B6">
        <f>'LISTA DE COMPRAS'!A5</f>
        <v>1</v>
      </c>
      <c r="C6" s="89" t="str">
        <f>'LISTA DE COMPRAS'!C5</f>
        <v>Chapa de aço Inox</v>
      </c>
      <c r="G6" s="128">
        <f>'LISTA DE COMPRAS'!D5</f>
        <v>72192300</v>
      </c>
      <c r="H6" s="2">
        <f>'LISTA DE COMPRAS'!J5</f>
        <v>27</v>
      </c>
      <c r="I6" s="129">
        <f>'LISTA DE COMPRAS'!Q5</f>
        <v>1</v>
      </c>
      <c r="J6" s="13">
        <f>'LISTA DE COMPRAS'!K5</f>
        <v>1500</v>
      </c>
      <c r="K6" s="13">
        <f>H6*J6</f>
        <v>40500</v>
      </c>
      <c r="L6" s="10">
        <f>K6*$L$4</f>
        <v>213030</v>
      </c>
      <c r="M6" s="10">
        <f>L6*50%</f>
        <v>106515</v>
      </c>
      <c r="N6" s="4">
        <f>$N$4*I6</f>
        <v>0</v>
      </c>
      <c r="O6" s="10">
        <f>'Rateio Custos Fixos'!E13</f>
        <v>21210</v>
      </c>
      <c r="P6" s="10">
        <f>SUM(L6,O6)</f>
        <v>234240</v>
      </c>
      <c r="Q6" s="10">
        <f>SUM(P6+R6)</f>
        <v>263754.23999999999</v>
      </c>
      <c r="R6" s="10">
        <f>$P6*R$5</f>
        <v>29514.240000000002</v>
      </c>
      <c r="S6" s="10">
        <f>$Q6*S$4</f>
        <v>9627.0297599999994</v>
      </c>
      <c r="T6" s="10">
        <f>$P6*T$5</f>
        <v>4919.04</v>
      </c>
      <c r="U6" s="10">
        <f>$P6*U$5</f>
        <v>22604.16</v>
      </c>
      <c r="V6" s="10">
        <f>$P6*V$5</f>
        <v>14054.4</v>
      </c>
      <c r="W6" s="10">
        <f>SUM(R6:V6)</f>
        <v>80718.869760000001</v>
      </c>
      <c r="X6" s="10">
        <f>SUM(R12:V12)</f>
        <v>89676.441599999991</v>
      </c>
      <c r="Y6" s="10">
        <f>'Rateio Custos Fixos'!F13</f>
        <v>214.5</v>
      </c>
      <c r="Z6" s="10">
        <f>'Rateio Custos Fixos'!G13</f>
        <v>490</v>
      </c>
      <c r="AA6" s="10">
        <f>'Rateio Custos Fixos'!H13</f>
        <v>1547</v>
      </c>
      <c r="AB6" s="10">
        <f>'Rateio Custos Fixos'!I13</f>
        <v>48</v>
      </c>
      <c r="AC6" s="10">
        <f>'Rateio Custos Fixos'!J13</f>
        <v>122</v>
      </c>
      <c r="AD6" s="10">
        <f>'Rateio Custos Fixos'!K13</f>
        <v>1072.94</v>
      </c>
      <c r="AE6" s="10">
        <f>'Rateio Custos Fixos'!L13</f>
        <v>774.9</v>
      </c>
      <c r="AF6" s="10">
        <f>'Rateio Custos Fixos'!M13</f>
        <v>29.8</v>
      </c>
      <c r="AG6" s="10">
        <f>'Rateio Custos Fixos'!N13</f>
        <v>1696.8</v>
      </c>
      <c r="AH6" s="10">
        <f>'Rateio Custos Fixos'!O13</f>
        <v>0</v>
      </c>
      <c r="AI6" s="10">
        <f>'Rateio Custos Fixos'!P13</f>
        <v>756.95</v>
      </c>
      <c r="AJ6" s="10">
        <f>'Rateio Custos Fixos'!Q13</f>
        <v>320.33</v>
      </c>
      <c r="AK6" s="10">
        <f>'Rateio Custos Fixos'!R13</f>
        <v>117.45</v>
      </c>
      <c r="AL6" s="10">
        <f>'Rateio Custos Fixos'!S13</f>
        <v>286</v>
      </c>
      <c r="AM6" s="10">
        <f>'Rateio Custos Fixos'!T13</f>
        <v>6000</v>
      </c>
      <c r="AN6" s="10">
        <f>'Rateio Custos Fixos'!U13</f>
        <v>2300</v>
      </c>
      <c r="AO6" s="10">
        <f>SUM(Y6:AN6)</f>
        <v>15776.67</v>
      </c>
      <c r="AP6" s="10">
        <f>AO6+W6+P6</f>
        <v>330735.53976000001</v>
      </c>
      <c r="AQ6" s="10">
        <v>2595.3166170147351</v>
      </c>
      <c r="AR6" s="10">
        <f>AO6+X6+P6</f>
        <v>339693.1116</v>
      </c>
      <c r="AS6" s="10">
        <f>(AP6/H6)</f>
        <v>12249.464435555556</v>
      </c>
      <c r="AT6" s="10">
        <f>AR6/H6</f>
        <v>12581.226355555556</v>
      </c>
      <c r="AU6" s="10">
        <f>(L6+(L6*$AP$17))/H6</f>
        <v>12249.464435555556</v>
      </c>
      <c r="AV6" s="10" t="e">
        <f>(AR6*#REF!)/'Est. Cust. Naci.'!H6</f>
        <v>#REF!</v>
      </c>
      <c r="AW6" s="10">
        <f>(J6*9)</f>
        <v>13500</v>
      </c>
      <c r="AX6" s="10">
        <f>AW6/2</f>
        <v>6750</v>
      </c>
      <c r="AY6" s="130"/>
      <c r="AZ6" s="10">
        <f>AP6/H6</f>
        <v>12249.464435555556</v>
      </c>
      <c r="BB6" s="13"/>
    </row>
    <row r="7" spans="1:54" x14ac:dyDescent="0.25">
      <c r="O7" t="s">
        <v>111</v>
      </c>
      <c r="R7" s="154">
        <f>SUM(R6:R6)</f>
        <v>29514.240000000002</v>
      </c>
      <c r="S7" s="154">
        <f>SUM(S6:S6)</f>
        <v>9627.0297599999994</v>
      </c>
      <c r="T7" s="154">
        <f>SUM(T6:T6)</f>
        <v>4919.04</v>
      </c>
      <c r="U7" s="154">
        <f>SUM(U6:U6)</f>
        <v>22604.16</v>
      </c>
      <c r="V7" s="154">
        <f>SUM(V6:V6)</f>
        <v>14054.4</v>
      </c>
      <c r="W7" s="154"/>
      <c r="X7" s="154"/>
      <c r="AP7" s="10"/>
      <c r="AQ7" s="10"/>
      <c r="AR7" s="10"/>
      <c r="AT7" s="130"/>
      <c r="AU7" s="130"/>
      <c r="AV7" s="130"/>
      <c r="AX7" s="130"/>
    </row>
    <row r="8" spans="1:54" x14ac:dyDescent="0.25">
      <c r="AP8" s="10"/>
      <c r="AQ8" s="10"/>
      <c r="AR8" s="10"/>
      <c r="AT8" s="130"/>
      <c r="AV8" s="130"/>
      <c r="AX8" s="130"/>
      <c r="AZ8" t="s">
        <v>112</v>
      </c>
    </row>
    <row r="9" spans="1:54" x14ac:dyDescent="0.25">
      <c r="AP9" s="10"/>
      <c r="AQ9" s="10"/>
      <c r="AR9" s="10"/>
      <c r="AT9" s="130"/>
      <c r="AV9" s="130"/>
      <c r="AX9" s="130"/>
    </row>
    <row r="10" spans="1:54" x14ac:dyDescent="0.25">
      <c r="AP10" s="10"/>
      <c r="AQ10" s="10"/>
      <c r="AR10" s="10"/>
      <c r="AT10" s="130"/>
      <c r="AV10" s="130"/>
      <c r="AX10" s="130"/>
    </row>
    <row r="11" spans="1:54" x14ac:dyDescent="0.25">
      <c r="R11" s="10" t="e">
        <f>#REF!*R$5</f>
        <v>#REF!</v>
      </c>
      <c r="S11" s="10" t="e">
        <f>#REF!*S$5</f>
        <v>#REF!</v>
      </c>
      <c r="T11" s="10" t="e">
        <f>#REF!*T$5</f>
        <v>#REF!</v>
      </c>
      <c r="U11" s="10" t="e">
        <f>#REF!*U$5</f>
        <v>#REF!</v>
      </c>
      <c r="V11" s="10" t="e">
        <f>#REF!*V$5</f>
        <v>#REF!</v>
      </c>
      <c r="AP11" s="10"/>
      <c r="AQ11" s="10"/>
      <c r="AR11" s="10"/>
      <c r="AT11" s="130"/>
      <c r="AV11" s="130"/>
      <c r="AX11" s="130"/>
    </row>
    <row r="12" spans="1:54" x14ac:dyDescent="0.25">
      <c r="R12" s="10">
        <f>$Q6*R$5</f>
        <v>33233.034240000001</v>
      </c>
      <c r="S12" s="10">
        <f>$Q6*S$5</f>
        <v>9627.0297599999994</v>
      </c>
      <c r="T12" s="10">
        <f>$Q6*T$5</f>
        <v>5538.8390399999998</v>
      </c>
      <c r="U12" s="10">
        <f>$Q6*U$5</f>
        <v>25452.284159999999</v>
      </c>
      <c r="V12" s="10">
        <f>$Q6*V$5</f>
        <v>15825.254399999998</v>
      </c>
      <c r="AP12" s="10"/>
      <c r="AQ12" s="10"/>
      <c r="AR12" s="10"/>
      <c r="AT12" s="130"/>
      <c r="AV12" s="130"/>
      <c r="AX12" s="130"/>
    </row>
    <row r="13" spans="1:54" x14ac:dyDescent="0.25">
      <c r="L13" t="e" vm="1">
        <v>#VALUE!</v>
      </c>
      <c r="N13" s="10">
        <v>5.26</v>
      </c>
      <c r="AP13" s="10"/>
      <c r="AQ13" s="10"/>
      <c r="AR13" s="10"/>
    </row>
    <row r="14" spans="1:54" x14ac:dyDescent="0.25">
      <c r="O14" s="10">
        <f>P4+W5+AO5</f>
        <v>330735.53976000001</v>
      </c>
      <c r="AO14" t="s">
        <v>113</v>
      </c>
      <c r="AP14" s="10">
        <f>SUM(L6:L6)</f>
        <v>213030</v>
      </c>
      <c r="AQ14" s="10"/>
      <c r="AR14" s="10"/>
    </row>
    <row r="15" spans="1:54" x14ac:dyDescent="0.25">
      <c r="AO15" t="s">
        <v>114</v>
      </c>
      <c r="AP15" s="10">
        <f>AP16-AP14</f>
        <v>117705.53976000001</v>
      </c>
    </row>
    <row r="16" spans="1:54" x14ac:dyDescent="0.25">
      <c r="AO16" t="s">
        <v>115</v>
      </c>
      <c r="AP16" s="10">
        <f>AP5</f>
        <v>330735.53976000001</v>
      </c>
    </row>
    <row r="17" spans="16:42" x14ac:dyDescent="0.25">
      <c r="P17" t="b">
        <f>P4='Resumo 100%'!G20</f>
        <v>1</v>
      </c>
      <c r="AO17" t="s">
        <v>116</v>
      </c>
      <c r="AP17" s="130">
        <f>AP15/AP14</f>
        <v>0.55253034671173085</v>
      </c>
    </row>
    <row r="18" spans="16:42" x14ac:dyDescent="0.25">
      <c r="P18" t="b">
        <f>W5='Resumo 100%'!G28</f>
        <v>1</v>
      </c>
    </row>
    <row r="19" spans="16:42" x14ac:dyDescent="0.25">
      <c r="P19" t="e">
        <f>AO5=#REF!</f>
        <v>#REF!</v>
      </c>
    </row>
    <row r="35" spans="16:25" x14ac:dyDescent="0.25">
      <c r="S35" s="10">
        <v>13890.63626496</v>
      </c>
      <c r="T35" s="10">
        <v>4030.7649876</v>
      </c>
      <c r="U35" s="10">
        <v>2604.49429968</v>
      </c>
      <c r="V35" s="10">
        <v>11968.27142472</v>
      </c>
      <c r="W35" s="10">
        <v>7441.4122847999997</v>
      </c>
      <c r="Y35" s="10">
        <f>SUM(S35:X35)</f>
        <v>39935.579261759995</v>
      </c>
    </row>
    <row r="38" spans="16:25" x14ac:dyDescent="0.25">
      <c r="P38" s="152">
        <v>13890.63626496</v>
      </c>
      <c r="R38" t="s">
        <v>67</v>
      </c>
      <c r="S38" t="b">
        <f>P38=S35</f>
        <v>1</v>
      </c>
    </row>
    <row r="39" spans="16:25" x14ac:dyDescent="0.25">
      <c r="P39" s="152">
        <v>2604.49429968</v>
      </c>
      <c r="R39" t="s">
        <v>36</v>
      </c>
      <c r="S39" t="b">
        <f>T35=P41</f>
        <v>0</v>
      </c>
    </row>
    <row r="40" spans="16:25" x14ac:dyDescent="0.25">
      <c r="P40" s="152">
        <v>11968.27142472</v>
      </c>
      <c r="R40" t="s">
        <v>37</v>
      </c>
      <c r="S40" t="b">
        <f>V35=P40</f>
        <v>1</v>
      </c>
    </row>
    <row r="41" spans="16:25" x14ac:dyDescent="0.25">
      <c r="P41" s="152">
        <v>4092.7767566400003</v>
      </c>
      <c r="R41" t="s">
        <v>68</v>
      </c>
      <c r="S41" t="b">
        <f>P41=T35</f>
        <v>0</v>
      </c>
    </row>
    <row r="42" spans="16:25" x14ac:dyDescent="0.25">
      <c r="P42" s="152">
        <v>7441.4122847999997</v>
      </c>
      <c r="R42" t="s">
        <v>38</v>
      </c>
      <c r="S42" t="b">
        <f>W35=P42</f>
        <v>1</v>
      </c>
    </row>
    <row r="43" spans="16:25" x14ac:dyDescent="0.25">
      <c r="P43" s="152">
        <f>SUM(P38:P42)</f>
        <v>39997.591030799995</v>
      </c>
    </row>
  </sheetData>
  <autoFilter ref="A4:AZ6" xr:uid="{5657F730-3338-4C15-B194-26A8EB2D236B}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757A-B503-465F-94ED-BC0767E10E0A}">
  <dimension ref="A1:V18"/>
  <sheetViews>
    <sheetView zoomScale="110" zoomScaleNormal="110" workbookViewId="0">
      <selection activeCell="B4" sqref="B4"/>
    </sheetView>
  </sheetViews>
  <sheetFormatPr defaultRowHeight="15" x14ac:dyDescent="0.25"/>
  <cols>
    <col min="1" max="1" width="10.5703125" bestFit="1" customWidth="1"/>
    <col min="2" max="2" width="12.5703125" customWidth="1"/>
    <col min="3" max="3" width="14.28515625" bestFit="1" customWidth="1"/>
    <col min="4" max="4" width="9.140625" customWidth="1"/>
    <col min="5" max="5" width="16.28515625" customWidth="1"/>
    <col min="6" max="10" width="15.7109375" customWidth="1"/>
    <col min="11" max="11" width="19.7109375" bestFit="1" customWidth="1"/>
    <col min="12" max="21" width="15.7109375" customWidth="1"/>
    <col min="22" max="22" width="15.42578125" bestFit="1" customWidth="1"/>
  </cols>
  <sheetData>
    <row r="1" spans="1:22" x14ac:dyDescent="0.25">
      <c r="A1" t="s">
        <v>117</v>
      </c>
      <c r="F1" t="s">
        <v>118</v>
      </c>
      <c r="G1" s="2" t="s">
        <v>25</v>
      </c>
    </row>
    <row r="2" spans="1:22" x14ac:dyDescent="0.25">
      <c r="F2" s="13">
        <v>3500</v>
      </c>
      <c r="G2" s="10">
        <f>F2*B3</f>
        <v>18410</v>
      </c>
    </row>
    <row r="3" spans="1:22" x14ac:dyDescent="0.25">
      <c r="A3" t="e" vm="1">
        <v>#VALUE!</v>
      </c>
      <c r="B3" s="10">
        <v>5.26</v>
      </c>
      <c r="C3" s="10"/>
      <c r="F3" s="10">
        <v>2800</v>
      </c>
      <c r="G3" s="10">
        <f>F3</f>
        <v>2800</v>
      </c>
    </row>
    <row r="4" spans="1:22" x14ac:dyDescent="0.25">
      <c r="A4" t="e" vm="2">
        <v>#VALUE!</v>
      </c>
      <c r="B4" s="10" cm="1">
        <f t="array" aca="1" ref="B4" ca="1">_FV(A4,"Preço")</f>
        <v>6.3476999999999997</v>
      </c>
      <c r="F4" t="s">
        <v>59</v>
      </c>
      <c r="G4" s="10">
        <f>SUM(G2:G3)</f>
        <v>21210</v>
      </c>
    </row>
    <row r="5" spans="1:22" x14ac:dyDescent="0.25">
      <c r="G5" s="13">
        <f>G4/B3</f>
        <v>4032.319391634981</v>
      </c>
    </row>
    <row r="8" spans="1:22" x14ac:dyDescent="0.25">
      <c r="U8" s="4" t="e">
        <f>'Rateio Custos Fixos'!#REF!</f>
        <v>#REF!</v>
      </c>
    </row>
    <row r="10" spans="1:22" s="2" customFormat="1" ht="45" x14ac:dyDescent="0.25">
      <c r="A10" s="5" t="s">
        <v>65</v>
      </c>
      <c r="B10" s="5" t="s">
        <v>119</v>
      </c>
      <c r="C10" s="5" t="str">
        <f>'[2]Lista de Compra'!Q2</f>
        <v>% Rateio Preço</v>
      </c>
      <c r="E10" s="6" t="s">
        <v>118</v>
      </c>
      <c r="F10" s="6" t="s">
        <v>41</v>
      </c>
      <c r="G10" s="6" t="s">
        <v>42</v>
      </c>
      <c r="H10" s="6" t="s">
        <v>95</v>
      </c>
      <c r="I10" s="6" t="s">
        <v>44</v>
      </c>
      <c r="J10" s="6" t="s">
        <v>45</v>
      </c>
      <c r="K10" s="6" t="s">
        <v>46</v>
      </c>
      <c r="L10" s="6" t="s">
        <v>47</v>
      </c>
      <c r="M10" s="6" t="s">
        <v>48</v>
      </c>
      <c r="N10" s="6" t="s">
        <v>49</v>
      </c>
      <c r="O10" s="6" t="s">
        <v>96</v>
      </c>
      <c r="P10" s="6" t="s">
        <v>97</v>
      </c>
      <c r="Q10" s="6" t="s">
        <v>98</v>
      </c>
      <c r="R10" s="6" t="s">
        <v>99</v>
      </c>
      <c r="S10" s="6" t="s">
        <v>100</v>
      </c>
      <c r="T10" s="6" t="s">
        <v>55</v>
      </c>
      <c r="U10" s="6" t="s">
        <v>56</v>
      </c>
    </row>
    <row r="11" spans="1:22" x14ac:dyDescent="0.25">
      <c r="B11" t="e">
        <f>SUM(B12:B13)</f>
        <v>#REF!</v>
      </c>
      <c r="C11" s="7" t="e">
        <f>SUM(C12:C13)</f>
        <v>#REF!</v>
      </c>
      <c r="E11" s="8">
        <f>G4</f>
        <v>21210</v>
      </c>
      <c r="F11" s="8">
        <v>214.5</v>
      </c>
      <c r="G11" s="8">
        <v>490</v>
      </c>
      <c r="H11" s="8">
        <v>1547</v>
      </c>
      <c r="I11" s="8">
        <v>48</v>
      </c>
      <c r="J11" s="8">
        <v>122</v>
      </c>
      <c r="K11" s="8">
        <v>1072.94</v>
      </c>
      <c r="L11" s="8">
        <v>774.9</v>
      </c>
      <c r="M11" s="8">
        <v>29.8</v>
      </c>
      <c r="N11" s="9">
        <v>0.08</v>
      </c>
      <c r="O11" s="8">
        <v>0</v>
      </c>
      <c r="P11" s="8">
        <v>756.95</v>
      </c>
      <c r="Q11" s="8">
        <v>320.33</v>
      </c>
      <c r="R11" s="8">
        <v>117.45</v>
      </c>
      <c r="S11" s="8">
        <v>286</v>
      </c>
      <c r="T11" s="8">
        <v>6000</v>
      </c>
      <c r="U11" s="8">
        <v>2300</v>
      </c>
      <c r="V11" s="10"/>
    </row>
    <row r="12" spans="1:22" hidden="1" x14ac:dyDescent="0.25">
      <c r="A12" s="2" t="e">
        <f>'LISTA DE COMPRAS'!#REF!</f>
        <v>#REF!</v>
      </c>
      <c r="B12" s="2" t="e">
        <f>'LISTA DE COMPRAS'!#REF!</f>
        <v>#REF!</v>
      </c>
      <c r="C12" s="11" t="e">
        <f>'LISTA DE COMPRAS'!#REF!</f>
        <v>#REF!</v>
      </c>
      <c r="E12" s="4" t="e">
        <f t="shared" ref="E12:H14" si="0">E$11*$C12</f>
        <v>#REF!</v>
      </c>
      <c r="F12" s="4" t="e">
        <f t="shared" si="0"/>
        <v>#REF!</v>
      </c>
      <c r="G12" s="4" t="e">
        <f t="shared" si="0"/>
        <v>#REF!</v>
      </c>
      <c r="H12" s="4" t="e">
        <f t="shared" si="0"/>
        <v>#REF!</v>
      </c>
      <c r="I12" s="4" t="e">
        <f t="shared" ref="I12:U14" si="1">I$11*$C12</f>
        <v>#REF!</v>
      </c>
      <c r="J12" s="4" t="e">
        <f t="shared" si="1"/>
        <v>#REF!</v>
      </c>
      <c r="K12" s="4" t="e">
        <f t="shared" si="1"/>
        <v>#REF!</v>
      </c>
      <c r="L12" s="4" t="e">
        <f t="shared" si="1"/>
        <v>#REF!</v>
      </c>
      <c r="M12" s="4" t="e">
        <f t="shared" si="1"/>
        <v>#REF!</v>
      </c>
      <c r="N12" s="4" t="e">
        <f>$N$11*E12</f>
        <v>#REF!</v>
      </c>
      <c r="O12" s="4" t="e">
        <f t="shared" si="1"/>
        <v>#REF!</v>
      </c>
      <c r="P12" s="4" t="e">
        <f t="shared" si="1"/>
        <v>#REF!</v>
      </c>
      <c r="Q12" s="4" t="e">
        <f t="shared" si="1"/>
        <v>#REF!</v>
      </c>
      <c r="R12" s="4" t="e">
        <f t="shared" si="1"/>
        <v>#REF!</v>
      </c>
      <c r="S12" s="4" t="e">
        <f>S$11*$C12</f>
        <v>#REF!</v>
      </c>
      <c r="T12" s="4" t="e">
        <f>T$11*$C12</f>
        <v>#REF!</v>
      </c>
      <c r="U12" s="4" t="e">
        <f>U$11*$C12</f>
        <v>#REF!</v>
      </c>
      <c r="V12" s="10" t="e">
        <f>SUM(F12:U12)</f>
        <v>#REF!</v>
      </c>
    </row>
    <row r="13" spans="1:22" x14ac:dyDescent="0.25">
      <c r="A13" s="2">
        <f>'LISTA DE COMPRAS'!A5</f>
        <v>1</v>
      </c>
      <c r="B13" s="2">
        <f>'LISTA DE COMPRAS'!J5</f>
        <v>27</v>
      </c>
      <c r="C13" s="11">
        <f>'LISTA DE COMPRAS'!Q5</f>
        <v>1</v>
      </c>
      <c r="E13" s="4">
        <f t="shared" si="0"/>
        <v>21210</v>
      </c>
      <c r="F13" s="4">
        <f t="shared" si="0"/>
        <v>214.5</v>
      </c>
      <c r="G13" s="4">
        <f t="shared" si="0"/>
        <v>490</v>
      </c>
      <c r="H13" s="4">
        <f t="shared" si="0"/>
        <v>1547</v>
      </c>
      <c r="I13" s="4">
        <f t="shared" si="1"/>
        <v>48</v>
      </c>
      <c r="J13" s="4">
        <f t="shared" si="1"/>
        <v>122</v>
      </c>
      <c r="K13" s="4">
        <f t="shared" si="1"/>
        <v>1072.94</v>
      </c>
      <c r="L13" s="4">
        <f t="shared" si="1"/>
        <v>774.9</v>
      </c>
      <c r="M13" s="4">
        <f t="shared" si="1"/>
        <v>29.8</v>
      </c>
      <c r="N13" s="4">
        <f>$N$11*E13</f>
        <v>1696.8</v>
      </c>
      <c r="O13" s="4">
        <f t="shared" si="1"/>
        <v>0</v>
      </c>
      <c r="P13" s="4">
        <f t="shared" si="1"/>
        <v>756.95</v>
      </c>
      <c r="Q13" s="4">
        <f t="shared" si="1"/>
        <v>320.33</v>
      </c>
      <c r="R13" s="4">
        <f t="shared" si="1"/>
        <v>117.45</v>
      </c>
      <c r="S13" s="4">
        <f t="shared" si="1"/>
        <v>286</v>
      </c>
      <c r="T13" s="4">
        <f t="shared" si="1"/>
        <v>6000</v>
      </c>
      <c r="U13" s="4">
        <f t="shared" si="1"/>
        <v>2300</v>
      </c>
      <c r="V13" s="10">
        <f>SUM(F13:U13)</f>
        <v>15776.67</v>
      </c>
    </row>
    <row r="14" spans="1:22" hidden="1" x14ac:dyDescent="0.25">
      <c r="A14" s="2" t="e">
        <f>'LISTA DE COMPRAS'!#REF!</f>
        <v>#REF!</v>
      </c>
      <c r="B14" s="2" t="e">
        <f>'LISTA DE COMPRAS'!#REF!</f>
        <v>#REF!</v>
      </c>
      <c r="C14" s="11" t="e">
        <f>'LISTA DE COMPRAS'!#REF!</f>
        <v>#REF!</v>
      </c>
      <c r="E14" s="4" t="e">
        <f t="shared" si="0"/>
        <v>#REF!</v>
      </c>
      <c r="F14" s="4" t="e">
        <f t="shared" si="0"/>
        <v>#REF!</v>
      </c>
      <c r="G14" s="4" t="e">
        <f t="shared" si="0"/>
        <v>#REF!</v>
      </c>
      <c r="H14" s="4" t="e">
        <f t="shared" si="0"/>
        <v>#REF!</v>
      </c>
      <c r="I14" s="4" t="e">
        <f t="shared" si="1"/>
        <v>#REF!</v>
      </c>
      <c r="J14" s="4" t="e">
        <f t="shared" si="1"/>
        <v>#REF!</v>
      </c>
      <c r="K14" s="4" t="e">
        <f t="shared" si="1"/>
        <v>#REF!</v>
      </c>
      <c r="L14" s="4" t="e">
        <f t="shared" si="1"/>
        <v>#REF!</v>
      </c>
      <c r="M14" s="4" t="e">
        <f t="shared" si="1"/>
        <v>#REF!</v>
      </c>
      <c r="N14" s="4" t="e">
        <f>$N$11*E14</f>
        <v>#REF!</v>
      </c>
      <c r="O14" s="4" t="e">
        <f t="shared" si="1"/>
        <v>#REF!</v>
      </c>
      <c r="P14" s="4" t="e">
        <f t="shared" si="1"/>
        <v>#REF!</v>
      </c>
      <c r="Q14" s="4" t="e">
        <f t="shared" si="1"/>
        <v>#REF!</v>
      </c>
      <c r="R14" s="4" t="e">
        <f t="shared" si="1"/>
        <v>#REF!</v>
      </c>
      <c r="S14" s="4" t="e">
        <f t="shared" si="1"/>
        <v>#REF!</v>
      </c>
      <c r="T14" s="4" t="e">
        <f t="shared" si="1"/>
        <v>#REF!</v>
      </c>
      <c r="U14" s="4" t="e">
        <f t="shared" si="1"/>
        <v>#REF!</v>
      </c>
      <c r="V14" s="10"/>
    </row>
    <row r="15" spans="1:22" hidden="1" x14ac:dyDescent="0.25">
      <c r="A15" s="2"/>
      <c r="B15" s="2"/>
      <c r="C15" s="11"/>
      <c r="E15" s="12" t="e">
        <f>SUM(E12:E14)</f>
        <v>#REF!</v>
      </c>
      <c r="F15" s="12" t="e">
        <f t="shared" ref="F15:U15" si="2">SUM(F12:F14)</f>
        <v>#REF!</v>
      </c>
      <c r="G15" s="12" t="e">
        <f t="shared" si="2"/>
        <v>#REF!</v>
      </c>
      <c r="H15" s="12" t="e">
        <f t="shared" si="2"/>
        <v>#REF!</v>
      </c>
      <c r="I15" s="12" t="e">
        <f t="shared" si="2"/>
        <v>#REF!</v>
      </c>
      <c r="J15" s="12" t="e">
        <f t="shared" si="2"/>
        <v>#REF!</v>
      </c>
      <c r="K15" s="12" t="e">
        <f t="shared" si="2"/>
        <v>#REF!</v>
      </c>
      <c r="L15" s="12" t="e">
        <f t="shared" si="2"/>
        <v>#REF!</v>
      </c>
      <c r="M15" s="12" t="e">
        <f t="shared" si="2"/>
        <v>#REF!</v>
      </c>
      <c r="N15" s="12" t="e">
        <f t="shared" si="2"/>
        <v>#REF!</v>
      </c>
      <c r="O15" s="12" t="e">
        <f t="shared" si="2"/>
        <v>#REF!</v>
      </c>
      <c r="P15" s="12" t="e">
        <f t="shared" si="2"/>
        <v>#REF!</v>
      </c>
      <c r="Q15" s="12" t="e">
        <f t="shared" si="2"/>
        <v>#REF!</v>
      </c>
      <c r="R15" s="12" t="e">
        <f t="shared" si="2"/>
        <v>#REF!</v>
      </c>
      <c r="S15" s="12" t="e">
        <f t="shared" si="2"/>
        <v>#REF!</v>
      </c>
      <c r="T15" s="12" t="e">
        <f t="shared" si="2"/>
        <v>#REF!</v>
      </c>
      <c r="U15" s="12" t="e">
        <f t="shared" si="2"/>
        <v>#REF!</v>
      </c>
      <c r="V15" s="4" t="e">
        <f>SUM(V12:V13)</f>
        <v>#REF!</v>
      </c>
    </row>
    <row r="16" spans="1:22" hidden="1" x14ac:dyDescent="0.25">
      <c r="A16" s="2"/>
      <c r="E16" s="4" t="e">
        <f t="shared" ref="E16:M16" si="3">E11=E15</f>
        <v>#REF!</v>
      </c>
      <c r="F16" s="4" t="e">
        <f t="shared" si="3"/>
        <v>#REF!</v>
      </c>
      <c r="G16" s="4" t="e">
        <f t="shared" si="3"/>
        <v>#REF!</v>
      </c>
      <c r="H16" s="4" t="e">
        <f t="shared" si="3"/>
        <v>#REF!</v>
      </c>
      <c r="I16" s="4" t="e">
        <f t="shared" si="3"/>
        <v>#REF!</v>
      </c>
      <c r="J16" s="4" t="e">
        <f t="shared" si="3"/>
        <v>#REF!</v>
      </c>
      <c r="K16" s="4" t="e">
        <f t="shared" si="3"/>
        <v>#REF!</v>
      </c>
      <c r="L16" s="4" t="e">
        <f t="shared" si="3"/>
        <v>#REF!</v>
      </c>
      <c r="M16" s="4" t="e">
        <f t="shared" si="3"/>
        <v>#REF!</v>
      </c>
      <c r="N16" s="4" t="e">
        <f>#REF!=N15</f>
        <v>#REF!</v>
      </c>
      <c r="O16" s="4" t="e">
        <f t="shared" ref="O16:U16" si="4">O11=O15</f>
        <v>#REF!</v>
      </c>
      <c r="P16" s="4" t="e">
        <f t="shared" si="4"/>
        <v>#REF!</v>
      </c>
      <c r="Q16" s="4" t="e">
        <f t="shared" si="4"/>
        <v>#REF!</v>
      </c>
      <c r="R16" s="4" t="e">
        <f t="shared" si="4"/>
        <v>#REF!</v>
      </c>
      <c r="S16" s="4" t="e">
        <f t="shared" si="4"/>
        <v>#REF!</v>
      </c>
      <c r="T16" s="4" t="e">
        <f t="shared" si="4"/>
        <v>#REF!</v>
      </c>
      <c r="U16" s="4" t="e">
        <f t="shared" si="4"/>
        <v>#REF!</v>
      </c>
    </row>
    <row r="17" spans="14:14" x14ac:dyDescent="0.25">
      <c r="N17" s="10">
        <f>E11*8%</f>
        <v>1696.8</v>
      </c>
    </row>
    <row r="18" spans="14:14" x14ac:dyDescent="0.25">
      <c r="N18" t="e">
        <f>N15=N17</f>
        <v>#REF!</v>
      </c>
    </row>
  </sheetData>
  <autoFilter ref="A10:V16" xr:uid="{5321A8FE-AE3F-4721-8745-DDAAECFC927C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04c3ac-e1bd-4a3b-8663-545e021c8171">
      <Terms xmlns="http://schemas.microsoft.com/office/infopath/2007/PartnerControls"/>
    </lcf76f155ced4ddcb4097134ff3c332f>
    <TaxCatchAll xmlns="b81ac5c0-75f1-4ae4-b6c0-4c413cfcaf0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0AEF83AE2E4C43860508BD3F45EFF1" ma:contentTypeVersion="14" ma:contentTypeDescription="Crie um novo documento." ma:contentTypeScope="" ma:versionID="86d6d3911394a2e25eddf8433eb43eed">
  <xsd:schema xmlns:xsd="http://www.w3.org/2001/XMLSchema" xmlns:xs="http://www.w3.org/2001/XMLSchema" xmlns:p="http://schemas.microsoft.com/office/2006/metadata/properties" xmlns:ns2="c804c3ac-e1bd-4a3b-8663-545e021c8171" xmlns:ns3="b81ac5c0-75f1-4ae4-b6c0-4c413cfcaf0e" targetNamespace="http://schemas.microsoft.com/office/2006/metadata/properties" ma:root="true" ma:fieldsID="4915df6d9ac486f1beddb9dca229efce" ns2:_="" ns3:_="">
    <xsd:import namespace="c804c3ac-e1bd-4a3b-8663-545e021c8171"/>
    <xsd:import namespace="b81ac5c0-75f1-4ae4-b6c0-4c413cfcaf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04c3ac-e1bd-4a3b-8663-545e021c81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8fa8fb37-cb7c-4fcf-9922-39972c96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1ac5c0-75f1-4ae4-b6c0-4c413cfcaf0e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58f7ec9a-7396-45cd-ac8f-cf5113e83906}" ma:internalName="TaxCatchAll" ma:showField="CatchAllData" ma:web="b81ac5c0-75f1-4ae4-b6c0-4c413cfcaf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ACC087-B854-4AB5-A8C7-841F2D11F111}">
  <ds:schemaRefs>
    <ds:schemaRef ds:uri="http://purl.org/dc/dcmitype/"/>
    <ds:schemaRef ds:uri="b81ac5c0-75f1-4ae4-b6c0-4c413cfcaf0e"/>
    <ds:schemaRef ds:uri="http://purl.org/dc/elements/1.1/"/>
    <ds:schemaRef ds:uri="c804c3ac-e1bd-4a3b-8663-545e021c8171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041F5FF-EE68-4068-BD7D-DCE5A4344D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A14DB2-C10F-40E0-B40D-8735E80010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04c3ac-e1bd-4a3b-8663-545e021c8171"/>
    <ds:schemaRef ds:uri="b81ac5c0-75f1-4ae4-b6c0-4c413cfcaf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Resumo 100%</vt:lpstr>
      <vt:lpstr>LISTA DE COMPRAS</vt:lpstr>
      <vt:lpstr>Est. Cust. Naci.</vt:lpstr>
      <vt:lpstr>Rateio Custos Fixos</vt:lpstr>
      <vt:lpstr>'Resumo 100%'!Area_de_impressao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Leticia Nassif</dc:creator>
  <cp:keywords/>
  <dc:description/>
  <cp:lastModifiedBy>Gabriel Thomé de Albuquerque</cp:lastModifiedBy>
  <cp:revision/>
  <cp:lastPrinted>2025-09-04T17:55:25Z</cp:lastPrinted>
  <dcterms:created xsi:type="dcterms:W3CDTF">2023-06-07T20:41:43Z</dcterms:created>
  <dcterms:modified xsi:type="dcterms:W3CDTF">2026-03-24T17:28:15Z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0x010100640AEF83AE2E4C43860508BD3F45EFF1</vt:lpwstr>
  </property>
  <property fmtid="{D5CDD505-2E9C-101B-9397-08002B2CF9AE}" pid="3" name="MediaServiceImageTags">
    <vt:lpwstr/>
  </property>
</Properties>
</file>