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esumo 100%" sheetId="10" r:id="rId1"/>
    <sheet name="LISTA DE COMPRAS" sheetId="4" r:id="rId2"/>
    <sheet name="Est. Cust. Naci." sheetId="9" r:id="rId3"/>
    <sheet name="Rateio Custos Fixos" sheetId="5" r:id="rId4"/>
  </sheets>
  <externalReferences>
    <externalReference r:id="rId8"/>
    <externalReference r:id="rId9"/>
  </externalReferences>
  <definedNames>
    <definedName name="_xlnm._FilterDatabase" localSheetId="2" hidden="1">'Est. Cust. Naci.'!$A$4:$AZ$59</definedName>
    <definedName name="_xlnm._FilterDatabase" localSheetId="3" hidden="1">'Rateio Custos Fixos'!$A$10:$V$66</definedName>
    <definedName name="_xlnm._FilterDatabase" localSheetId="0" hidden="1">'Resumo 100%'!$B$5:$G$49</definedName>
    <definedName name="_xlnm.Print_Area" localSheetId="0">'Resumo 100%'!$B$1:$H$56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tc={0C9ECCC5-3310-412D-8782-C1D3124F4B3E}</author>
    <author>takeda</author>
  </authors>
  <commentList>
    <comment ref="E8" authorId="0">
      <text>
        <r>
          <rPr>
            <sz val="10"/>
            <rFont val="SimSun"/>
            <charset val="134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Notar que regime tributário é o Simples Nacional, portanto a função não impacta no cálculo de impostos.</t>
        </r>
      </text>
    </comment>
    <comment ref="B38" authorId="1">
      <text>
        <r>
          <rPr>
            <b/>
            <sz val="9"/>
            <rFont val="Arial"/>
            <charset val="0"/>
          </rPr>
          <t>takeda:</t>
        </r>
        <r>
          <rPr>
            <sz val="9"/>
            <rFont val="Arial"/>
            <charset val="0"/>
          </rPr>
          <t xml:space="preserve">
1Esse vai ser o mesmo para todos os tipos de fretes.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<sst xmlns="http://schemas.openxmlformats.org/spreadsheetml/2006/main" count="236" uniqueCount="128">
  <si>
    <t>Estimativa de Custo 100%</t>
  </si>
  <si>
    <t xml:space="preserve">Quantidade </t>
  </si>
  <si>
    <t>Preço R$ nacionalizado</t>
  </si>
  <si>
    <t>REGIME TRIBUTÁRIO: SIMPLES NACIONAL</t>
  </si>
  <si>
    <t>USO: REVENDA</t>
  </si>
  <si>
    <t>CONSIDERAR ICMS 18%</t>
  </si>
  <si>
    <t>PRODUTO: AMORTECEDORES</t>
  </si>
  <si>
    <t>PORTO SAÍDA: SHANGHAI</t>
  </si>
  <si>
    <t>FRETE: 1x40</t>
  </si>
  <si>
    <t>PORTO ENTRADA: PARANAGUÁ</t>
  </si>
  <si>
    <t>SIMULAÇÃO 100%</t>
  </si>
  <si>
    <t xml:space="preserve">REFERÊNCIA CÁLCULO BASE </t>
  </si>
  <si>
    <t>R$/USD:</t>
  </si>
  <si>
    <t>NCM:</t>
  </si>
  <si>
    <t>VALORES ADUANEIROS</t>
  </si>
  <si>
    <t>ITEM</t>
  </si>
  <si>
    <t>QTY</t>
  </si>
  <si>
    <t>BRL UNIT PRICE</t>
  </si>
  <si>
    <t>DISCRIMINAÇÃO</t>
  </si>
  <si>
    <t>UNIDADE</t>
  </si>
  <si>
    <t>PREÇO USD</t>
  </si>
  <si>
    <t>PREÇO TOTAL USD</t>
  </si>
  <si>
    <t>R$</t>
  </si>
  <si>
    <t>-</t>
  </si>
  <si>
    <t>TOTAL FOB</t>
  </si>
  <si>
    <t>PRODUTO + FRETE</t>
  </si>
  <si>
    <t>Seguro</t>
  </si>
  <si>
    <t>Frete</t>
  </si>
  <si>
    <t>TOTAL VALOR ADUANEIRO</t>
  </si>
  <si>
    <t>IMPOSTOS</t>
  </si>
  <si>
    <t>PERCENTUAL</t>
  </si>
  <si>
    <t>VALOR (R$)</t>
  </si>
  <si>
    <t xml:space="preserve">IMPOSTO. IMPORTAÇÃO  </t>
  </si>
  <si>
    <t xml:space="preserve">IPI </t>
  </si>
  <si>
    <t>PIS</t>
  </si>
  <si>
    <t xml:space="preserve">COFINS </t>
  </si>
  <si>
    <t>ICMS</t>
  </si>
  <si>
    <t>TOTAL VALOR IMPOSTOS</t>
  </si>
  <si>
    <t>DESPESAS ADUANEIRAS E LOGÍSTICAS</t>
  </si>
  <si>
    <t>TAXA SISCOMEX</t>
  </si>
  <si>
    <t>LIBERAÇÃO DE B/L</t>
  </si>
  <si>
    <t>T.H.C|CAPATAZIA</t>
  </si>
  <si>
    <t>ISPS</t>
  </si>
  <si>
    <t>DAMAGE PROTECTION</t>
  </si>
  <si>
    <t>DESCONSOLIDAÇÃO</t>
  </si>
  <si>
    <t>DEVOLUÇÃO DE CONTAINER</t>
  </si>
  <si>
    <t>TRS</t>
  </si>
  <si>
    <t>AFRMM</t>
  </si>
  <si>
    <t>ARMAZENAGEM TCP</t>
  </si>
  <si>
    <t>5 DIAS DE ARMAZENAGEM</t>
  </si>
  <si>
    <t>SCANNER TCP</t>
  </si>
  <si>
    <t>HANDLING - TCP</t>
  </si>
  <si>
    <t>PESAGEM TCP</t>
  </si>
  <si>
    <t>TAXA DO PARCEIRO - PARANAGUÁ</t>
  </si>
  <si>
    <t>FRETE RODOVIÁRIO</t>
  </si>
  <si>
    <t>DESEMBARAÇO ADUANEIRO</t>
  </si>
  <si>
    <t>TOTAL VALOR DESEMBARAÇO ADUANEIRO</t>
  </si>
  <si>
    <t>TOTAL   (PARTE 1 + PARTE 2 + PARTE 3) ........................................................:</t>
  </si>
  <si>
    <t>TOTAL</t>
  </si>
  <si>
    <t>PREÇO FOB</t>
  </si>
  <si>
    <t>DESPESAS</t>
  </si>
  <si>
    <t>FAVOR NOTAR QUE A ESTIMATIVA DE CUSTOS NÃO CONTEMPLA VALORES DE COMISSÃO, POIS ELES VARIAM CONFORME CONTRATO.</t>
  </si>
  <si>
    <t>LISTA DE COMPRA</t>
  </si>
  <si>
    <t>Item</t>
  </si>
  <si>
    <t>Produto</t>
  </si>
  <si>
    <t>NCM</t>
  </si>
  <si>
    <t>II</t>
  </si>
  <si>
    <t>IPI</t>
  </si>
  <si>
    <t>COFINS</t>
  </si>
  <si>
    <t>Preço Unitário</t>
  </si>
  <si>
    <t>Preço Unitário Sub 50%</t>
  </si>
  <si>
    <t>Preço total por produto</t>
  </si>
  <si>
    <t>Preço total por produto Sub</t>
  </si>
  <si>
    <t>% Rateio Quantidade</t>
  </si>
  <si>
    <t>% Rateio Preço</t>
  </si>
  <si>
    <t>8708-8000</t>
  </si>
  <si>
    <t>1349840.1</t>
  </si>
  <si>
    <t>1349840.2</t>
  </si>
  <si>
    <t>RP-13412</t>
  </si>
  <si>
    <t>1476415.1</t>
  </si>
  <si>
    <t>1476415.2</t>
  </si>
  <si>
    <t>1761377; 2074003</t>
  </si>
  <si>
    <t>DC46SK407-KA</t>
  </si>
  <si>
    <t>BC455C368-CB</t>
  </si>
  <si>
    <t>BC455C398-CA</t>
  </si>
  <si>
    <t>BC455C368-BB</t>
  </si>
  <si>
    <t>BC455C398-BA</t>
  </si>
  <si>
    <t>DC465K407-DA</t>
  </si>
  <si>
    <t>DC465K407-EA</t>
  </si>
  <si>
    <t>2T2899515</t>
  </si>
  <si>
    <t>2R2899515</t>
  </si>
  <si>
    <t>2V2899515</t>
  </si>
  <si>
    <t>3198836-4</t>
  </si>
  <si>
    <t>20453256; 20889132; 21111932; 20453258; 20889136; 21111942</t>
  </si>
  <si>
    <t>3198859-3</t>
  </si>
  <si>
    <t>DETALHES DO PRODUTO</t>
  </si>
  <si>
    <t>VALOR ADUANEIRO</t>
  </si>
  <si>
    <t>TAXAS PORTUÁRIAS</t>
  </si>
  <si>
    <t>Nº</t>
  </si>
  <si>
    <t>Código</t>
  </si>
  <si>
    <t>Bitola (mm)</t>
  </si>
  <si>
    <t>Embal.</t>
  </si>
  <si>
    <t>QTD</t>
  </si>
  <si>
    <t>Preço unitário Fábrica (USD)</t>
  </si>
  <si>
    <t>Preço x QTD (Valor em USD)</t>
  </si>
  <si>
    <t>Preço x QTD (valor em BRL)</t>
  </si>
  <si>
    <t>Preço x QTD (valor em BRL) SUB</t>
  </si>
  <si>
    <t>THC (valor em BRL)</t>
  </si>
  <si>
    <t>Valor do frete (Valor em BRL)</t>
  </si>
  <si>
    <t>TOTAL VALOR ADUANEIRO + II</t>
  </si>
  <si>
    <t>IMPOSTO DE IMPORTAÇÃO</t>
  </si>
  <si>
    <t>TOTAL IMPOSTOS</t>
  </si>
  <si>
    <t>TOTAL IMPOSTOS (SUB)</t>
  </si>
  <si>
    <t>T.H.C|  CAPATAZIA</t>
  </si>
  <si>
    <t>TOTAL TAXAS DESEMBARAÇO</t>
  </si>
  <si>
    <t>TOTAL (sub)</t>
  </si>
  <si>
    <t xml:space="preserve">MÉTODO ANTIGO </t>
  </si>
  <si>
    <t>MÉTODO ANTIGO (sub)</t>
  </si>
  <si>
    <t xml:space="preserve">MÉTODO DANI </t>
  </si>
  <si>
    <t>MÉTODO DANI (sub)</t>
  </si>
  <si>
    <t xml:space="preserve">MÉTODO JULIANA </t>
  </si>
  <si>
    <t>MÉTODO JULIANA (sub)</t>
  </si>
  <si>
    <t>VALOR UNITÁRIO C/ COMISSÃO SEAWISE</t>
  </si>
  <si>
    <t>AAA</t>
  </si>
  <si>
    <t xml:space="preserve">                                                                                         </t>
  </si>
  <si>
    <t>CÂMBIO</t>
  </si>
  <si>
    <t>FRETE</t>
  </si>
  <si>
    <t>Quantidade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</si>
</sst>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_(&quot;$&quot;* #,##0.00_);_(&quot;$&quot;* \(#,##0.00\);_(&quot;$&quot;* &quot;-&quot;??_);_(@_)"/>
    <numFmt numFmtId="181" formatCode="_-[$$-409]* #,##0.00_ ;_-[$$-409]* \-#,##0.00\ ;_-[$$-409]* &quot;-&quot;??_ ;_-@_ "/>
    <numFmt numFmtId="182" formatCode="_-[$R$-416]\ * #,##0.00_-;\-[$R$-416]\ * #,##0.00_-;_-[$R$-416]\ * &quot;-&quot;??_-;_-@_-"/>
    <numFmt numFmtId="183" formatCode="_-[$R$-416]\ * #,##0.0000_-;\-[$R$-416]\ * #,##0.0000_-;_-[$R$-416]\ * &quot;-&quot;????_-;_-@_-"/>
    <numFmt numFmtId="184" formatCode="_-[$R$-416]\ * #,##0.00_-;\-[$R$-416]\ * #,##0.00_-;_-[$R$-416]\ * &quot;-&quot;????_-;_-@_-"/>
    <numFmt numFmtId="185" formatCode="&quot;R$&quot;\ #,##0.00"/>
    <numFmt numFmtId="186" formatCode="0.0%"/>
    <numFmt numFmtId="187" formatCode="[$R$-416]\ #,##0.00"/>
    <numFmt numFmtId="188" formatCode="[$R$-416]\ #,##0.00;\-[$R$-416]\ #,##0.00"/>
    <numFmt numFmtId="189" formatCode="_-[$USD]\ * #,##0.00_-;\-[$USD]\ * #,##0.00_-;_-[$USD]\ * &quot;-&quot;??_-;_-@_-"/>
    <numFmt numFmtId="190" formatCode="[$USD]\ #,##0.00"/>
  </numFmts>
  <fonts count="4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name val="Calibri"/>
      <charset val="134"/>
      <scheme val="minor"/>
    </font>
    <font>
      <b/>
      <sz val="14"/>
      <name val="Calibri"/>
      <charset val="134"/>
      <scheme val="minor"/>
    </font>
    <font>
      <b/>
      <sz val="14"/>
      <color rgb="FF000000"/>
      <name val="Calibri"/>
      <charset val="134"/>
      <scheme val="minor"/>
    </font>
    <font>
      <b/>
      <sz val="12"/>
      <name val="Calibri"/>
      <charset val="134"/>
      <scheme val="minor"/>
    </font>
    <font>
      <b/>
      <sz val="2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1"/>
      <color rgb="FF2A2E34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6"/>
      <name val="Calibri"/>
      <charset val="134"/>
      <scheme val="minor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sz val="14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4"/>
      <color theme="4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  <font>
      <b/>
      <sz val="9"/>
      <name val="Arial"/>
      <charset val="0"/>
    </font>
    <font>
      <sz val="9"/>
      <name val="Arial"/>
      <charset val="0"/>
    </font>
  </fonts>
  <fills count="50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23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23" fillId="0" borderId="0" applyFont="0" applyFill="0" applyBorder="0" applyAlignment="0" applyProtection="0">
      <alignment vertical="center"/>
    </xf>
    <xf numFmtId="179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19" borderId="2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4" applyNumberFormat="0" applyFill="0" applyAlignment="0" applyProtection="0">
      <alignment vertical="center"/>
    </xf>
    <xf numFmtId="0" fontId="31" fillId="0" borderId="2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20" borderId="26" applyNumberFormat="0" applyAlignment="0" applyProtection="0">
      <alignment vertical="center"/>
    </xf>
    <xf numFmtId="0" fontId="33" fillId="21" borderId="27" applyNumberFormat="0" applyAlignment="0" applyProtection="0">
      <alignment vertical="center"/>
    </xf>
    <xf numFmtId="0" fontId="34" fillId="21" borderId="26" applyNumberFormat="0" applyAlignment="0" applyProtection="0">
      <alignment vertical="center"/>
    </xf>
    <xf numFmtId="0" fontId="35" fillId="22" borderId="28" applyNumberFormat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1" fillId="49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9" fontId="0" fillId="0" borderId="0" xfId="50" applyFont="1"/>
    <xf numFmtId="182" fontId="0" fillId="3" borderId="0" xfId="0" applyNumberFormat="1" applyFill="1" applyAlignment="1">
      <alignment horizontal="center" vertical="center"/>
    </xf>
    <xf numFmtId="9" fontId="0" fillId="3" borderId="0" xfId="50" applyFont="1" applyFill="1" applyAlignment="1">
      <alignment horizontal="center" vertical="center"/>
    </xf>
    <xf numFmtId="10" fontId="0" fillId="0" borderId="0" xfId="50" applyNumberFormat="1" applyFont="1" applyFill="1"/>
    <xf numFmtId="184" fontId="0" fillId="0" borderId="0" xfId="0" applyNumberFormat="1"/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1" xfId="0" applyFont="1" applyBorder="1"/>
    <xf numFmtId="0" fontId="1" fillId="5" borderId="1" xfId="0" applyFont="1" applyFill="1" applyBorder="1" applyAlignment="1">
      <alignment horizontal="centerContinuous"/>
    </xf>
    <xf numFmtId="0" fontId="1" fillId="6" borderId="1" xfId="0" applyFont="1" applyFill="1" applyBorder="1" applyAlignment="1">
      <alignment horizontal="centerContinuous"/>
    </xf>
    <xf numFmtId="0" fontId="1" fillId="6" borderId="1" xfId="0" applyFont="1" applyFill="1" applyBorder="1" applyAlignment="1">
      <alignment horizontal="centerContinuous" wrapText="1"/>
    </xf>
    <xf numFmtId="0" fontId="1" fillId="4" borderId="1" xfId="0" applyFont="1" applyFill="1" applyBorder="1" applyAlignment="1">
      <alignment horizontal="centerContinuous" wrapText="1"/>
    </xf>
    <xf numFmtId="0" fontId="1" fillId="4" borderId="1" xfId="0" applyFont="1" applyFill="1" applyBorder="1" applyAlignment="1">
      <alignment horizontal="centerContinuous"/>
    </xf>
    <xf numFmtId="0" fontId="1" fillId="7" borderId="1" xfId="0" applyFont="1" applyFill="1" applyBorder="1" applyAlignment="1">
      <alignment horizontal="centerContinuous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82" fontId="5" fillId="6" borderId="2" xfId="0" applyNumberFormat="1" applyFont="1" applyFill="1" applyBorder="1" applyAlignment="1">
      <alignment horizontal="center" vertical="center" wrapText="1"/>
    </xf>
    <xf numFmtId="182" fontId="9" fillId="6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82" fontId="9" fillId="9" borderId="2" xfId="0" applyNumberFormat="1" applyFont="1" applyFill="1" applyBorder="1" applyAlignment="1">
      <alignment horizontal="center" vertical="center" wrapText="1"/>
    </xf>
    <xf numFmtId="185" fontId="0" fillId="10" borderId="2" xfId="3" applyNumberFormat="1" applyFont="1" applyFill="1" applyBorder="1" applyAlignment="1">
      <alignment horizontal="center" vertical="center"/>
    </xf>
    <xf numFmtId="182" fontId="0" fillId="10" borderId="2" xfId="3" applyNumberFormat="1" applyFont="1" applyFill="1" applyBorder="1" applyAlignment="1">
      <alignment horizontal="center" vertical="center"/>
    </xf>
    <xf numFmtId="4" fontId="9" fillId="9" borderId="2" xfId="0" applyNumberFormat="1" applyFont="1" applyFill="1" applyBorder="1" applyAlignment="1">
      <alignment horizontal="center" vertical="center"/>
    </xf>
    <xf numFmtId="182" fontId="5" fillId="7" borderId="2" xfId="0" applyNumberFormat="1" applyFont="1" applyFill="1" applyBorder="1" applyAlignment="1">
      <alignment horizontal="center" vertical="center"/>
    </xf>
    <xf numFmtId="10" fontId="1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182" fontId="5" fillId="7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9" fontId="6" fillId="5" borderId="0" xfId="0" applyNumberFormat="1" applyFont="1" applyFill="1" applyAlignment="1">
      <alignment horizontal="center" vertical="center"/>
    </xf>
    <xf numFmtId="49" fontId="7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182" fontId="5" fillId="6" borderId="0" xfId="0" applyNumberFormat="1" applyFont="1" applyFill="1" applyAlignment="1">
      <alignment horizontal="center" vertical="center" wrapText="1"/>
    </xf>
    <xf numFmtId="182" fontId="9" fillId="6" borderId="0" xfId="0" applyNumberFormat="1" applyFont="1" applyFill="1" applyAlignment="1">
      <alignment horizontal="center" vertical="center" wrapText="1"/>
    </xf>
    <xf numFmtId="182" fontId="9" fillId="9" borderId="0" xfId="0" applyNumberFormat="1" applyFont="1" applyFill="1" applyAlignment="1">
      <alignment horizontal="center" vertical="center" wrapText="1"/>
    </xf>
    <xf numFmtId="9" fontId="0" fillId="10" borderId="0" xfId="3" applyFont="1" applyFill="1" applyBorder="1" applyAlignment="1">
      <alignment horizontal="center" vertical="center"/>
    </xf>
    <xf numFmtId="186" fontId="0" fillId="10" borderId="2" xfId="3" applyNumberFormat="1" applyFont="1" applyFill="1" applyBorder="1" applyAlignment="1">
      <alignment horizontal="center" vertical="center"/>
    </xf>
    <xf numFmtId="10" fontId="0" fillId="10" borderId="2" xfId="3" applyNumberFormat="1" applyFont="1" applyFill="1" applyBorder="1" applyAlignment="1">
      <alignment horizontal="center" vertical="center"/>
    </xf>
    <xf numFmtId="182" fontId="9" fillId="9" borderId="0" xfId="0" applyNumberFormat="1" applyFont="1" applyFill="1" applyAlignment="1">
      <alignment horizontal="center" vertical="center"/>
    </xf>
    <xf numFmtId="3" fontId="0" fillId="0" borderId="0" xfId="0" applyNumberFormat="1"/>
    <xf numFmtId="9" fontId="0" fillId="0" borderId="0" xfId="0" applyNumberFormat="1"/>
    <xf numFmtId="9" fontId="0" fillId="0" borderId="0" xfId="3" applyFont="1"/>
    <xf numFmtId="0" fontId="10" fillId="0" borderId="0" xfId="0" applyFont="1"/>
    <xf numFmtId="187" fontId="0" fillId="0" borderId="0" xfId="0" applyNumberFormat="1" applyAlignment="1">
      <alignment vertical="center"/>
    </xf>
    <xf numFmtId="0" fontId="11" fillId="11" borderId="3" xfId="0" applyFont="1" applyFill="1" applyBorder="1" applyAlignment="1">
      <alignment horizontal="center" vertical="center"/>
    </xf>
    <xf numFmtId="0" fontId="11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 wrapText="1"/>
    </xf>
    <xf numFmtId="188" fontId="0" fillId="0" borderId="0" xfId="0" applyNumberFormat="1" applyAlignment="1">
      <alignment vertical="center"/>
    </xf>
    <xf numFmtId="188" fontId="0" fillId="0" borderId="0" xfId="0" applyNumberFormat="1"/>
    <xf numFmtId="189" fontId="11" fillId="11" borderId="3" xfId="0" applyNumberFormat="1" applyFont="1" applyFill="1" applyBorder="1" applyAlignment="1">
      <alignment horizontal="center" vertical="center" wrapText="1"/>
    </xf>
    <xf numFmtId="182" fontId="11" fillId="11" borderId="3" xfId="0" applyNumberFormat="1" applyFont="1" applyFill="1" applyBorder="1" applyAlignment="1">
      <alignment horizontal="center" vertical="center" wrapText="1"/>
    </xf>
    <xf numFmtId="9" fontId="11" fillId="11" borderId="3" xfId="5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187" fontId="0" fillId="0" borderId="0" xfId="0" applyNumberFormat="1"/>
    <xf numFmtId="0" fontId="0" fillId="0" borderId="3" xfId="0" applyBorder="1" applyAlignment="1">
      <alignment vertical="center"/>
    </xf>
    <xf numFmtId="0" fontId="12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86" fontId="0" fillId="0" borderId="3" xfId="50" applyNumberFormat="1" applyFont="1" applyBorder="1" applyAlignment="1">
      <alignment horizontal="center" vertical="center"/>
    </xf>
    <xf numFmtId="10" fontId="0" fillId="0" borderId="3" xfId="50" applyNumberFormat="1" applyFont="1" applyFill="1" applyBorder="1" applyAlignment="1">
      <alignment horizontal="center" vertical="center"/>
    </xf>
    <xf numFmtId="9" fontId="0" fillId="0" borderId="3" xfId="5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89" fontId="0" fillId="0" borderId="3" xfId="0" applyNumberFormat="1" applyBorder="1" applyAlignment="1">
      <alignment horizontal="center" vertical="center"/>
    </xf>
    <xf numFmtId="182" fontId="0" fillId="0" borderId="3" xfId="0" applyNumberFormat="1" applyBorder="1" applyAlignment="1">
      <alignment horizontal="center" vertical="center"/>
    </xf>
    <xf numFmtId="9" fontId="0" fillId="0" borderId="0" xfId="5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5" xfId="0" applyFont="1" applyBorder="1" applyAlignment="1">
      <alignment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7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7" fillId="4" borderId="10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7" fillId="4" borderId="11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left" vertical="top" wrapText="1"/>
    </xf>
    <xf numFmtId="0" fontId="7" fillId="4" borderId="0" xfId="0" applyFont="1" applyFill="1" applyAlignment="1">
      <alignment horizontal="left" vertical="top" wrapText="1"/>
    </xf>
    <xf numFmtId="58" fontId="7" fillId="4" borderId="11" xfId="0" applyNumberFormat="1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4" borderId="13" xfId="0" applyFont="1" applyFill="1" applyBorder="1" applyAlignment="1">
      <alignment vertical="center"/>
    </xf>
    <xf numFmtId="0" fontId="18" fillId="4" borderId="13" xfId="0" applyFont="1" applyFill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/>
    </xf>
    <xf numFmtId="0" fontId="19" fillId="14" borderId="6" xfId="0" applyFont="1" applyFill="1" applyBorder="1" applyAlignment="1">
      <alignment horizontal="center" vertical="center"/>
    </xf>
    <xf numFmtId="0" fontId="19" fillId="14" borderId="0" xfId="0" applyFont="1" applyFill="1" applyAlignment="1">
      <alignment horizontal="right" vertical="center"/>
    </xf>
    <xf numFmtId="185" fontId="19" fillId="14" borderId="0" xfId="0" applyNumberFormat="1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20" fillId="14" borderId="11" xfId="0" applyFont="1" applyFill="1" applyBorder="1" applyAlignment="1">
      <alignment vertical="center"/>
    </xf>
    <xf numFmtId="0" fontId="19" fillId="15" borderId="6" xfId="0" applyFont="1" applyFill="1" applyBorder="1" applyAlignment="1">
      <alignment horizontal="center" vertical="center"/>
    </xf>
    <xf numFmtId="0" fontId="19" fillId="15" borderId="7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82" fontId="0" fillId="0" borderId="2" xfId="0" applyNumberFormat="1" applyBorder="1"/>
    <xf numFmtId="182" fontId="0" fillId="0" borderId="2" xfId="0" applyNumberFormat="1" applyBorder="1" applyAlignment="1">
      <alignment vertical="center"/>
    </xf>
    <xf numFmtId="0" fontId="6" fillId="17" borderId="10" xfId="0" applyFont="1" applyFill="1" applyBorder="1"/>
    <xf numFmtId="0" fontId="6" fillId="17" borderId="0" xfId="49" applyNumberFormat="1" applyFont="1" applyFill="1" applyAlignment="1">
      <alignment horizontal="center" vertical="center"/>
    </xf>
    <xf numFmtId="1" fontId="6" fillId="17" borderId="0" xfId="51" applyNumberFormat="1" applyFont="1" applyFill="1" applyAlignment="1">
      <alignment horizontal="center" vertical="center"/>
    </xf>
    <xf numFmtId="190" fontId="6" fillId="17" borderId="0" xfId="49" applyNumberFormat="1" applyFont="1" applyFill="1" applyAlignment="1">
      <alignment horizontal="center" vertical="center"/>
    </xf>
    <xf numFmtId="190" fontId="6" fillId="0" borderId="0" xfId="49" applyNumberFormat="1" applyFont="1" applyAlignment="1">
      <alignment horizontal="center" vertical="center"/>
    </xf>
    <xf numFmtId="188" fontId="6" fillId="0" borderId="11" xfId="51" applyNumberFormat="1" applyFont="1" applyBorder="1" applyAlignment="1">
      <alignment horizontal="center"/>
    </xf>
    <xf numFmtId="0" fontId="6" fillId="6" borderId="10" xfId="0" applyFont="1" applyFill="1" applyBorder="1"/>
    <xf numFmtId="0" fontId="6" fillId="6" borderId="0" xfId="49" applyNumberFormat="1" applyFont="1" applyFill="1" applyAlignment="1">
      <alignment vertical="center"/>
    </xf>
    <xf numFmtId="1" fontId="6" fillId="6" borderId="0" xfId="51" applyNumberFormat="1" applyFont="1" applyFill="1" applyAlignment="1">
      <alignment horizontal="center" vertical="center"/>
    </xf>
    <xf numFmtId="190" fontId="6" fillId="6" borderId="0" xfId="49" applyNumberFormat="1" applyFont="1" applyFill="1" applyAlignment="1">
      <alignment horizontal="center" vertical="center"/>
    </xf>
    <xf numFmtId="188" fontId="6" fillId="6" borderId="11" xfId="51" applyNumberFormat="1" applyFont="1" applyFill="1" applyBorder="1" applyAlignment="1">
      <alignment horizontal="center"/>
    </xf>
    <xf numFmtId="0" fontId="15" fillId="17" borderId="10" xfId="0" applyFont="1" applyFill="1" applyBorder="1"/>
    <xf numFmtId="0" fontId="15" fillId="17" borderId="0" xfId="49" applyNumberFormat="1" applyFont="1" applyFill="1" applyAlignment="1">
      <alignment vertical="center"/>
    </xf>
    <xf numFmtId="1" fontId="15" fillId="17" borderId="0" xfId="51" applyNumberFormat="1" applyFont="1" applyFill="1" applyAlignment="1">
      <alignment horizontal="center" vertical="center"/>
    </xf>
    <xf numFmtId="190" fontId="15" fillId="17" borderId="0" xfId="49" applyNumberFormat="1" applyFont="1" applyFill="1" applyAlignment="1">
      <alignment horizontal="center" vertical="center"/>
    </xf>
    <xf numFmtId="188" fontId="15" fillId="17" borderId="11" xfId="51" applyNumberFormat="1" applyFont="1" applyFill="1" applyBorder="1" applyAlignment="1">
      <alignment horizontal="center"/>
    </xf>
    <xf numFmtId="0" fontId="15" fillId="0" borderId="10" xfId="0" applyFont="1" applyBorder="1" applyAlignment="1">
      <alignment vertical="center"/>
    </xf>
    <xf numFmtId="180" fontId="15" fillId="0" borderId="0" xfId="49" applyFont="1" applyAlignment="1">
      <alignment vertical="center"/>
    </xf>
    <xf numFmtId="0" fontId="15" fillId="0" borderId="0" xfId="0" applyFont="1" applyAlignment="1">
      <alignment horizontal="center" vertical="center"/>
    </xf>
    <xf numFmtId="190" fontId="15" fillId="0" borderId="0" xfId="49" applyNumberFormat="1" applyFont="1" applyAlignment="1">
      <alignment horizontal="center" vertical="center"/>
    </xf>
    <xf numFmtId="188" fontId="15" fillId="0" borderId="11" xfId="51" applyNumberFormat="1" applyFont="1" applyBorder="1" applyAlignment="1">
      <alignment horizontal="center"/>
    </xf>
    <xf numFmtId="0" fontId="15" fillId="0" borderId="15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190" fontId="15" fillId="0" borderId="13" xfId="49" applyNumberFormat="1" applyFont="1" applyBorder="1" applyAlignment="1">
      <alignment horizontal="center" vertical="center"/>
    </xf>
    <xf numFmtId="188" fontId="15" fillId="0" borderId="14" xfId="51" applyNumberFormat="1" applyFont="1" applyBorder="1" applyAlignment="1">
      <alignment horizontal="center"/>
    </xf>
    <xf numFmtId="188" fontId="5" fillId="0" borderId="16" xfId="0" applyNumberFormat="1" applyFont="1" applyBorder="1" applyAlignment="1">
      <alignment vertical="center"/>
    </xf>
    <xf numFmtId="188" fontId="5" fillId="0" borderId="17" xfId="0" applyNumberFormat="1" applyFont="1" applyBorder="1" applyAlignment="1">
      <alignment vertical="center"/>
    </xf>
    <xf numFmtId="188" fontId="5" fillId="0" borderId="18" xfId="0" applyNumberFormat="1" applyFont="1" applyBorder="1" applyAlignment="1">
      <alignment horizontal="center" vertical="center"/>
    </xf>
    <xf numFmtId="0" fontId="5" fillId="17" borderId="10" xfId="0" applyFont="1" applyFill="1" applyBorder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7" borderId="11" xfId="0" applyFont="1" applyFill="1" applyBorder="1" applyAlignment="1">
      <alignment horizontal="center" vertical="center"/>
    </xf>
    <xf numFmtId="0" fontId="15" fillId="17" borderId="10" xfId="0" applyFont="1" applyFill="1" applyBorder="1" applyAlignment="1">
      <alignment horizontal="left" vertical="center"/>
    </xf>
    <xf numFmtId="10" fontId="22" fillId="17" borderId="0" xfId="0" applyNumberFormat="1" applyFont="1" applyFill="1" applyAlignment="1">
      <alignment horizontal="center" vertical="center"/>
    </xf>
    <xf numFmtId="187" fontId="15" fillId="17" borderId="11" xfId="0" applyNumberFormat="1" applyFont="1" applyFill="1" applyBorder="1" applyAlignment="1">
      <alignment horizontal="center" vertical="center"/>
    </xf>
    <xf numFmtId="186" fontId="22" fillId="17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0" fontId="15" fillId="0" borderId="10" xfId="0" applyFont="1" applyBorder="1"/>
    <xf numFmtId="0" fontId="15" fillId="0" borderId="0" xfId="0" applyFont="1"/>
    <xf numFmtId="185" fontId="15" fillId="0" borderId="11" xfId="0" applyNumberFormat="1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15" fillId="10" borderId="10" xfId="0" applyFont="1" applyFill="1" applyBorder="1"/>
    <xf numFmtId="9" fontId="15" fillId="10" borderId="0" xfId="50" applyFont="1" applyFill="1"/>
    <xf numFmtId="0" fontId="15" fillId="10" borderId="0" xfId="0" applyFont="1" applyFill="1"/>
    <xf numFmtId="185" fontId="15" fillId="10" borderId="11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85" fontId="5" fillId="0" borderId="17" xfId="0" applyNumberFormat="1" applyFont="1" applyBorder="1" applyAlignment="1">
      <alignment vertical="center"/>
    </xf>
    <xf numFmtId="185" fontId="5" fillId="0" borderId="18" xfId="0" applyNumberFormat="1" applyFont="1" applyBorder="1" applyAlignment="1">
      <alignment horizontal="center" vertical="center"/>
    </xf>
    <xf numFmtId="0" fontId="19" fillId="14" borderId="15" xfId="0" applyFont="1" applyFill="1" applyBorder="1" applyAlignment="1">
      <alignment horizontal="left" vertical="center"/>
    </xf>
    <xf numFmtId="0" fontId="19" fillId="14" borderId="13" xfId="0" applyFont="1" applyFill="1" applyBorder="1" applyAlignment="1">
      <alignment horizontal="left" vertical="center"/>
    </xf>
    <xf numFmtId="0" fontId="19" fillId="14" borderId="14" xfId="0" applyFont="1" applyFill="1" applyBorder="1" applyAlignment="1">
      <alignment horizontal="left" vertical="center"/>
    </xf>
    <xf numFmtId="185" fontId="19" fillId="14" borderId="19" xfId="0" applyNumberFormat="1" applyFont="1" applyFill="1" applyBorder="1" applyAlignment="1">
      <alignment horizontal="center"/>
    </xf>
    <xf numFmtId="0" fontId="19" fillId="14" borderId="14" xfId="0" applyFont="1" applyFill="1" applyBorder="1" applyAlignment="1">
      <alignment horizontal="center" vertical="center"/>
    </xf>
    <xf numFmtId="185" fontId="19" fillId="14" borderId="12" xfId="0" applyNumberFormat="1" applyFont="1" applyFill="1" applyBorder="1" applyAlignment="1">
      <alignment horizontal="center"/>
    </xf>
    <xf numFmtId="0" fontId="7" fillId="18" borderId="15" xfId="0" applyFont="1" applyFill="1" applyBorder="1" applyAlignment="1">
      <alignment horizontal="left" vertical="center"/>
    </xf>
    <xf numFmtId="0" fontId="19" fillId="18" borderId="13" xfId="0" applyFont="1" applyFill="1" applyBorder="1" applyAlignment="1">
      <alignment horizontal="left" vertical="center"/>
    </xf>
    <xf numFmtId="187" fontId="7" fillId="18" borderId="12" xfId="0" applyNumberFormat="1" applyFont="1" applyFill="1" applyBorder="1" applyAlignment="1">
      <alignment horizontal="center"/>
    </xf>
    <xf numFmtId="0" fontId="19" fillId="18" borderId="14" xfId="0" applyFont="1" applyFill="1" applyBorder="1" applyAlignment="1">
      <alignment horizontal="left" vertical="center"/>
    </xf>
    <xf numFmtId="187" fontId="7" fillId="18" borderId="12" xfId="0" applyNumberFormat="1" applyFont="1" applyFill="1" applyBorder="1" applyAlignment="1">
      <alignment horizontal="right"/>
    </xf>
    <xf numFmtId="0" fontId="5" fillId="0" borderId="6" xfId="0" applyFont="1" applyBorder="1" applyAlignment="1">
      <alignment vertical="center"/>
    </xf>
    <xf numFmtId="188" fontId="5" fillId="0" borderId="7" xfId="0" applyNumberFormat="1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87" fontId="5" fillId="0" borderId="0" xfId="0" applyNumberFormat="1" applyFont="1" applyAlignment="1">
      <alignment vertical="center"/>
    </xf>
    <xf numFmtId="0" fontId="15" fillId="0" borderId="11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187" fontId="5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vertical="center"/>
    </xf>
    <xf numFmtId="0" fontId="15" fillId="0" borderId="22" xfId="0" applyFont="1" applyBorder="1" applyAlignment="1">
      <alignment vertical="center"/>
    </xf>
    <xf numFmtId="189" fontId="15" fillId="0" borderId="0" xfId="0" applyNumberFormat="1" applyFont="1" applyAlignment="1">
      <alignment vertical="center"/>
    </xf>
    <xf numFmtId="182" fontId="15" fillId="0" borderId="0" xfId="2" applyNumberFormat="1" applyFont="1" applyAlignment="1">
      <alignment vertical="center"/>
    </xf>
  </cellXfs>
  <cellStyles count="52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  <cellStyle name="Moeda 2" xfId="49"/>
    <cellStyle name="Porcentagem 2" xfId="50"/>
    <cellStyle name="Vírgula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1000125</xdr:colOff>
      <xdr:row>0</xdr:row>
      <xdr:rowOff>63500</xdr:rowOff>
    </xdr:from>
    <xdr:to>
      <xdr:col>6</xdr:col>
      <xdr:colOff>2381251</xdr:colOff>
      <xdr:row>3</xdr:row>
      <xdr:rowOff>206374</xdr:rowOff>
    </xdr:to>
    <xdr:pic>
      <xdr:nvPicPr>
        <xdr:cNvPr id="2" name="Imagem 1" descr="Avaliações da empresa Seawise: Como é trabalhar nela? | Glassdoor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558645" y="63500"/>
          <a:ext cx="1381125" cy="102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101600</xdr:colOff>
      <xdr:row>51</xdr:row>
      <xdr:rowOff>19050</xdr:rowOff>
    </xdr:from>
    <xdr:to>
      <xdr:col>7</xdr:col>
      <xdr:colOff>800100</xdr:colOff>
      <xdr:row>54</xdr:row>
      <xdr:rowOff>3175</xdr:rowOff>
    </xdr:to>
    <xdr:pic>
      <xdr:nvPicPr>
        <xdr:cNvPr id="3" name="Imagem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46475" y="11599545"/>
          <a:ext cx="698500" cy="679450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304800</xdr:colOff>
      <xdr:row>8</xdr:row>
      <xdr:rowOff>66675</xdr:rowOff>
    </xdr:to>
    <xdr:sp>
      <xdr:nvSpPr>
        <xdr:cNvPr id="11267" name="AutoShape 3" descr="Magnetron Para Microondas 2m 219j"/>
        <xdr:cNvSpPr>
          <a:spLocks noChangeAspect="1" noChangeArrowheads="1"/>
        </xdr:cNvSpPr>
      </xdr:nvSpPr>
      <xdr:spPr>
        <a:xfrm>
          <a:off x="19916775" y="192024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17</xdr:col>
      <xdr:colOff>963706</xdr:colOff>
      <xdr:row>0</xdr:row>
      <xdr:rowOff>0</xdr:rowOff>
    </xdr:from>
    <xdr:to>
      <xdr:col>18</xdr:col>
      <xdr:colOff>278855</xdr:colOff>
      <xdr:row>1</xdr:row>
      <xdr:rowOff>144556</xdr:rowOff>
    </xdr:to>
    <xdr:pic>
      <xdr:nvPicPr>
        <xdr:cNvPr id="9" name="Imagem 8" descr="Avaliações da empresa Seawise: Como é trabalhar nela? | Glassdoor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571730" y="0"/>
          <a:ext cx="676910" cy="471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212912</xdr:colOff>
      <xdr:row>8</xdr:row>
      <xdr:rowOff>123264</xdr:rowOff>
    </xdr:from>
    <xdr:to>
      <xdr:col>18</xdr:col>
      <xdr:colOff>916454</xdr:colOff>
      <xdr:row>12</xdr:row>
      <xdr:rowOff>64807</xdr:rowOff>
    </xdr:to>
    <xdr:pic>
      <xdr:nvPicPr>
        <xdr:cNvPr id="10" name="Imagem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182600" y="2157730"/>
          <a:ext cx="703580" cy="673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seawiseexterior.sharepoint.com/68a01a03989ce713/IMPORTA&#199;&#194;O/SEAWISE/CLIENTES/HORTAVIVA/Estimativas/2023/F&#225;brica%203/Estimativa%20de%20Custos%20-%20F&#193;BRICA%203%20-%20HORTAVIV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seawiseexterior.sharepoint.com/68a01a03989ce713/IMPORTA&#199;&#194;O/SEAWISE/CLIENTES/PEVESUL/Estimativa%20de%20Custos%20-%20F&#225;brica%20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s1"/>
      <sheetName val="Estimativa (2)"/>
      <sheetName val="Est. Cust. Naci. 100%"/>
      <sheetName val="Rateio Custos Fixos"/>
      <sheetName val="Lista de Compra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26">
          <cell r="B26">
            <v>4.7972</v>
          </cell>
        </row>
      </sheetData>
      <sheetData sheetId="4" refreshError="1">
        <row r="4">
          <cell r="B4">
            <v>1</v>
          </cell>
        </row>
        <row r="4">
          <cell r="J4">
            <v>15</v>
          </cell>
        </row>
        <row r="6">
          <cell r="B6">
            <v>3</v>
          </cell>
        </row>
        <row r="6">
          <cell r="J6">
            <v>15</v>
          </cell>
        </row>
        <row r="7">
          <cell r="B7">
            <v>4</v>
          </cell>
        </row>
        <row r="7">
          <cell r="J7">
            <v>15</v>
          </cell>
        </row>
        <row r="8">
          <cell r="B8">
            <v>5</v>
          </cell>
        </row>
        <row r="8">
          <cell r="J8">
            <v>15</v>
          </cell>
        </row>
        <row r="9">
          <cell r="B9">
            <v>6</v>
          </cell>
        </row>
        <row r="9">
          <cell r="J9">
            <v>15</v>
          </cell>
        </row>
      </sheetData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Lista de Compra"/>
      <sheetName val="Resumo 100%"/>
      <sheetName val="Estimativa 50%"/>
      <sheetName val="Resumo 50%"/>
      <sheetName val="Est. Cust. Naci. 50%"/>
      <sheetName val="Estimativa 100%"/>
      <sheetName val="Est. Cust. Naci."/>
      <sheetName val="Planilha2"/>
      <sheetName val="Rateio Custos Fixos"/>
      <sheetName val="Pedido"/>
      <sheetName val="Formulário"/>
      <sheetName val="Est. Cust. Nacionalização"/>
      <sheetName val="Resumo"/>
      <sheetName val="Planilha1"/>
    </sheetNames>
    <sheetDataSet>
      <sheetData sheetId="0">
        <row r="2">
          <cell r="Q2" t="str">
            <v>% Rateio Preço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  <pageSetUpPr fitToPage="1"/>
  </sheetPr>
  <dimension ref="A1:R58"/>
  <sheetViews>
    <sheetView showGridLines="0" tabSelected="1" zoomScale="60" zoomScaleNormal="60" topLeftCell="A22" workbookViewId="0">
      <selection activeCell="P42" sqref="P42"/>
    </sheetView>
  </sheetViews>
  <sheetFormatPr defaultColWidth="8.85185185185185" defaultRowHeight="18"/>
  <cols>
    <col min="1" max="1" width="11.712962962963" style="80" customWidth="1"/>
    <col min="2" max="2" width="55.1388888888889" style="90" customWidth="1"/>
    <col min="3" max="3" width="31.4259259259259" style="90" customWidth="1"/>
    <col min="4" max="4" width="30.1388888888889" style="90" customWidth="1"/>
    <col min="5" max="5" width="27" style="90" customWidth="1"/>
    <col min="6" max="6" width="42.287037037037" style="90" customWidth="1"/>
    <col min="7" max="7" width="37.712962962963" style="90" customWidth="1"/>
    <col min="8" max="8" width="41" style="80" customWidth="1"/>
    <col min="9" max="9" width="17.8518518518519" style="80" hidden="1" customWidth="1"/>
    <col min="10" max="10" width="43.287037037037" style="80" hidden="1" customWidth="1"/>
    <col min="11" max="11" width="14.8518518518519" style="80" hidden="1" customWidth="1"/>
    <col min="12" max="12" width="8.85185185185185" style="80" hidden="1" customWidth="1"/>
    <col min="13" max="13" width="17.8518518518519" style="80" hidden="1" customWidth="1"/>
    <col min="14" max="14" width="18.1388888888889" style="80" hidden="1" customWidth="1"/>
    <col min="15" max="15" width="24.4259259259259" style="80" hidden="1" customWidth="1"/>
    <col min="16" max="16" width="14" style="80" customWidth="1"/>
    <col min="17" max="16384" width="8.85185185185185" style="80"/>
  </cols>
  <sheetData>
    <row r="1" ht="20.25" customHeight="1"/>
    <row r="3" ht="31.2" spans="1:18">
      <c r="B3" s="91" t="s">
        <v>0</v>
      </c>
      <c r="J3" s="80" t="s">
        <v>1</v>
      </c>
      <c r="R3" s="80" t="s">
        <v>2</v>
      </c>
    </row>
    <row r="5" ht="27.75" customHeight="1" spans="1:18">
      <c r="B5" s="92"/>
      <c r="C5" s="93"/>
      <c r="D5" s="94"/>
      <c r="E5" s="94"/>
      <c r="F5" s="94"/>
      <c r="G5" s="95"/>
      <c r="J5" s="84">
        <v>100</v>
      </c>
      <c r="K5" s="84">
        <v>5.8</v>
      </c>
    </row>
    <row r="6" spans="1:18">
      <c r="B6" s="96"/>
      <c r="C6" s="97"/>
      <c r="D6" s="98"/>
      <c r="E6" s="98"/>
      <c r="F6" s="98"/>
      <c r="G6" s="99"/>
      <c r="J6" s="84">
        <v>300</v>
      </c>
      <c r="K6" s="84">
        <v>2.1</v>
      </c>
    </row>
    <row r="7" spans="1:18">
      <c r="B7" s="96"/>
      <c r="C7" s="97"/>
      <c r="D7" s="98"/>
      <c r="E7" s="98"/>
      <c r="F7" s="98"/>
      <c r="G7" s="99"/>
      <c r="J7" s="84">
        <v>300</v>
      </c>
      <c r="K7" s="84">
        <v>10</v>
      </c>
    </row>
    <row r="8" spans="1:18">
      <c r="B8" s="96"/>
      <c r="C8" s="100" t="s">
        <v>3</v>
      </c>
      <c r="D8" s="100"/>
      <c r="E8" s="100" t="s">
        <v>4</v>
      </c>
      <c r="F8" s="100"/>
      <c r="G8" s="101" t="s">
        <v>5</v>
      </c>
      <c r="J8" s="84">
        <v>300</v>
      </c>
      <c r="K8" s="84">
        <v>10</v>
      </c>
      <c r="Q8"/>
    </row>
    <row r="9" spans="1:18">
      <c r="B9" s="96"/>
      <c r="C9" s="102" t="s">
        <v>6</v>
      </c>
      <c r="D9" s="103"/>
      <c r="E9" s="100" t="s">
        <v>7</v>
      </c>
      <c r="F9" s="100"/>
      <c r="G9" s="104">
        <f ca="1">TODAY()</f>
        <v>46129</v>
      </c>
      <c r="J9" s="84">
        <v>300</v>
      </c>
      <c r="K9" s="84">
        <v>10</v>
      </c>
    </row>
    <row r="10" ht="15" customHeight="1" spans="1:18">
      <c r="B10" s="96"/>
      <c r="C10" s="100" t="s">
        <v>8</v>
      </c>
      <c r="D10" s="105"/>
      <c r="E10" s="100" t="s">
        <v>9</v>
      </c>
      <c r="F10" s="100"/>
      <c r="G10" s="101" t="s">
        <v>10</v>
      </c>
      <c r="J10" s="84">
        <v>100</v>
      </c>
      <c r="K10" s="84">
        <v>11.5</v>
      </c>
    </row>
    <row r="11" ht="15" customHeight="1" spans="1:18">
      <c r="B11" s="106"/>
      <c r="C11" s="107"/>
      <c r="D11" s="108"/>
      <c r="E11" s="107"/>
      <c r="F11" s="107"/>
      <c r="G11" s="109"/>
      <c r="J11" s="84">
        <v>100</v>
      </c>
      <c r="K11" s="84">
        <v>11.5</v>
      </c>
    </row>
    <row r="12" ht="36.75" customHeight="1" spans="1:18">
      <c r="A12" s="90"/>
      <c r="B12" s="110" t="s">
        <v>11</v>
      </c>
      <c r="C12" s="111" t="s">
        <v>12</v>
      </c>
      <c r="D12" s="112">
        <f>'Rateio Custos Fixos'!B3</f>
        <v>5.16</v>
      </c>
      <c r="E12" s="111" t="s">
        <v>13</v>
      </c>
      <c r="F12" s="113" t="str">
        <f>'LISTA DE COMPRAS'!D6</f>
        <v>8708-8000</v>
      </c>
      <c r="G12" s="114"/>
      <c r="I12"/>
      <c r="J12" s="84"/>
      <c r="K12" s="84">
        <v>0</v>
      </c>
    </row>
    <row r="13" ht="18.6" customHeight="1" spans="1:18">
      <c r="B13" s="115" t="s">
        <v>14</v>
      </c>
      <c r="C13" s="116"/>
      <c r="D13" s="116"/>
      <c r="E13" s="116"/>
      <c r="F13" s="116"/>
      <c r="G13" s="117"/>
      <c r="I13" s="118" t="s">
        <v>15</v>
      </c>
      <c r="J13" s="84">
        <v>100</v>
      </c>
      <c r="K13" s="84">
        <v>10.8</v>
      </c>
      <c r="L13" s="118" t="s">
        <v>16</v>
      </c>
      <c r="M13" s="118"/>
      <c r="N13" s="118"/>
      <c r="O13" s="118" t="s">
        <v>17</v>
      </c>
    </row>
    <row r="14" spans="1:18">
      <c r="B14" s="119" t="s">
        <v>18</v>
      </c>
      <c r="C14" s="120"/>
      <c r="D14" s="120" t="s">
        <v>19</v>
      </c>
      <c r="E14" s="120" t="s">
        <v>20</v>
      </c>
      <c r="F14" s="120" t="s">
        <v>21</v>
      </c>
      <c r="G14" s="121" t="s">
        <v>22</v>
      </c>
      <c r="I14" s="122">
        <f>'[1]Lista de Compra'!B4</f>
        <v>1</v>
      </c>
      <c r="J14" s="84">
        <v>100</v>
      </c>
      <c r="K14" s="84">
        <v>10.8</v>
      </c>
      <c r="L14" s="122">
        <f>'[1]Lista de Compra'!J4</f>
        <v>15</v>
      </c>
      <c r="M14" s="123">
        <f>K14*L14*'[1]Rateio Custos Fixos'!$B$26</f>
        <v>777.1464</v>
      </c>
      <c r="N14" s="124">
        <f t="shared" ref="N14:N20" si="0">M14+(M14*$K$11)</f>
        <v>9714.33</v>
      </c>
      <c r="O14" s="124">
        <f>N14/L14</f>
        <v>647.622</v>
      </c>
    </row>
    <row r="15" spans="1:18">
      <c r="B15" s="125"/>
      <c r="C15" s="126"/>
      <c r="D15" s="127">
        <f>'LISTA DE COMPRAS'!J4</f>
        <v>5700</v>
      </c>
      <c r="E15" s="128" t="s">
        <v>23</v>
      </c>
      <c r="F15" s="129">
        <f>'LISTA DE COMPRAS'!M4</f>
        <v>57040</v>
      </c>
      <c r="G15" s="130">
        <f>F15*$D$12</f>
        <v>294326.4</v>
      </c>
      <c r="I15" s="122"/>
      <c r="J15" s="84">
        <v>100</v>
      </c>
      <c r="K15" s="84">
        <v>7.6</v>
      </c>
      <c r="L15" s="122"/>
      <c r="M15" s="123"/>
      <c r="N15" s="124"/>
      <c r="O15" s="124"/>
    </row>
    <row r="16" spans="1:18">
      <c r="B16" s="131" t="s">
        <v>24</v>
      </c>
      <c r="C16" s="132"/>
      <c r="D16" s="133"/>
      <c r="E16" s="134"/>
      <c r="F16" s="134">
        <f>SUM(F15:F15)</f>
        <v>57040</v>
      </c>
      <c r="G16" s="135">
        <f>SUM(G15:G15)</f>
        <v>294326.4</v>
      </c>
      <c r="I16" s="122"/>
      <c r="J16" s="84">
        <v>100</v>
      </c>
      <c r="K16" s="84">
        <v>14.4</v>
      </c>
      <c r="L16" s="122"/>
      <c r="M16" s="123"/>
      <c r="N16" s="124"/>
      <c r="O16" s="124"/>
    </row>
    <row r="17" spans="1:16">
      <c r="B17" s="136" t="s">
        <v>25</v>
      </c>
      <c r="C17" s="137"/>
      <c r="D17" s="138"/>
      <c r="E17" s="139"/>
      <c r="F17" s="1"/>
      <c r="G17" s="140">
        <f>G16+G19</f>
        <v>312306.4</v>
      </c>
      <c r="I17" s="122">
        <f>'[1]Lista de Compra'!B6</f>
        <v>3</v>
      </c>
      <c r="J17" s="84">
        <v>100</v>
      </c>
      <c r="K17" s="84">
        <v>7.6</v>
      </c>
      <c r="L17" s="122">
        <f>'[1]Lista de Compra'!J6</f>
        <v>15</v>
      </c>
      <c r="M17" s="123">
        <f>K17*L17*'[1]Rateio Custos Fixos'!$B$26</f>
        <v>546.8808</v>
      </c>
      <c r="N17" s="124">
        <f t="shared" si="0"/>
        <v>6836.01</v>
      </c>
      <c r="O17" s="124">
        <f>N17/L17</f>
        <v>455.734</v>
      </c>
    </row>
    <row r="18" spans="1:16">
      <c r="B18" s="141" t="s">
        <v>26</v>
      </c>
      <c r="C18" s="142"/>
      <c r="D18" s="143"/>
      <c r="E18" s="144"/>
      <c r="F18" s="144"/>
      <c r="G18" s="145"/>
      <c r="I18" s="122">
        <f>'[1]Lista de Compra'!B7</f>
        <v>4</v>
      </c>
      <c r="J18" s="84">
        <v>100</v>
      </c>
      <c r="K18" s="84">
        <v>14.4</v>
      </c>
      <c r="L18" s="122">
        <f>'[1]Lista de Compra'!J7</f>
        <v>15</v>
      </c>
      <c r="M18" s="123">
        <f>K18*L18*'[1]Rateio Custos Fixos'!$B$26</f>
        <v>1036.1952</v>
      </c>
      <c r="N18" s="124">
        <f t="shared" si="0"/>
        <v>12952.44</v>
      </c>
      <c r="O18" s="124">
        <f>N18/L18</f>
        <v>863.496</v>
      </c>
    </row>
    <row r="19" ht="18.75" spans="1:16">
      <c r="B19" s="146" t="s">
        <v>27</v>
      </c>
      <c r="C19" s="147"/>
      <c r="D19" s="148"/>
      <c r="E19" s="149"/>
      <c r="F19" s="144">
        <f>'Rateio Custos Fixos'!G5</f>
        <v>3484.49612403101</v>
      </c>
      <c r="G19" s="150">
        <f>F19*D12</f>
        <v>17980</v>
      </c>
      <c r="I19" s="122">
        <f>'[1]Lista de Compra'!B8</f>
        <v>5</v>
      </c>
      <c r="J19" s="84">
        <v>100</v>
      </c>
      <c r="K19" s="84">
        <v>17.8</v>
      </c>
      <c r="L19" s="122">
        <f>'[1]Lista de Compra'!J8</f>
        <v>15</v>
      </c>
      <c r="M19" s="123">
        <f>K19*L19*'[1]Rateio Custos Fixos'!$B$26</f>
        <v>1280.8524</v>
      </c>
      <c r="N19" s="124">
        <f t="shared" si="0"/>
        <v>16010.655</v>
      </c>
      <c r="O19" s="124">
        <f>N19/L19</f>
        <v>1067.377</v>
      </c>
    </row>
    <row r="20" ht="15.75" customHeight="1" spans="1:16">
      <c r="B20" s="151" t="s">
        <v>28</v>
      </c>
      <c r="C20" s="152"/>
      <c r="D20" s="152"/>
      <c r="E20" s="152"/>
      <c r="F20" s="152"/>
      <c r="G20" s="153">
        <f>G17</f>
        <v>312306.4</v>
      </c>
      <c r="I20" s="122">
        <f>'[1]Lista de Compra'!B9</f>
        <v>6</v>
      </c>
      <c r="J20" s="84">
        <v>100</v>
      </c>
      <c r="K20" s="84">
        <v>17.8</v>
      </c>
      <c r="L20" s="122">
        <f>'[1]Lista de Compra'!J9</f>
        <v>15</v>
      </c>
      <c r="M20" s="123">
        <f>K20*L20*'[1]Rateio Custos Fixos'!$B$26</f>
        <v>1280.8524</v>
      </c>
      <c r="N20" s="124">
        <f t="shared" si="0"/>
        <v>16010.655</v>
      </c>
      <c r="O20" s="124">
        <f>N20/L20</f>
        <v>1067.377</v>
      </c>
    </row>
    <row r="21" ht="18.6" customHeight="1" spans="1:16">
      <c r="B21" s="115" t="s">
        <v>29</v>
      </c>
      <c r="C21" s="116"/>
      <c r="D21" s="116"/>
      <c r="E21" s="116"/>
      <c r="F21" s="116"/>
      <c r="G21" s="117"/>
      <c r="J21" s="84">
        <v>100</v>
      </c>
      <c r="K21" s="84">
        <v>4.4</v>
      </c>
    </row>
    <row r="22" s="1" customFormat="1" ht="15" customHeight="1" spans="1:16">
      <c r="B22" s="154" t="s">
        <v>29</v>
      </c>
      <c r="C22" s="155" t="s">
        <v>30</v>
      </c>
      <c r="D22" s="155"/>
      <c r="E22" s="155"/>
      <c r="F22" s="155"/>
      <c r="G22" s="156" t="s">
        <v>31</v>
      </c>
      <c r="J22" s="84">
        <v>100</v>
      </c>
      <c r="K22" s="84">
        <v>6.4</v>
      </c>
      <c r="P22" s="80"/>
    </row>
    <row r="23" s="1" customFormat="1" spans="1:16">
      <c r="B23" s="157" t="s">
        <v>32</v>
      </c>
      <c r="C23" s="158">
        <f>'LISTA DE COMPRAS'!E5</f>
        <v>0.18</v>
      </c>
      <c r="D23" s="155"/>
      <c r="E23" s="155"/>
      <c r="F23" s="155"/>
      <c r="G23" s="159">
        <f>'Est. Cust. Naci.'!R$4</f>
        <v>56215.152</v>
      </c>
      <c r="J23" s="84">
        <v>100</v>
      </c>
      <c r="K23" s="84">
        <v>4.6</v>
      </c>
    </row>
    <row r="24" s="1" customFormat="1" spans="1:16">
      <c r="B24" s="157" t="s">
        <v>33</v>
      </c>
      <c r="C24" s="160">
        <f>'LISTA DE COMPRAS'!F5</f>
        <v>0.0306</v>
      </c>
      <c r="D24" s="155"/>
      <c r="E24" s="155"/>
      <c r="F24" s="155"/>
      <c r="G24" s="159">
        <f>'Est. Cust. Naci.'!S$4</f>
        <v>11276.7594912</v>
      </c>
      <c r="J24" s="84">
        <v>100</v>
      </c>
      <c r="K24" s="84">
        <v>5.1</v>
      </c>
    </row>
    <row r="25" s="1" customFormat="1" spans="1:16">
      <c r="B25" s="157" t="s">
        <v>34</v>
      </c>
      <c r="C25" s="158">
        <f>'LISTA DE COMPRAS'!G5</f>
        <v>0.0312</v>
      </c>
      <c r="D25" s="155"/>
      <c r="E25" s="155"/>
      <c r="F25" s="155"/>
      <c r="G25" s="159">
        <f>'Est. Cust. Naci.'!T$4</f>
        <v>11497.8724224</v>
      </c>
      <c r="J25" s="84"/>
      <c r="K25" s="84">
        <v>0</v>
      </c>
    </row>
    <row r="26" s="1" customFormat="1" spans="1:16">
      <c r="B26" s="157" t="s">
        <v>35</v>
      </c>
      <c r="C26" s="158">
        <f>'LISTA DE COMPRAS'!H5</f>
        <v>0.1437</v>
      </c>
      <c r="D26" s="155"/>
      <c r="E26" s="155"/>
      <c r="F26" s="155"/>
      <c r="G26" s="159">
        <f>'Est. Cust. Naci.'!U$4</f>
        <v>52956.5470224</v>
      </c>
      <c r="J26" s="84">
        <v>100</v>
      </c>
      <c r="K26" s="84">
        <v>9.3</v>
      </c>
    </row>
    <row r="27" s="1" customFormat="1" ht="18.75" spans="1:16">
      <c r="B27" s="157" t="s">
        <v>36</v>
      </c>
      <c r="C27" s="158">
        <f>'LISTA DE COMPRAS'!I5</f>
        <v>0.18</v>
      </c>
      <c r="D27" s="155"/>
      <c r="E27" s="155"/>
      <c r="F27" s="155"/>
      <c r="G27" s="159">
        <f>'Est. Cust. Naci.'!V$4</f>
        <v>56215.152</v>
      </c>
      <c r="J27" s="84">
        <v>100</v>
      </c>
      <c r="K27" s="84">
        <v>9.3</v>
      </c>
    </row>
    <row r="28" s="1" customFormat="1" ht="18.75" spans="1:16">
      <c r="B28" s="151" t="s">
        <v>37</v>
      </c>
      <c r="C28" s="152"/>
      <c r="D28" s="152"/>
      <c r="E28" s="152"/>
      <c r="F28" s="152"/>
      <c r="G28" s="153">
        <f>SUM(G23:G27)</f>
        <v>188161.482936</v>
      </c>
      <c r="J28" s="84">
        <v>100</v>
      </c>
      <c r="K28" s="84">
        <v>11</v>
      </c>
    </row>
    <row r="29" ht="18.6" customHeight="1" spans="1:16">
      <c r="A29" s="161"/>
      <c r="B29" s="115" t="s">
        <v>38</v>
      </c>
      <c r="C29" s="116"/>
      <c r="D29" s="116"/>
      <c r="E29" s="116"/>
      <c r="F29" s="116"/>
      <c r="G29" s="117"/>
      <c r="J29" s="84">
        <v>100</v>
      </c>
      <c r="K29" s="84">
        <v>11</v>
      </c>
    </row>
    <row r="30" ht="18.6" customHeight="1" spans="1:16">
      <c r="A30" s="161"/>
      <c r="B30" s="162" t="s">
        <v>39</v>
      </c>
      <c r="C30" s="163"/>
      <c r="D30" s="163"/>
      <c r="E30" s="163"/>
      <c r="F30" s="163"/>
      <c r="G30" s="164">
        <f>'Rateio Custos Fixos'!F$11</f>
        <v>214.5</v>
      </c>
      <c r="J30" s="84">
        <v>100</v>
      </c>
      <c r="K30" s="84">
        <v>9.8</v>
      </c>
    </row>
    <row r="31" ht="18.6" customHeight="1" spans="1:16">
      <c r="A31" s="161"/>
      <c r="B31" s="162" t="s">
        <v>40</v>
      </c>
      <c r="C31" s="163"/>
      <c r="D31" s="163"/>
      <c r="E31" s="163"/>
      <c r="F31" s="163"/>
      <c r="G31" s="164">
        <f>'Rateio Custos Fixos'!G$11</f>
        <v>490</v>
      </c>
      <c r="J31" s="84">
        <v>100</v>
      </c>
      <c r="K31" s="84">
        <v>10.2</v>
      </c>
    </row>
    <row r="32" ht="18.6" customHeight="1" spans="1:16">
      <c r="A32" s="161"/>
      <c r="B32" s="162" t="s">
        <v>41</v>
      </c>
      <c r="C32" s="163"/>
      <c r="D32" s="163"/>
      <c r="E32" s="163"/>
      <c r="F32" s="163"/>
      <c r="G32" s="164">
        <f>'Rateio Custos Fixos'!H$11</f>
        <v>1547</v>
      </c>
      <c r="H32" s="165"/>
      <c r="J32" s="84">
        <v>100</v>
      </c>
      <c r="K32" s="84">
        <v>10.2</v>
      </c>
    </row>
    <row r="33" ht="18.6" customHeight="1" spans="1:11">
      <c r="A33" s="161"/>
      <c r="B33" s="162" t="s">
        <v>42</v>
      </c>
      <c r="C33" s="163"/>
      <c r="D33" s="163"/>
      <c r="E33" s="163"/>
      <c r="F33" s="163"/>
      <c r="G33" s="164">
        <f>'Rateio Custos Fixos'!I$11</f>
        <v>48</v>
      </c>
      <c r="J33" s="84">
        <v>100</v>
      </c>
      <c r="K33" s="84">
        <v>11</v>
      </c>
    </row>
    <row r="34" ht="18.6" customHeight="1" spans="1:11">
      <c r="A34" s="161"/>
      <c r="B34" s="162" t="s">
        <v>43</v>
      </c>
      <c r="C34" s="163"/>
      <c r="D34" s="163"/>
      <c r="E34" s="163"/>
      <c r="F34" s="163"/>
      <c r="G34" s="164">
        <f>'Rateio Custos Fixos'!J$11</f>
        <v>122</v>
      </c>
      <c r="J34" s="84">
        <v>100</v>
      </c>
      <c r="K34" s="84">
        <v>13.6</v>
      </c>
    </row>
    <row r="35" ht="18.6" customHeight="1" spans="1:11">
      <c r="A35" s="161"/>
      <c r="B35" s="162" t="s">
        <v>44</v>
      </c>
      <c r="C35" s="163"/>
      <c r="D35" s="163"/>
      <c r="E35" s="163"/>
      <c r="F35" s="163"/>
      <c r="G35" s="164">
        <f>'Rateio Custos Fixos'!K$11</f>
        <v>1072.94</v>
      </c>
      <c r="H35"/>
      <c r="J35" s="84"/>
      <c r="K35" s="84">
        <v>0</v>
      </c>
    </row>
    <row r="36" ht="18.6" customHeight="1" spans="1:11">
      <c r="A36" s="161"/>
      <c r="B36" s="162" t="s">
        <v>45</v>
      </c>
      <c r="C36" s="163"/>
      <c r="D36" s="163"/>
      <c r="E36" s="163"/>
      <c r="F36" s="163"/>
      <c r="G36" s="164">
        <f>'Rateio Custos Fixos'!L$11</f>
        <v>774.9</v>
      </c>
      <c r="J36" s="84"/>
      <c r="K36" s="84">
        <v>0</v>
      </c>
    </row>
    <row r="37" spans="1:11">
      <c r="A37" s="161"/>
      <c r="B37" s="162" t="s">
        <v>46</v>
      </c>
      <c r="C37" s="163"/>
      <c r="D37" s="163"/>
      <c r="E37" s="163"/>
      <c r="F37" s="163"/>
      <c r="G37" s="164">
        <f>'Rateio Custos Fixos'!M$11</f>
        <v>29.8</v>
      </c>
      <c r="J37" s="84">
        <v>100</v>
      </c>
      <c r="K37" s="84">
        <v>5.4</v>
      </c>
    </row>
    <row r="38" ht="18.6" customHeight="1" spans="1:11">
      <c r="A38" s="161"/>
      <c r="B38" s="166" t="s">
        <v>47</v>
      </c>
      <c r="C38" s="167">
        <v>0.08</v>
      </c>
      <c r="D38" s="168"/>
      <c r="E38" s="168"/>
      <c r="F38" s="168"/>
      <c r="G38" s="169">
        <f>'Rateio Custos Fixos'!N66</f>
        <v>1438.4</v>
      </c>
      <c r="J38" s="84">
        <v>100</v>
      </c>
      <c r="K38" s="84">
        <v>4.7</v>
      </c>
    </row>
    <row r="39" ht="18.6" customHeight="1" spans="1:11">
      <c r="A39" s="161"/>
      <c r="B39" s="162" t="s">
        <v>48</v>
      </c>
      <c r="C39" s="163"/>
      <c r="D39" s="163"/>
      <c r="E39" s="163"/>
      <c r="F39" s="163"/>
      <c r="G39" s="164">
        <v>0</v>
      </c>
      <c r="H39" s="170" t="s">
        <v>49</v>
      </c>
      <c r="J39" s="84">
        <v>100</v>
      </c>
      <c r="K39" s="84">
        <v>9.3</v>
      </c>
    </row>
    <row r="40" ht="18.6" customHeight="1" spans="1:11">
      <c r="A40" s="161"/>
      <c r="B40" s="162" t="s">
        <v>50</v>
      </c>
      <c r="D40" s="163"/>
      <c r="E40" s="163"/>
      <c r="F40" s="163"/>
      <c r="G40" s="164">
        <f>'Rateio Custos Fixos'!P11</f>
        <v>756.95</v>
      </c>
      <c r="J40" s="84"/>
      <c r="K40" s="84">
        <v>0</v>
      </c>
    </row>
    <row r="41" ht="18.6" customHeight="1" spans="1:11">
      <c r="A41" s="161"/>
      <c r="B41" s="162" t="s">
        <v>51</v>
      </c>
      <c r="C41" s="163"/>
      <c r="D41" s="163"/>
      <c r="E41" s="163"/>
      <c r="F41" s="163"/>
      <c r="G41" s="164">
        <f>'Rateio Custos Fixos'!Q11</f>
        <v>320.33</v>
      </c>
      <c r="J41" s="84">
        <v>100</v>
      </c>
      <c r="K41" s="84">
        <v>4.4</v>
      </c>
    </row>
    <row r="42" ht="18.6" customHeight="1" spans="1:11">
      <c r="A42" s="161"/>
      <c r="B42" s="162" t="s">
        <v>52</v>
      </c>
      <c r="C42" s="163"/>
      <c r="D42" s="163"/>
      <c r="E42" s="163"/>
      <c r="F42" s="163"/>
      <c r="G42" s="164">
        <f>'Rateio Custos Fixos'!R11</f>
        <v>117.45</v>
      </c>
      <c r="J42" s="84">
        <v>100</v>
      </c>
      <c r="K42" s="84">
        <v>13.5</v>
      </c>
    </row>
    <row r="43" ht="18.6" customHeight="1" spans="1:11">
      <c r="A43" s="161"/>
      <c r="B43" s="162" t="s">
        <v>53</v>
      </c>
      <c r="C43" s="163"/>
      <c r="D43" s="163"/>
      <c r="E43" s="163"/>
      <c r="F43" s="163"/>
      <c r="G43" s="164">
        <f>'Rateio Custos Fixos'!S11</f>
        <v>286</v>
      </c>
      <c r="J43" s="84">
        <v>100</v>
      </c>
      <c r="K43" s="84">
        <v>15.2</v>
      </c>
    </row>
    <row r="44" ht="18.6" customHeight="1" spans="1:11">
      <c r="A44" s="161"/>
      <c r="B44" s="162" t="s">
        <v>54</v>
      </c>
      <c r="C44" s="163"/>
      <c r="D44" s="163"/>
      <c r="E44" s="163"/>
      <c r="F44" s="163"/>
      <c r="G44" s="164">
        <f>'Rateio Custos Fixos'!T11</f>
        <v>6000</v>
      </c>
      <c r="J44" s="84">
        <v>100</v>
      </c>
      <c r="K44" s="84">
        <v>11.5</v>
      </c>
    </row>
    <row r="45" ht="18.6" customHeight="1" spans="1:11">
      <c r="A45" s="161"/>
      <c r="B45" s="162" t="s">
        <v>55</v>
      </c>
      <c r="C45" s="163"/>
      <c r="D45" s="163"/>
      <c r="E45" s="163"/>
      <c r="F45" s="163"/>
      <c r="G45" s="164">
        <f>'Rateio Custos Fixos'!U11</f>
        <v>2400</v>
      </c>
      <c r="J45" s="84">
        <v>100</v>
      </c>
      <c r="K45" s="84">
        <v>6.9</v>
      </c>
    </row>
    <row r="46" ht="18.6" customHeight="1" spans="1:11">
      <c r="A46" s="161"/>
      <c r="B46" s="151" t="s">
        <v>56</v>
      </c>
      <c r="C46" s="171"/>
      <c r="D46" s="171"/>
      <c r="E46" s="171"/>
      <c r="F46" s="171"/>
      <c r="G46" s="172">
        <f>SUM(G30:G45)</f>
        <v>15618.27</v>
      </c>
      <c r="J46" s="84">
        <v>100</v>
      </c>
      <c r="K46" s="84">
        <v>11.5</v>
      </c>
    </row>
    <row r="47" ht="18.75" spans="1:11">
      <c r="B47" s="173" t="s">
        <v>57</v>
      </c>
      <c r="C47" s="174"/>
      <c r="D47" s="174"/>
      <c r="E47" s="174"/>
      <c r="F47" s="175"/>
      <c r="G47" s="176">
        <f>G20+G28+G46</f>
        <v>516086.152936</v>
      </c>
      <c r="J47" s="84">
        <v>100</v>
      </c>
      <c r="K47" s="84">
        <v>19.5</v>
      </c>
    </row>
    <row r="48" ht="18.75" spans="1:11">
      <c r="B48" s="173"/>
      <c r="C48" s="174"/>
      <c r="D48" s="174"/>
      <c r="E48" s="174"/>
      <c r="F48" s="177"/>
      <c r="G48" s="178" t="s">
        <v>58</v>
      </c>
      <c r="J48" s="84">
        <v>100</v>
      </c>
      <c r="K48" s="84">
        <v>7.6</v>
      </c>
    </row>
    <row r="49" ht="19.5" hidden="1" customHeight="1" spans="1:16">
      <c r="B49" s="179">
        <f>B15</f>
        <v>0</v>
      </c>
      <c r="C49" s="180"/>
      <c r="D49" s="180"/>
      <c r="E49" s="180"/>
      <c r="F49" s="181"/>
      <c r="G49" s="181">
        <f>'LISTA DE COMPRAS'!R5</f>
        <v>53.3280714108333</v>
      </c>
      <c r="J49" s="84">
        <v>100</v>
      </c>
      <c r="K49" s="84">
        <v>11.5</v>
      </c>
    </row>
    <row r="50" ht="19.5" hidden="1" customHeight="1" spans="1:16">
      <c r="B50" s="179" t="e">
        <f>#REF!</f>
        <v>#REF!</v>
      </c>
      <c r="C50" s="180"/>
      <c r="D50" s="180"/>
      <c r="E50" s="180"/>
      <c r="F50" s="182"/>
      <c r="G50" s="183" t="e">
        <f>'Est. Cust. Naci.'!#REF!</f>
        <v>#REF!</v>
      </c>
      <c r="J50" s="84">
        <v>300</v>
      </c>
      <c r="K50" s="84">
        <v>13.1</v>
      </c>
    </row>
    <row r="51" ht="19.5" hidden="1" customHeight="1" spans="1:16">
      <c r="B51" s="179" t="e">
        <f>#REF!</f>
        <v>#REF!</v>
      </c>
      <c r="C51" s="180"/>
      <c r="D51" s="180"/>
      <c r="E51" s="180"/>
      <c r="F51" s="182"/>
      <c r="G51" s="183" t="e">
        <f>'Est. Cust. Naci.'!#REF!</f>
        <v>#REF!</v>
      </c>
      <c r="J51" s="84">
        <v>100</v>
      </c>
      <c r="K51" s="84">
        <v>11.5</v>
      </c>
    </row>
    <row r="52" spans="1:16">
      <c r="B52" s="184" t="s">
        <v>59</v>
      </c>
      <c r="C52" s="185">
        <f>'Est. Cust. Naci.'!L5</f>
        <v>294326.4</v>
      </c>
      <c r="D52" s="186"/>
      <c r="E52" s="186"/>
      <c r="F52" s="186"/>
      <c r="G52" s="187"/>
      <c r="J52" s="84">
        <v>100</v>
      </c>
      <c r="K52" s="84">
        <v>4.4</v>
      </c>
    </row>
    <row r="53" spans="1:16">
      <c r="B53" s="188" t="s">
        <v>60</v>
      </c>
      <c r="C53" s="189">
        <f>C54-C52</f>
        <v>221759.752936</v>
      </c>
      <c r="G53" s="190"/>
      <c r="J53" s="84"/>
      <c r="K53" s="84">
        <v>0</v>
      </c>
    </row>
    <row r="54" ht="18.75" spans="1:16">
      <c r="B54" s="191" t="s">
        <v>58</v>
      </c>
      <c r="C54" s="192">
        <f>'Est. Cust. Naci.'!AP5</f>
        <v>516086.152936</v>
      </c>
      <c r="D54" s="193"/>
      <c r="E54" s="193"/>
      <c r="F54" s="193"/>
      <c r="G54" s="194"/>
      <c r="J54" s="84">
        <v>100</v>
      </c>
      <c r="K54" s="84">
        <v>6.2</v>
      </c>
    </row>
    <row r="55" spans="1:16">
      <c r="J55" s="84">
        <v>100</v>
      </c>
      <c r="K55" s="84">
        <v>17.8</v>
      </c>
    </row>
    <row r="56" spans="1:16">
      <c r="B56" s="21" t="s">
        <v>61</v>
      </c>
      <c r="J56" s="84">
        <v>100</v>
      </c>
      <c r="K56" s="84">
        <v>10.2</v>
      </c>
    </row>
    <row r="57" s="90" customFormat="1" spans="1:16">
      <c r="A57" s="80"/>
      <c r="F57"/>
      <c r="H57" s="80"/>
      <c r="I57" s="80"/>
      <c r="J57" s="84">
        <v>100</v>
      </c>
      <c r="K57" s="84">
        <v>17.8</v>
      </c>
      <c r="L57" s="80"/>
      <c r="M57" s="80"/>
      <c r="N57" s="80"/>
      <c r="O57" s="80"/>
      <c r="P57" s="80"/>
    </row>
    <row r="58" s="90" customFormat="1" hidden="1" spans="1:16">
      <c r="A58" s="80"/>
      <c r="B58" s="195">
        <f>F16+(F16*3.5%)</f>
        <v>59036.4</v>
      </c>
      <c r="D58" s="196">
        <f>(B58-F16)*D12</f>
        <v>10301.424</v>
      </c>
      <c r="H58" s="80"/>
      <c r="I58" s="80"/>
      <c r="J58" s="80"/>
      <c r="K58" s="80"/>
      <c r="L58" s="80"/>
      <c r="M58" s="80"/>
      <c r="N58" s="80"/>
      <c r="O58" s="80"/>
      <c r="P58" s="80"/>
    </row>
  </sheetData>
  <mergeCells count="6">
    <mergeCell ref="C9:D9"/>
    <mergeCell ref="B13:G13"/>
    <mergeCell ref="B21:G21"/>
    <mergeCell ref="B29:G29"/>
    <mergeCell ref="B47:F47"/>
    <mergeCell ref="C5:G7"/>
  </mergeCells>
  <pageMargins left="0.708661417322835" right="0.236220472440945" top="0.748031496062992" bottom="0.748031496062992" header="0.31496062992126" footer="0.31496062992126"/>
  <pageSetup paperSize="9" scale="49" orientation="landscape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A59"/>
  <sheetViews>
    <sheetView zoomScale="85" zoomScaleNormal="85" topLeftCell="A19" workbookViewId="0">
      <selection activeCell="Q5" sqref="Q5"/>
    </sheetView>
  </sheetViews>
  <sheetFormatPr defaultColWidth="9" defaultRowHeight="14.4"/>
  <cols>
    <col min="1" max="1" width="9.28703703703704" customWidth="1"/>
    <col min="2" max="2" width="14.4259259259259" customWidth="1"/>
    <col min="3" max="3" width="14" customWidth="1"/>
    <col min="4" max="4" width="10.287037037037" customWidth="1"/>
    <col min="5" max="5" width="6.42592592592593" customWidth="1"/>
    <col min="6" max="6" width="8.71296296296296" customWidth="1"/>
    <col min="7" max="7" width="6.42592592592593" customWidth="1"/>
    <col min="8" max="8" width="8" customWidth="1"/>
    <col min="9" max="9" width="5.85185185185185" customWidth="1"/>
    <col min="10" max="10" width="13.1388888888889" customWidth="1"/>
    <col min="11" max="11" width="14.712962962963" customWidth="1"/>
    <col min="12" max="12" width="14.712962962963" hidden="1" customWidth="1"/>
    <col min="13" max="13" width="17.287037037037" customWidth="1"/>
    <col min="14" max="14" width="17.4259259259259" customWidth="1"/>
    <col min="15" max="15" width="14.712962962963" hidden="1" customWidth="1"/>
    <col min="16" max="16" width="10.5740740740741" customWidth="1"/>
    <col min="17" max="17" width="12.712962962963" customWidth="1"/>
    <col min="18" max="18" width="19.8518518518519" customWidth="1"/>
    <col min="19" max="21" width="16.287037037037" customWidth="1"/>
    <col min="22" max="22" width="10.287037037037" customWidth="1"/>
    <col min="23" max="23" width="9.13888888888889" customWidth="1"/>
    <col min="24" max="24" width="16.287037037037" customWidth="1"/>
    <col min="25" max="25" width="13.287037037037" customWidth="1"/>
    <col min="26" max="26" width="9.13888888888889" customWidth="1"/>
    <col min="27" max="27" width="11.712962962963" customWidth="1"/>
  </cols>
  <sheetData>
    <row r="1" ht="25.8" spans="1:27">
      <c r="A1" s="65" t="s">
        <v>62</v>
      </c>
      <c r="W1" s="66"/>
      <c r="X1" s="66"/>
      <c r="Y1" s="66"/>
      <c r="Z1" s="66"/>
    </row>
    <row r="2" spans="1:27">
      <c r="W2" s="66"/>
      <c r="X2" s="66"/>
      <c r="Y2" s="66"/>
      <c r="Z2" s="66"/>
    </row>
    <row r="3" ht="46.8" spans="1:27">
      <c r="A3" s="67" t="s">
        <v>63</v>
      </c>
      <c r="B3" s="67" t="s">
        <v>0</v>
      </c>
      <c r="C3" s="68" t="s">
        <v>64</v>
      </c>
      <c r="D3" s="67" t="s">
        <v>65</v>
      </c>
      <c r="E3" s="69" t="s">
        <v>66</v>
      </c>
      <c r="F3" s="69" t="s">
        <v>67</v>
      </c>
      <c r="G3" s="69" t="s">
        <v>34</v>
      </c>
      <c r="H3" s="69" t="s">
        <v>68</v>
      </c>
      <c r="I3" s="69" t="s">
        <v>36</v>
      </c>
      <c r="J3" s="68" t="s">
        <v>1</v>
      </c>
      <c r="K3" s="68" t="s">
        <v>69</v>
      </c>
      <c r="L3" s="68" t="s">
        <v>70</v>
      </c>
      <c r="M3" s="68" t="s">
        <v>71</v>
      </c>
      <c r="N3" s="68" t="s">
        <v>71</v>
      </c>
      <c r="O3" s="68" t="s">
        <v>72</v>
      </c>
      <c r="P3" s="68" t="s">
        <v>73</v>
      </c>
      <c r="Q3" s="68" t="s">
        <v>74</v>
      </c>
      <c r="R3" s="70" t="s">
        <v>2</v>
      </c>
      <c r="S3" s="71"/>
      <c r="T3" s="71"/>
      <c r="U3" s="71"/>
      <c r="V3" s="71"/>
      <c r="W3" s="66"/>
      <c r="X3" s="66"/>
      <c r="Y3" s="66"/>
      <c r="Z3" s="66"/>
      <c r="AA3" s="72"/>
    </row>
    <row r="4" ht="15.6" spans="1:27">
      <c r="A4" s="67"/>
      <c r="B4" s="67"/>
      <c r="C4" s="68"/>
      <c r="D4" s="67"/>
      <c r="E4" s="69"/>
      <c r="F4" s="69"/>
      <c r="G4" s="69"/>
      <c r="H4" s="69"/>
      <c r="I4" s="69"/>
      <c r="J4" s="68">
        <f>SUM(J5:J57)</f>
        <v>5700</v>
      </c>
      <c r="K4" s="73">
        <f>SUM(K5:K57)</f>
        <v>480</v>
      </c>
      <c r="L4" s="73"/>
      <c r="M4" s="73">
        <f>SUM(M5:M57)</f>
        <v>57040</v>
      </c>
      <c r="N4" s="74">
        <f>F59</f>
        <v>5.16</v>
      </c>
      <c r="O4" s="74"/>
      <c r="P4" s="75">
        <v>1</v>
      </c>
      <c r="Q4" s="75">
        <v>1</v>
      </c>
      <c r="R4" s="76"/>
      <c r="S4" s="66"/>
      <c r="T4" s="66"/>
      <c r="U4" s="66"/>
      <c r="V4" s="66"/>
      <c r="W4" s="66"/>
      <c r="X4" s="66"/>
      <c r="Y4" s="66"/>
      <c r="Z4" s="66"/>
      <c r="AA4" s="77"/>
    </row>
    <row r="5" spans="1:27">
      <c r="A5" s="78">
        <v>1</v>
      </c>
      <c r="B5" s="78"/>
      <c r="C5" s="79">
        <v>2231832</v>
      </c>
      <c r="D5" s="80" t="s">
        <v>75</v>
      </c>
      <c r="E5" s="81">
        <v>0.18</v>
      </c>
      <c r="F5" s="82">
        <v>0.0306</v>
      </c>
      <c r="G5" s="82">
        <v>0.0312</v>
      </c>
      <c r="H5" s="82">
        <v>0.1437</v>
      </c>
      <c r="I5" s="83">
        <v>0.18</v>
      </c>
      <c r="J5" s="84">
        <v>100</v>
      </c>
      <c r="K5" s="84">
        <v>5.8</v>
      </c>
      <c r="L5" s="85">
        <f>K5/2</f>
        <v>2.9</v>
      </c>
      <c r="M5" s="85">
        <f>K5*J5</f>
        <v>580</v>
      </c>
      <c r="N5" s="86">
        <f>M5*$N$4</f>
        <v>2992.8</v>
      </c>
      <c r="O5" s="86">
        <f>L5*J5*$N$4</f>
        <v>1496.4</v>
      </c>
      <c r="P5" s="82">
        <f>(J5*$P$4)/$J$4</f>
        <v>0.0175438596491228</v>
      </c>
      <c r="Q5" s="82">
        <f>(K5*$Q$4)/$K$4</f>
        <v>0.0120833333333333</v>
      </c>
      <c r="R5" s="86">
        <f>'Est. Cust. Naci.'!AU6</f>
        <v>53.3280714108333</v>
      </c>
      <c r="S5" s="87"/>
      <c r="T5" s="87"/>
      <c r="U5" s="87"/>
      <c r="V5" s="87"/>
      <c r="W5" s="66"/>
      <c r="X5" s="66"/>
      <c r="Y5" s="66"/>
      <c r="Z5" s="66"/>
      <c r="AA5" s="63"/>
    </row>
    <row r="6" spans="1:27">
      <c r="A6" s="80">
        <v>2</v>
      </c>
      <c r="B6" s="80"/>
      <c r="C6" s="79">
        <v>1384624</v>
      </c>
      <c r="D6" s="88" t="s">
        <v>75</v>
      </c>
      <c r="E6" s="81">
        <v>0.18</v>
      </c>
      <c r="F6" s="82">
        <v>0.0306</v>
      </c>
      <c r="G6" s="82">
        <v>0.0312</v>
      </c>
      <c r="H6" s="82">
        <v>0.1437</v>
      </c>
      <c r="I6" s="83">
        <v>0.18</v>
      </c>
      <c r="J6" s="84">
        <v>300</v>
      </c>
      <c r="K6" s="84">
        <v>2.1</v>
      </c>
      <c r="M6" s="85">
        <f t="shared" ref="M6:M57" si="0">K6*J6</f>
        <v>630</v>
      </c>
      <c r="N6" s="86">
        <f t="shared" ref="N6:N57" si="1">M6*$N$4</f>
        <v>3250.8</v>
      </c>
      <c r="O6" s="86">
        <f t="shared" ref="O6:O57" si="2">L6*J6*$N$4</f>
        <v>0</v>
      </c>
      <c r="P6" s="82">
        <f t="shared" ref="P6:P57" si="3">(J6*$P$4)/$J$4</f>
        <v>0.0526315789473684</v>
      </c>
      <c r="Q6" s="82">
        <f t="shared" ref="Q6:Q57" si="4">(K6*$Q$4)/$K$4</f>
        <v>0.004375</v>
      </c>
      <c r="R6" s="86">
        <f>'Est. Cust. Naci.'!AU7</f>
        <v>18.0125343095833</v>
      </c>
    </row>
    <row r="7" spans="1:27">
      <c r="A7" s="80">
        <v>3</v>
      </c>
      <c r="B7" s="80"/>
      <c r="C7" s="79">
        <v>1515117</v>
      </c>
      <c r="D7" s="80" t="s">
        <v>75</v>
      </c>
      <c r="E7" s="81">
        <v>0.18</v>
      </c>
      <c r="F7" s="82">
        <v>0.0306</v>
      </c>
      <c r="G7" s="82">
        <v>0.0312</v>
      </c>
      <c r="H7" s="82">
        <v>0.1437</v>
      </c>
      <c r="I7" s="83">
        <v>0.18</v>
      </c>
      <c r="J7" s="84">
        <v>300</v>
      </c>
      <c r="K7" s="84">
        <v>10</v>
      </c>
      <c r="M7" s="85">
        <f t="shared" si="0"/>
        <v>3000</v>
      </c>
      <c r="N7" s="86">
        <f t="shared" si="1"/>
        <v>15480</v>
      </c>
      <c r="O7" s="86">
        <f t="shared" si="2"/>
        <v>0</v>
      </c>
      <c r="P7" s="82">
        <f t="shared" si="3"/>
        <v>0.0526315789473684</v>
      </c>
      <c r="Q7" s="82">
        <f t="shared" si="4"/>
        <v>0.0208333333333333</v>
      </c>
      <c r="R7" s="86">
        <f>'Est. Cust. Naci.'!AU8</f>
        <v>85.7739729027778</v>
      </c>
    </row>
    <row r="8" spans="1:27">
      <c r="A8" s="80">
        <v>4</v>
      </c>
      <c r="B8" s="80"/>
      <c r="C8" s="79">
        <v>1515118</v>
      </c>
      <c r="D8" s="88" t="s">
        <v>75</v>
      </c>
      <c r="E8" s="81">
        <v>0.18</v>
      </c>
      <c r="F8" s="82">
        <v>0.0306</v>
      </c>
      <c r="G8" s="82">
        <v>0.0312</v>
      </c>
      <c r="H8" s="82">
        <v>0.1437</v>
      </c>
      <c r="I8" s="83">
        <v>0.18</v>
      </c>
      <c r="J8" s="84">
        <v>300</v>
      </c>
      <c r="K8" s="84">
        <v>10</v>
      </c>
      <c r="M8" s="85">
        <f t="shared" si="0"/>
        <v>3000</v>
      </c>
      <c r="N8" s="86">
        <f t="shared" si="1"/>
        <v>15480</v>
      </c>
      <c r="O8" s="86">
        <f t="shared" si="2"/>
        <v>0</v>
      </c>
      <c r="P8" s="82">
        <f t="shared" si="3"/>
        <v>0.0526315789473684</v>
      </c>
      <c r="Q8" s="82">
        <f t="shared" si="4"/>
        <v>0.0208333333333333</v>
      </c>
      <c r="R8" s="86">
        <f>'Est. Cust. Naci.'!AU9</f>
        <v>85.7739729027778</v>
      </c>
    </row>
    <row r="9" spans="1:27">
      <c r="A9" s="80">
        <v>5</v>
      </c>
      <c r="B9" s="80"/>
      <c r="C9" s="79">
        <v>1777207</v>
      </c>
      <c r="D9" s="80" t="s">
        <v>75</v>
      </c>
      <c r="E9" s="81">
        <v>0.18</v>
      </c>
      <c r="F9" s="82">
        <v>0.0306</v>
      </c>
      <c r="G9" s="82">
        <v>0.0312</v>
      </c>
      <c r="H9" s="82">
        <v>0.1437</v>
      </c>
      <c r="I9" s="83">
        <v>0.18</v>
      </c>
      <c r="J9" s="84">
        <v>300</v>
      </c>
      <c r="K9" s="84">
        <v>10</v>
      </c>
      <c r="M9" s="85">
        <f t="shared" si="0"/>
        <v>3000</v>
      </c>
      <c r="N9" s="86">
        <f t="shared" si="1"/>
        <v>15480</v>
      </c>
      <c r="O9" s="86">
        <f t="shared" si="2"/>
        <v>0</v>
      </c>
      <c r="P9" s="82">
        <f t="shared" si="3"/>
        <v>0.0526315789473684</v>
      </c>
      <c r="Q9" s="82">
        <f t="shared" si="4"/>
        <v>0.0208333333333333</v>
      </c>
      <c r="R9" s="86">
        <f>'Est. Cust. Naci.'!AU10</f>
        <v>85.7739729027778</v>
      </c>
    </row>
    <row r="10" spans="1:27">
      <c r="A10" s="80">
        <v>6</v>
      </c>
      <c r="B10" s="80"/>
      <c r="C10" s="89" t="s">
        <v>76</v>
      </c>
      <c r="D10" s="88" t="s">
        <v>75</v>
      </c>
      <c r="E10" s="81">
        <v>0.18</v>
      </c>
      <c r="F10" s="82">
        <v>0.0306</v>
      </c>
      <c r="G10" s="82">
        <v>0.0312</v>
      </c>
      <c r="H10" s="82">
        <v>0.1437</v>
      </c>
      <c r="I10" s="83">
        <v>0.18</v>
      </c>
      <c r="J10" s="84">
        <v>100</v>
      </c>
      <c r="K10" s="84">
        <v>11.5</v>
      </c>
      <c r="M10" s="85">
        <f t="shared" si="0"/>
        <v>1150</v>
      </c>
      <c r="N10" s="86">
        <f t="shared" si="1"/>
        <v>5934</v>
      </c>
      <c r="O10" s="86">
        <f t="shared" si="2"/>
        <v>0</v>
      </c>
      <c r="P10" s="82">
        <f t="shared" si="3"/>
        <v>0.0175438596491228</v>
      </c>
      <c r="Q10" s="82">
        <f t="shared" si="4"/>
        <v>0.0239583333333333</v>
      </c>
      <c r="R10" s="86">
        <f>'Est. Cust. Naci.'!AU11</f>
        <v>105.736693314583</v>
      </c>
    </row>
    <row r="11" spans="1:27">
      <c r="A11" s="80">
        <v>7</v>
      </c>
      <c r="B11" s="80"/>
      <c r="C11" s="89" t="s">
        <v>77</v>
      </c>
      <c r="D11" s="80" t="s">
        <v>75</v>
      </c>
      <c r="E11" s="81">
        <v>0.18</v>
      </c>
      <c r="F11" s="82">
        <v>0.0306</v>
      </c>
      <c r="G11" s="82">
        <v>0.0312</v>
      </c>
      <c r="H11" s="82">
        <v>0.1437</v>
      </c>
      <c r="I11" s="83">
        <v>0.18</v>
      </c>
      <c r="J11" s="84">
        <v>100</v>
      </c>
      <c r="K11" s="84">
        <v>11.5</v>
      </c>
      <c r="M11" s="85">
        <f t="shared" si="0"/>
        <v>1150</v>
      </c>
      <c r="N11" s="86">
        <f t="shared" si="1"/>
        <v>5934</v>
      </c>
      <c r="O11" s="86">
        <f t="shared" si="2"/>
        <v>0</v>
      </c>
      <c r="P11" s="82">
        <f t="shared" si="3"/>
        <v>0.0175438596491228</v>
      </c>
      <c r="Q11" s="82">
        <f t="shared" si="4"/>
        <v>0.0239583333333333</v>
      </c>
      <c r="R11" s="86">
        <f>'Est. Cust. Naci.'!AU12</f>
        <v>105.736693314583</v>
      </c>
    </row>
    <row r="12" spans="1:27">
      <c r="A12" s="80">
        <v>8</v>
      </c>
      <c r="B12" s="80"/>
      <c r="C12" s="89" t="s">
        <v>78</v>
      </c>
      <c r="D12" s="88" t="s">
        <v>75</v>
      </c>
      <c r="E12" s="81">
        <v>0.18</v>
      </c>
      <c r="F12" s="82">
        <v>0.0306</v>
      </c>
      <c r="G12" s="82">
        <v>0.0312</v>
      </c>
      <c r="H12" s="82">
        <v>0.1437</v>
      </c>
      <c r="I12" s="83">
        <v>0.18</v>
      </c>
      <c r="J12" s="84"/>
      <c r="K12" s="84">
        <v>0</v>
      </c>
      <c r="M12" s="85">
        <f t="shared" si="0"/>
        <v>0</v>
      </c>
      <c r="N12" s="86">
        <f t="shared" si="1"/>
        <v>0</v>
      </c>
      <c r="O12" s="86">
        <f t="shared" si="2"/>
        <v>0</v>
      </c>
      <c r="P12" s="82">
        <f t="shared" si="3"/>
        <v>0</v>
      </c>
      <c r="Q12" s="82">
        <f t="shared" si="4"/>
        <v>0</v>
      </c>
      <c r="R12" s="86" t="e">
        <f>'Est. Cust. Naci.'!AU13</f>
        <v>#DIV/0!</v>
      </c>
    </row>
    <row r="13" spans="1:27">
      <c r="A13" s="80">
        <v>9</v>
      </c>
      <c r="B13" s="80"/>
      <c r="C13" s="89" t="s">
        <v>79</v>
      </c>
      <c r="D13" s="80" t="s">
        <v>75</v>
      </c>
      <c r="E13" s="81">
        <v>0.18</v>
      </c>
      <c r="F13" s="82">
        <v>0.0306</v>
      </c>
      <c r="G13" s="82">
        <v>0.0312</v>
      </c>
      <c r="H13" s="82">
        <v>0.1437</v>
      </c>
      <c r="I13" s="83">
        <v>0.18</v>
      </c>
      <c r="J13" s="84">
        <v>100</v>
      </c>
      <c r="K13" s="84">
        <v>10.8</v>
      </c>
      <c r="M13" s="85">
        <f t="shared" si="0"/>
        <v>1080</v>
      </c>
      <c r="N13" s="86">
        <f t="shared" si="1"/>
        <v>5572.8</v>
      </c>
      <c r="O13" s="86">
        <f t="shared" si="2"/>
        <v>0</v>
      </c>
      <c r="P13" s="82">
        <f t="shared" si="3"/>
        <v>0.0175438596491228</v>
      </c>
      <c r="Q13" s="82">
        <f t="shared" si="4"/>
        <v>0.0225</v>
      </c>
      <c r="R13" s="86">
        <f>'Est. Cust. Naci.'!AU14</f>
        <v>99.300546765</v>
      </c>
    </row>
    <row r="14" spans="1:27">
      <c r="A14" s="80">
        <v>10</v>
      </c>
      <c r="B14" s="80"/>
      <c r="C14" s="89" t="s">
        <v>80</v>
      </c>
      <c r="D14" s="88" t="s">
        <v>75</v>
      </c>
      <c r="E14" s="81">
        <v>0.18</v>
      </c>
      <c r="F14" s="82">
        <v>0.0306</v>
      </c>
      <c r="G14" s="82">
        <v>0.0312</v>
      </c>
      <c r="H14" s="82">
        <v>0.1437</v>
      </c>
      <c r="I14" s="83">
        <v>0.18</v>
      </c>
      <c r="J14" s="84">
        <v>100</v>
      </c>
      <c r="K14" s="84">
        <v>10.8</v>
      </c>
      <c r="M14" s="85">
        <f t="shared" si="0"/>
        <v>1080</v>
      </c>
      <c r="N14" s="86">
        <f t="shared" si="1"/>
        <v>5572.8</v>
      </c>
      <c r="O14" s="86">
        <f t="shared" si="2"/>
        <v>0</v>
      </c>
      <c r="P14" s="82">
        <f t="shared" si="3"/>
        <v>0.0175438596491228</v>
      </c>
      <c r="Q14" s="82">
        <f t="shared" si="4"/>
        <v>0.0225</v>
      </c>
      <c r="R14" s="86">
        <f>'Est. Cust. Naci.'!AU15</f>
        <v>99.300546765</v>
      </c>
    </row>
    <row r="15" spans="1:27">
      <c r="A15" s="80">
        <v>11</v>
      </c>
      <c r="B15" s="80"/>
      <c r="C15" s="89">
        <v>2023668</v>
      </c>
      <c r="D15" s="80" t="s">
        <v>75</v>
      </c>
      <c r="E15" s="81">
        <v>0.18</v>
      </c>
      <c r="F15" s="82">
        <v>0.0306</v>
      </c>
      <c r="G15" s="82">
        <v>0.0312</v>
      </c>
      <c r="H15" s="82">
        <v>0.1437</v>
      </c>
      <c r="I15" s="83">
        <v>0.18</v>
      </c>
      <c r="J15" s="84">
        <v>100</v>
      </c>
      <c r="K15" s="84">
        <v>7.6</v>
      </c>
      <c r="M15" s="85">
        <f t="shared" si="0"/>
        <v>760</v>
      </c>
      <c r="N15" s="86">
        <f t="shared" si="1"/>
        <v>3921.6</v>
      </c>
      <c r="O15" s="86">
        <f t="shared" si="2"/>
        <v>0</v>
      </c>
      <c r="P15" s="82">
        <f t="shared" si="3"/>
        <v>0.0175438596491228</v>
      </c>
      <c r="Q15" s="82">
        <f t="shared" si="4"/>
        <v>0.0158333333333333</v>
      </c>
      <c r="R15" s="86">
        <f>'Est. Cust. Naci.'!AU16</f>
        <v>69.8781625383333</v>
      </c>
    </row>
    <row r="16" ht="27.6" spans="1:27">
      <c r="A16" s="80">
        <v>12</v>
      </c>
      <c r="B16" s="80"/>
      <c r="C16" s="89" t="s">
        <v>81</v>
      </c>
      <c r="D16" s="88" t="s">
        <v>75</v>
      </c>
      <c r="E16" s="81">
        <v>0.18</v>
      </c>
      <c r="F16" s="82">
        <v>0.0306</v>
      </c>
      <c r="G16" s="82">
        <v>0.0312</v>
      </c>
      <c r="H16" s="82">
        <v>0.1437</v>
      </c>
      <c r="I16" s="83">
        <v>0.18</v>
      </c>
      <c r="J16" s="84">
        <v>100</v>
      </c>
      <c r="K16" s="84">
        <v>14.4</v>
      </c>
      <c r="M16" s="85">
        <f t="shared" si="0"/>
        <v>1440</v>
      </c>
      <c r="N16" s="86">
        <f t="shared" si="1"/>
        <v>7430.4</v>
      </c>
      <c r="O16" s="86">
        <f t="shared" si="2"/>
        <v>0</v>
      </c>
      <c r="P16" s="82">
        <f t="shared" si="3"/>
        <v>0.0175438596491228</v>
      </c>
      <c r="Q16" s="82">
        <f t="shared" si="4"/>
        <v>0.03</v>
      </c>
      <c r="R16" s="86">
        <f>'Est. Cust. Naci.'!AU17</f>
        <v>132.40072902</v>
      </c>
    </row>
    <row r="17" spans="1:18">
      <c r="A17" s="80">
        <v>13</v>
      </c>
      <c r="B17" s="80"/>
      <c r="C17" s="89">
        <v>1761373</v>
      </c>
      <c r="D17" s="80" t="s">
        <v>75</v>
      </c>
      <c r="E17" s="81">
        <v>0.18</v>
      </c>
      <c r="F17" s="82">
        <v>0.0306</v>
      </c>
      <c r="G17" s="82">
        <v>0.0312</v>
      </c>
      <c r="H17" s="82">
        <v>0.1437</v>
      </c>
      <c r="I17" s="83">
        <v>0.18</v>
      </c>
      <c r="J17" s="84">
        <v>100</v>
      </c>
      <c r="K17" s="84">
        <v>7.6</v>
      </c>
      <c r="M17" s="85">
        <f t="shared" si="0"/>
        <v>760</v>
      </c>
      <c r="N17" s="86">
        <f t="shared" si="1"/>
        <v>3921.6</v>
      </c>
      <c r="O17" s="86">
        <f t="shared" si="2"/>
        <v>0</v>
      </c>
      <c r="P17" s="82">
        <f t="shared" si="3"/>
        <v>0.0175438596491228</v>
      </c>
      <c r="Q17" s="82">
        <f t="shared" si="4"/>
        <v>0.0158333333333333</v>
      </c>
      <c r="R17" s="86">
        <f>'Est. Cust. Naci.'!AU18</f>
        <v>69.8781625383333</v>
      </c>
    </row>
    <row r="18" spans="1:18">
      <c r="A18" s="80">
        <v>14</v>
      </c>
      <c r="B18" s="80"/>
      <c r="C18" s="89">
        <v>1462266</v>
      </c>
      <c r="D18" s="88" t="s">
        <v>75</v>
      </c>
      <c r="E18" s="81">
        <v>0.18</v>
      </c>
      <c r="F18" s="82">
        <v>0.0306</v>
      </c>
      <c r="G18" s="82">
        <v>0.0312</v>
      </c>
      <c r="H18" s="82">
        <v>0.1437</v>
      </c>
      <c r="I18" s="83">
        <v>0.18</v>
      </c>
      <c r="J18" s="84">
        <v>100</v>
      </c>
      <c r="K18" s="84">
        <v>14.4</v>
      </c>
      <c r="M18" s="85">
        <f t="shared" si="0"/>
        <v>1440</v>
      </c>
      <c r="N18" s="86">
        <f t="shared" si="1"/>
        <v>7430.4</v>
      </c>
      <c r="O18" s="86">
        <f t="shared" si="2"/>
        <v>0</v>
      </c>
      <c r="P18" s="82">
        <f t="shared" si="3"/>
        <v>0.0175438596491228</v>
      </c>
      <c r="Q18" s="82">
        <f t="shared" si="4"/>
        <v>0.03</v>
      </c>
      <c r="R18" s="86">
        <f>'Est. Cust. Naci.'!AU19</f>
        <v>132.40072902</v>
      </c>
    </row>
    <row r="19" spans="1:18">
      <c r="A19" s="80">
        <v>15</v>
      </c>
      <c r="B19" s="80"/>
      <c r="C19" s="89">
        <v>1952540</v>
      </c>
      <c r="D19" s="80" t="s">
        <v>75</v>
      </c>
      <c r="E19" s="81">
        <v>0.18</v>
      </c>
      <c r="F19" s="82">
        <v>0.0306</v>
      </c>
      <c r="G19" s="82">
        <v>0.0312</v>
      </c>
      <c r="H19" s="82">
        <v>0.1437</v>
      </c>
      <c r="I19" s="83">
        <v>0.18</v>
      </c>
      <c r="J19" s="84">
        <v>100</v>
      </c>
      <c r="K19" s="84">
        <v>17.8</v>
      </c>
      <c r="M19" s="85">
        <f t="shared" si="0"/>
        <v>1780</v>
      </c>
      <c r="N19" s="86">
        <f t="shared" si="1"/>
        <v>9184.8</v>
      </c>
      <c r="O19" s="86">
        <f t="shared" si="2"/>
        <v>0</v>
      </c>
      <c r="P19" s="82">
        <f t="shared" si="3"/>
        <v>0.0175438596491228</v>
      </c>
      <c r="Q19" s="82">
        <f t="shared" si="4"/>
        <v>0.0370833333333333</v>
      </c>
      <c r="R19" s="86">
        <f>'Est. Cust. Naci.'!AU20</f>
        <v>163.662012260833</v>
      </c>
    </row>
    <row r="20" spans="1:18">
      <c r="A20" s="80">
        <v>16</v>
      </c>
      <c r="B20" s="80"/>
      <c r="C20" s="89">
        <v>1952434</v>
      </c>
      <c r="D20" s="88" t="s">
        <v>75</v>
      </c>
      <c r="E20" s="81">
        <v>0.18</v>
      </c>
      <c r="F20" s="82">
        <v>0.0306</v>
      </c>
      <c r="G20" s="82">
        <v>0.0312</v>
      </c>
      <c r="H20" s="82">
        <v>0.1437</v>
      </c>
      <c r="I20" s="83">
        <v>0.18</v>
      </c>
      <c r="J20" s="84">
        <v>100</v>
      </c>
      <c r="K20" s="84">
        <v>17.8</v>
      </c>
      <c r="M20" s="85">
        <f t="shared" si="0"/>
        <v>1780</v>
      </c>
      <c r="N20" s="86">
        <f t="shared" si="1"/>
        <v>9184.8</v>
      </c>
      <c r="O20" s="86">
        <f t="shared" si="2"/>
        <v>0</v>
      </c>
      <c r="P20" s="82">
        <f t="shared" si="3"/>
        <v>0.0175438596491228</v>
      </c>
      <c r="Q20" s="82">
        <f t="shared" si="4"/>
        <v>0.0370833333333333</v>
      </c>
      <c r="R20" s="86">
        <f>'Est. Cust. Naci.'!AU21</f>
        <v>163.662012260833</v>
      </c>
    </row>
    <row r="21" spans="1:18">
      <c r="A21" s="80">
        <v>17</v>
      </c>
      <c r="B21" s="80"/>
      <c r="C21" s="89">
        <v>3198849</v>
      </c>
      <c r="D21" s="80" t="s">
        <v>75</v>
      </c>
      <c r="E21" s="81">
        <v>0.18</v>
      </c>
      <c r="F21" s="82">
        <v>0.0306</v>
      </c>
      <c r="G21" s="82">
        <v>0.0312</v>
      </c>
      <c r="H21" s="82">
        <v>0.1437</v>
      </c>
      <c r="I21" s="83">
        <v>0.18</v>
      </c>
      <c r="J21" s="84">
        <v>100</v>
      </c>
      <c r="K21" s="84">
        <v>4.4</v>
      </c>
      <c r="M21" s="85">
        <f t="shared" si="0"/>
        <v>440</v>
      </c>
      <c r="N21" s="86">
        <f t="shared" si="1"/>
        <v>2270.4</v>
      </c>
      <c r="O21" s="86">
        <f t="shared" si="2"/>
        <v>0</v>
      </c>
      <c r="P21" s="82">
        <f t="shared" si="3"/>
        <v>0.0175438596491228</v>
      </c>
      <c r="Q21" s="82">
        <f t="shared" si="4"/>
        <v>0.00916666666666667</v>
      </c>
      <c r="R21" s="86">
        <f>'Est. Cust. Naci.'!AU22</f>
        <v>40.4557783116667</v>
      </c>
    </row>
    <row r="22" spans="1:18">
      <c r="A22" s="80">
        <v>18</v>
      </c>
      <c r="B22" s="80"/>
      <c r="C22" s="89">
        <v>8078547</v>
      </c>
      <c r="D22" s="88" t="s">
        <v>75</v>
      </c>
      <c r="E22" s="81">
        <v>0.18</v>
      </c>
      <c r="F22" s="82">
        <v>0.0306</v>
      </c>
      <c r="G22" s="82">
        <v>0.0312</v>
      </c>
      <c r="H22" s="82">
        <v>0.1437</v>
      </c>
      <c r="I22" s="83">
        <v>0.18</v>
      </c>
      <c r="J22" s="84">
        <v>100</v>
      </c>
      <c r="K22" s="84">
        <v>6.4</v>
      </c>
      <c r="M22" s="85">
        <f t="shared" si="0"/>
        <v>640</v>
      </c>
      <c r="N22" s="86">
        <f t="shared" si="1"/>
        <v>3302.4</v>
      </c>
      <c r="O22" s="86">
        <f t="shared" si="2"/>
        <v>0</v>
      </c>
      <c r="P22" s="82">
        <f t="shared" si="3"/>
        <v>0.0175438596491228</v>
      </c>
      <c r="Q22" s="82">
        <f t="shared" si="4"/>
        <v>0.0133333333333333</v>
      </c>
      <c r="R22" s="86">
        <f>'Est. Cust. Naci.'!AU23</f>
        <v>58.8447684533333</v>
      </c>
    </row>
    <row r="23" spans="1:18">
      <c r="A23" s="80">
        <v>19</v>
      </c>
      <c r="B23" s="80"/>
      <c r="C23" s="89">
        <v>21552066</v>
      </c>
      <c r="D23" s="80" t="s">
        <v>75</v>
      </c>
      <c r="E23" s="81">
        <v>0.18</v>
      </c>
      <c r="F23" s="82">
        <v>0.0306</v>
      </c>
      <c r="G23" s="82">
        <v>0.0312</v>
      </c>
      <c r="H23" s="82">
        <v>0.1437</v>
      </c>
      <c r="I23" s="83">
        <v>0.18</v>
      </c>
      <c r="J23" s="84">
        <v>100</v>
      </c>
      <c r="K23" s="84">
        <v>4.6</v>
      </c>
      <c r="M23" s="85">
        <f t="shared" si="0"/>
        <v>460</v>
      </c>
      <c r="N23" s="86">
        <f t="shared" si="1"/>
        <v>2373.6</v>
      </c>
      <c r="O23" s="86">
        <f t="shared" si="2"/>
        <v>0</v>
      </c>
      <c r="P23" s="82">
        <f t="shared" si="3"/>
        <v>0.0175438596491228</v>
      </c>
      <c r="Q23" s="82">
        <f t="shared" si="4"/>
        <v>0.00958333333333333</v>
      </c>
      <c r="R23" s="86">
        <f>'Est. Cust. Naci.'!AU24</f>
        <v>42.2946773258333</v>
      </c>
    </row>
    <row r="24" spans="1:18">
      <c r="A24" s="80">
        <v>20</v>
      </c>
      <c r="B24" s="80"/>
      <c r="C24" s="89">
        <v>8129279</v>
      </c>
      <c r="D24" s="88" t="s">
        <v>75</v>
      </c>
      <c r="E24" s="81">
        <v>0.18</v>
      </c>
      <c r="F24" s="82">
        <v>0.0306</v>
      </c>
      <c r="G24" s="82">
        <v>0.0312</v>
      </c>
      <c r="H24" s="82">
        <v>0.1437</v>
      </c>
      <c r="I24" s="83">
        <v>0.18</v>
      </c>
      <c r="J24" s="84">
        <v>100</v>
      </c>
      <c r="K24" s="84">
        <v>5.1</v>
      </c>
      <c r="M24" s="85">
        <f t="shared" si="0"/>
        <v>510</v>
      </c>
      <c r="N24" s="86">
        <f t="shared" si="1"/>
        <v>2631.6</v>
      </c>
      <c r="O24" s="86">
        <f t="shared" si="2"/>
        <v>0</v>
      </c>
      <c r="P24" s="82">
        <f t="shared" si="3"/>
        <v>0.0175438596491228</v>
      </c>
      <c r="Q24" s="82">
        <f t="shared" si="4"/>
        <v>0.010625</v>
      </c>
      <c r="R24" s="86">
        <f>'Est. Cust. Naci.'!AU25</f>
        <v>46.89192486125</v>
      </c>
    </row>
    <row r="25" spans="1:18">
      <c r="A25" s="80">
        <v>21</v>
      </c>
      <c r="B25" s="80"/>
      <c r="C25" s="89" t="s">
        <v>82</v>
      </c>
      <c r="D25" s="80" t="s">
        <v>75</v>
      </c>
      <c r="E25" s="81">
        <v>0.18</v>
      </c>
      <c r="F25" s="82">
        <v>0.0306</v>
      </c>
      <c r="G25" s="82">
        <v>0.0312</v>
      </c>
      <c r="H25" s="82">
        <v>0.1437</v>
      </c>
      <c r="I25" s="83">
        <v>0.18</v>
      </c>
      <c r="J25" s="84"/>
      <c r="K25" s="84">
        <v>0</v>
      </c>
      <c r="M25" s="85">
        <f t="shared" si="0"/>
        <v>0</v>
      </c>
      <c r="N25" s="86">
        <f t="shared" si="1"/>
        <v>0</v>
      </c>
      <c r="O25" s="86">
        <f t="shared" si="2"/>
        <v>0</v>
      </c>
      <c r="P25" s="82">
        <f t="shared" si="3"/>
        <v>0</v>
      </c>
      <c r="Q25" s="82">
        <f t="shared" si="4"/>
        <v>0</v>
      </c>
      <c r="R25" s="86" t="e">
        <f>'Est. Cust. Naci.'!AU26</f>
        <v>#DIV/0!</v>
      </c>
    </row>
    <row r="26" spans="1:18">
      <c r="A26" s="80">
        <v>22</v>
      </c>
      <c r="B26" s="80"/>
      <c r="C26" s="89" t="s">
        <v>83</v>
      </c>
      <c r="D26" s="88" t="s">
        <v>75</v>
      </c>
      <c r="E26" s="81">
        <v>0.18</v>
      </c>
      <c r="F26" s="82">
        <v>0.0306</v>
      </c>
      <c r="G26" s="82">
        <v>0.0312</v>
      </c>
      <c r="H26" s="82">
        <v>0.1437</v>
      </c>
      <c r="I26" s="83">
        <v>0.18</v>
      </c>
      <c r="J26" s="84">
        <v>100</v>
      </c>
      <c r="K26" s="84">
        <v>9.3</v>
      </c>
      <c r="M26" s="85">
        <f t="shared" si="0"/>
        <v>930</v>
      </c>
      <c r="N26" s="86">
        <f t="shared" si="1"/>
        <v>4798.8</v>
      </c>
      <c r="O26" s="86">
        <f t="shared" si="2"/>
        <v>0</v>
      </c>
      <c r="P26" s="82">
        <f t="shared" si="3"/>
        <v>0.0175438596491228</v>
      </c>
      <c r="Q26" s="82">
        <f t="shared" si="4"/>
        <v>0.019375</v>
      </c>
      <c r="R26" s="86">
        <f>'Est. Cust. Naci.'!AU27</f>
        <v>85.50880415875</v>
      </c>
    </row>
    <row r="27" spans="1:18">
      <c r="A27" s="80">
        <v>23</v>
      </c>
      <c r="B27" s="80"/>
      <c r="C27" s="89" t="s">
        <v>84</v>
      </c>
      <c r="D27" s="80" t="s">
        <v>75</v>
      </c>
      <c r="E27" s="81">
        <v>0.18</v>
      </c>
      <c r="F27" s="82">
        <v>0.0306</v>
      </c>
      <c r="G27" s="82">
        <v>0.0312</v>
      </c>
      <c r="H27" s="82">
        <v>0.1437</v>
      </c>
      <c r="I27" s="83">
        <v>0.18</v>
      </c>
      <c r="J27" s="84">
        <v>100</v>
      </c>
      <c r="K27" s="84">
        <v>9.3</v>
      </c>
      <c r="M27" s="85">
        <f t="shared" si="0"/>
        <v>930</v>
      </c>
      <c r="N27" s="86">
        <f t="shared" si="1"/>
        <v>4798.8</v>
      </c>
      <c r="O27" s="86">
        <f t="shared" si="2"/>
        <v>0</v>
      </c>
      <c r="P27" s="82">
        <f t="shared" si="3"/>
        <v>0.0175438596491228</v>
      </c>
      <c r="Q27" s="82">
        <f t="shared" si="4"/>
        <v>0.019375</v>
      </c>
      <c r="R27" s="86">
        <f>'Est. Cust. Naci.'!AU28</f>
        <v>85.50880415875</v>
      </c>
    </row>
    <row r="28" spans="1:18">
      <c r="A28" s="80">
        <v>24</v>
      </c>
      <c r="B28" s="80"/>
      <c r="C28" s="89" t="s">
        <v>85</v>
      </c>
      <c r="D28" s="88" t="s">
        <v>75</v>
      </c>
      <c r="E28" s="81">
        <v>0.18</v>
      </c>
      <c r="F28" s="82">
        <v>0.0306</v>
      </c>
      <c r="G28" s="82">
        <v>0.0312</v>
      </c>
      <c r="H28" s="82">
        <v>0.1437</v>
      </c>
      <c r="I28" s="83">
        <v>0.18</v>
      </c>
      <c r="J28" s="84">
        <v>100</v>
      </c>
      <c r="K28" s="84">
        <v>11</v>
      </c>
      <c r="M28" s="85">
        <f t="shared" si="0"/>
        <v>1100</v>
      </c>
      <c r="N28" s="86">
        <f t="shared" si="1"/>
        <v>5676</v>
      </c>
      <c r="O28" s="86">
        <f t="shared" si="2"/>
        <v>0</v>
      </c>
      <c r="P28" s="82">
        <f t="shared" si="3"/>
        <v>0.0175438596491228</v>
      </c>
      <c r="Q28" s="82">
        <f t="shared" si="4"/>
        <v>0.0229166666666667</v>
      </c>
      <c r="R28" s="86">
        <f>'Est. Cust. Naci.'!AU29</f>
        <v>101.139445779167</v>
      </c>
    </row>
    <row r="29" spans="1:18">
      <c r="A29" s="80">
        <v>25</v>
      </c>
      <c r="B29" s="80"/>
      <c r="C29" s="89" t="s">
        <v>86</v>
      </c>
      <c r="D29" s="80" t="s">
        <v>75</v>
      </c>
      <c r="E29" s="81">
        <v>0.18</v>
      </c>
      <c r="F29" s="82">
        <v>0.0306</v>
      </c>
      <c r="G29" s="82">
        <v>0.0312</v>
      </c>
      <c r="H29" s="82">
        <v>0.1437</v>
      </c>
      <c r="I29" s="83">
        <v>0.18</v>
      </c>
      <c r="J29" s="84">
        <v>100</v>
      </c>
      <c r="K29" s="84">
        <v>11</v>
      </c>
      <c r="M29" s="85">
        <f t="shared" si="0"/>
        <v>1100</v>
      </c>
      <c r="N29" s="86">
        <f t="shared" si="1"/>
        <v>5676</v>
      </c>
      <c r="O29" s="86">
        <f t="shared" si="2"/>
        <v>0</v>
      </c>
      <c r="P29" s="82">
        <f t="shared" si="3"/>
        <v>0.0175438596491228</v>
      </c>
      <c r="Q29" s="82">
        <f t="shared" si="4"/>
        <v>0.0229166666666667</v>
      </c>
      <c r="R29" s="86">
        <f>'Est. Cust. Naci.'!AU30</f>
        <v>101.139445779167</v>
      </c>
    </row>
    <row r="30" spans="1:18">
      <c r="A30" s="80">
        <v>26</v>
      </c>
      <c r="B30" s="80"/>
      <c r="C30" s="89" t="s">
        <v>87</v>
      </c>
      <c r="D30" s="88" t="s">
        <v>75</v>
      </c>
      <c r="E30" s="81">
        <v>0.18</v>
      </c>
      <c r="F30" s="82">
        <v>0.0306</v>
      </c>
      <c r="G30" s="82">
        <v>0.0312</v>
      </c>
      <c r="H30" s="82">
        <v>0.1437</v>
      </c>
      <c r="I30" s="83">
        <v>0.18</v>
      </c>
      <c r="J30" s="84">
        <v>100</v>
      </c>
      <c r="K30" s="84">
        <v>9.8</v>
      </c>
      <c r="M30" s="85">
        <f t="shared" si="0"/>
        <v>980</v>
      </c>
      <c r="N30" s="86">
        <f t="shared" si="1"/>
        <v>5056.8</v>
      </c>
      <c r="O30" s="86">
        <f t="shared" si="2"/>
        <v>0</v>
      </c>
      <c r="P30" s="82">
        <f t="shared" si="3"/>
        <v>0.0175438596491228</v>
      </c>
      <c r="Q30" s="82">
        <f t="shared" si="4"/>
        <v>0.0204166666666667</v>
      </c>
      <c r="R30" s="86">
        <f>'Est. Cust. Naci.'!AU31</f>
        <v>90.1060516941667</v>
      </c>
    </row>
    <row r="31" spans="1:18">
      <c r="A31" s="80">
        <v>27</v>
      </c>
      <c r="B31" s="80"/>
      <c r="C31" s="89" t="s">
        <v>88</v>
      </c>
      <c r="D31" s="80" t="s">
        <v>75</v>
      </c>
      <c r="E31" s="81">
        <v>0.18</v>
      </c>
      <c r="F31" s="82">
        <v>0.0306</v>
      </c>
      <c r="G31" s="82">
        <v>0.0312</v>
      </c>
      <c r="H31" s="82">
        <v>0.1437</v>
      </c>
      <c r="I31" s="83">
        <v>0.18</v>
      </c>
      <c r="J31" s="84">
        <v>100</v>
      </c>
      <c r="K31" s="84">
        <v>10.2</v>
      </c>
      <c r="M31" s="85">
        <f t="shared" si="0"/>
        <v>1020</v>
      </c>
      <c r="N31" s="86">
        <f t="shared" si="1"/>
        <v>5263.2</v>
      </c>
      <c r="O31" s="86">
        <f t="shared" si="2"/>
        <v>0</v>
      </c>
      <c r="P31" s="82">
        <f t="shared" si="3"/>
        <v>0.0175438596491228</v>
      </c>
      <c r="Q31" s="82">
        <f t="shared" si="4"/>
        <v>0.02125</v>
      </c>
      <c r="R31" s="86">
        <f>'Est. Cust. Naci.'!AU32</f>
        <v>93.7838497225</v>
      </c>
    </row>
    <row r="32" spans="1:18">
      <c r="A32" s="80">
        <v>28</v>
      </c>
      <c r="B32" s="80"/>
      <c r="C32" s="89" t="s">
        <v>89</v>
      </c>
      <c r="D32" s="88" t="s">
        <v>75</v>
      </c>
      <c r="E32" s="81">
        <v>0.18</v>
      </c>
      <c r="F32" s="82">
        <v>0.0306</v>
      </c>
      <c r="G32" s="82">
        <v>0.0312</v>
      </c>
      <c r="H32" s="82">
        <v>0.1437</v>
      </c>
      <c r="I32" s="83">
        <v>0.18</v>
      </c>
      <c r="J32" s="84">
        <v>100</v>
      </c>
      <c r="K32" s="84">
        <v>10.2</v>
      </c>
      <c r="M32" s="85">
        <f t="shared" si="0"/>
        <v>1020</v>
      </c>
      <c r="N32" s="86">
        <f t="shared" si="1"/>
        <v>5263.2</v>
      </c>
      <c r="O32" s="86">
        <f t="shared" si="2"/>
        <v>0</v>
      </c>
      <c r="P32" s="82">
        <f t="shared" si="3"/>
        <v>0.0175438596491228</v>
      </c>
      <c r="Q32" s="82">
        <f t="shared" si="4"/>
        <v>0.02125</v>
      </c>
      <c r="R32" s="86">
        <f>'Est. Cust. Naci.'!AU33</f>
        <v>93.7838497225</v>
      </c>
    </row>
    <row r="33" spans="1:18">
      <c r="A33" s="80">
        <v>29</v>
      </c>
      <c r="B33" s="80"/>
      <c r="C33" s="89" t="s">
        <v>90</v>
      </c>
      <c r="D33" s="80" t="s">
        <v>75</v>
      </c>
      <c r="E33" s="81">
        <v>0.18</v>
      </c>
      <c r="F33" s="82">
        <v>0.0306</v>
      </c>
      <c r="G33" s="82">
        <v>0.0312</v>
      </c>
      <c r="H33" s="82">
        <v>0.1437</v>
      </c>
      <c r="I33" s="83">
        <v>0.18</v>
      </c>
      <c r="J33" s="84">
        <v>100</v>
      </c>
      <c r="K33" s="84">
        <v>11</v>
      </c>
      <c r="M33" s="85">
        <f t="shared" si="0"/>
        <v>1100</v>
      </c>
      <c r="N33" s="86">
        <f t="shared" si="1"/>
        <v>5676</v>
      </c>
      <c r="O33" s="86">
        <f t="shared" si="2"/>
        <v>0</v>
      </c>
      <c r="P33" s="82">
        <f t="shared" si="3"/>
        <v>0.0175438596491228</v>
      </c>
      <c r="Q33" s="82">
        <f t="shared" si="4"/>
        <v>0.0229166666666667</v>
      </c>
      <c r="R33" s="86">
        <f>'Est. Cust. Naci.'!AU34</f>
        <v>101.139445779167</v>
      </c>
    </row>
    <row r="34" spans="1:18">
      <c r="A34" s="80">
        <v>30</v>
      </c>
      <c r="B34" s="80"/>
      <c r="C34" s="89" t="s">
        <v>91</v>
      </c>
      <c r="D34" s="88" t="s">
        <v>75</v>
      </c>
      <c r="E34" s="81">
        <v>0.18</v>
      </c>
      <c r="F34" s="82">
        <v>0.0306</v>
      </c>
      <c r="G34" s="82">
        <v>0.0312</v>
      </c>
      <c r="H34" s="82">
        <v>0.1437</v>
      </c>
      <c r="I34" s="83">
        <v>0.18</v>
      </c>
      <c r="J34" s="84">
        <v>100</v>
      </c>
      <c r="K34" s="84">
        <v>13.6</v>
      </c>
      <c r="M34" s="85">
        <f t="shared" si="0"/>
        <v>1360</v>
      </c>
      <c r="N34" s="86">
        <f t="shared" si="1"/>
        <v>7017.6</v>
      </c>
      <c r="O34" s="86">
        <f t="shared" si="2"/>
        <v>0</v>
      </c>
      <c r="P34" s="82">
        <f t="shared" si="3"/>
        <v>0.0175438596491228</v>
      </c>
      <c r="Q34" s="82">
        <f t="shared" si="4"/>
        <v>0.0283333333333333</v>
      </c>
      <c r="R34" s="86">
        <f>'Est. Cust. Naci.'!AU35</f>
        <v>125.045132963333</v>
      </c>
    </row>
    <row r="35" spans="1:18">
      <c r="A35" s="80">
        <v>31</v>
      </c>
      <c r="B35" s="80"/>
      <c r="C35" s="89">
        <v>938170519</v>
      </c>
      <c r="D35" s="80" t="s">
        <v>75</v>
      </c>
      <c r="E35" s="81">
        <v>0.18</v>
      </c>
      <c r="F35" s="82">
        <v>0.0306</v>
      </c>
      <c r="G35" s="82">
        <v>0.0312</v>
      </c>
      <c r="H35" s="82">
        <v>0.1437</v>
      </c>
      <c r="I35" s="83">
        <v>0.18</v>
      </c>
      <c r="J35" s="84"/>
      <c r="K35" s="84">
        <v>0</v>
      </c>
      <c r="M35" s="85">
        <f t="shared" si="0"/>
        <v>0</v>
      </c>
      <c r="N35" s="86">
        <f t="shared" si="1"/>
        <v>0</v>
      </c>
      <c r="O35" s="86">
        <f t="shared" si="2"/>
        <v>0</v>
      </c>
      <c r="P35" s="82">
        <f t="shared" si="3"/>
        <v>0</v>
      </c>
      <c r="Q35" s="82">
        <f t="shared" si="4"/>
        <v>0</v>
      </c>
      <c r="R35" s="86" t="e">
        <f>'Est. Cust. Naci.'!AU36</f>
        <v>#DIV/0!</v>
      </c>
    </row>
    <row r="36" spans="1:18">
      <c r="A36" s="80">
        <v>32</v>
      </c>
      <c r="B36" s="80"/>
      <c r="C36" s="89">
        <v>938170119</v>
      </c>
      <c r="D36" s="88" t="s">
        <v>75</v>
      </c>
      <c r="E36" s="81">
        <v>0.18</v>
      </c>
      <c r="F36" s="82">
        <v>0.0306</v>
      </c>
      <c r="G36" s="82">
        <v>0.0312</v>
      </c>
      <c r="H36" s="82">
        <v>0.1437</v>
      </c>
      <c r="I36" s="83">
        <v>0.18</v>
      </c>
      <c r="J36" s="84"/>
      <c r="K36" s="84">
        <v>0</v>
      </c>
      <c r="M36" s="85">
        <f t="shared" si="0"/>
        <v>0</v>
      </c>
      <c r="N36" s="86">
        <f t="shared" si="1"/>
        <v>0</v>
      </c>
      <c r="O36" s="86">
        <f t="shared" si="2"/>
        <v>0</v>
      </c>
      <c r="P36" s="82">
        <f t="shared" si="3"/>
        <v>0</v>
      </c>
      <c r="Q36" s="82">
        <f t="shared" si="4"/>
        <v>0</v>
      </c>
      <c r="R36" s="86" t="e">
        <f>'Est. Cust. Naci.'!AU37</f>
        <v>#DIV/0!</v>
      </c>
    </row>
    <row r="37" spans="1:18">
      <c r="A37" s="80">
        <v>33</v>
      </c>
      <c r="B37" s="80"/>
      <c r="C37" s="89">
        <v>9583172103</v>
      </c>
      <c r="D37" s="80" t="s">
        <v>75</v>
      </c>
      <c r="E37" s="81">
        <v>0.18</v>
      </c>
      <c r="F37" s="82">
        <v>0.0306</v>
      </c>
      <c r="G37" s="82">
        <v>0.0312</v>
      </c>
      <c r="H37" s="82">
        <v>0.1437</v>
      </c>
      <c r="I37" s="83">
        <v>0.18</v>
      </c>
      <c r="J37" s="84">
        <v>100</v>
      </c>
      <c r="K37" s="84">
        <v>5.4</v>
      </c>
      <c r="M37" s="85">
        <f t="shared" si="0"/>
        <v>540</v>
      </c>
      <c r="N37" s="86">
        <f t="shared" si="1"/>
        <v>2786.4</v>
      </c>
      <c r="O37" s="86">
        <f t="shared" si="2"/>
        <v>0</v>
      </c>
      <c r="P37" s="82">
        <f t="shared" si="3"/>
        <v>0.0175438596491228</v>
      </c>
      <c r="Q37" s="82">
        <f t="shared" si="4"/>
        <v>0.01125</v>
      </c>
      <c r="R37" s="86">
        <f>'Est. Cust. Naci.'!AU38</f>
        <v>49.6502733825</v>
      </c>
    </row>
    <row r="38" spans="1:18">
      <c r="A38" s="80">
        <v>34</v>
      </c>
      <c r="B38" s="80"/>
      <c r="C38" s="89">
        <v>9583170003</v>
      </c>
      <c r="D38" s="88" t="s">
        <v>75</v>
      </c>
      <c r="E38" s="81">
        <v>0.18</v>
      </c>
      <c r="F38" s="82">
        <v>0.0306</v>
      </c>
      <c r="G38" s="82">
        <v>0.0312</v>
      </c>
      <c r="H38" s="82">
        <v>0.1437</v>
      </c>
      <c r="I38" s="83">
        <v>0.18</v>
      </c>
      <c r="J38" s="84">
        <v>100</v>
      </c>
      <c r="K38" s="84">
        <v>4.7</v>
      </c>
      <c r="M38" s="85">
        <f t="shared" si="0"/>
        <v>470</v>
      </c>
      <c r="N38" s="86">
        <f t="shared" si="1"/>
        <v>2425.2</v>
      </c>
      <c r="O38" s="86">
        <f t="shared" si="2"/>
        <v>0</v>
      </c>
      <c r="P38" s="82">
        <f t="shared" si="3"/>
        <v>0.0175438596491228</v>
      </c>
      <c r="Q38" s="82">
        <f t="shared" si="4"/>
        <v>0.00979166666666667</v>
      </c>
      <c r="R38" s="86">
        <f>'Est. Cust. Naci.'!AU39</f>
        <v>43.2141268329167</v>
      </c>
    </row>
    <row r="39" spans="1:18">
      <c r="A39" s="80">
        <v>35</v>
      </c>
      <c r="B39" s="80"/>
      <c r="C39" s="89">
        <v>9583172703</v>
      </c>
      <c r="D39" s="80" t="s">
        <v>75</v>
      </c>
      <c r="E39" s="81">
        <v>0.18</v>
      </c>
      <c r="F39" s="82">
        <v>0.0306</v>
      </c>
      <c r="G39" s="82">
        <v>0.0312</v>
      </c>
      <c r="H39" s="82">
        <v>0.1437</v>
      </c>
      <c r="I39" s="83">
        <v>0.18</v>
      </c>
      <c r="J39" s="84">
        <v>100</v>
      </c>
      <c r="K39" s="84">
        <v>9.3</v>
      </c>
      <c r="M39" s="85">
        <f t="shared" si="0"/>
        <v>930</v>
      </c>
      <c r="N39" s="86">
        <f t="shared" si="1"/>
        <v>4798.8</v>
      </c>
      <c r="O39" s="86">
        <f t="shared" si="2"/>
        <v>0</v>
      </c>
      <c r="P39" s="82">
        <f t="shared" si="3"/>
        <v>0.0175438596491228</v>
      </c>
      <c r="Q39" s="82">
        <f t="shared" si="4"/>
        <v>0.019375</v>
      </c>
      <c r="R39" s="86">
        <f>'Est. Cust. Naci.'!AU40</f>
        <v>85.50880415875</v>
      </c>
    </row>
    <row r="40" spans="1:18">
      <c r="A40" s="80">
        <v>36</v>
      </c>
      <c r="B40" s="80"/>
      <c r="C40" s="89">
        <v>583171103</v>
      </c>
      <c r="D40" s="88" t="s">
        <v>75</v>
      </c>
      <c r="E40" s="81">
        <v>0.18</v>
      </c>
      <c r="F40" s="82">
        <v>0.0306</v>
      </c>
      <c r="G40" s="82">
        <v>0.0312</v>
      </c>
      <c r="H40" s="82">
        <v>0.1437</v>
      </c>
      <c r="I40" s="83">
        <v>0.18</v>
      </c>
      <c r="J40" s="84"/>
      <c r="K40" s="84">
        <v>0</v>
      </c>
      <c r="M40" s="85">
        <f t="shared" si="0"/>
        <v>0</v>
      </c>
      <c r="N40" s="86">
        <f t="shared" si="1"/>
        <v>0</v>
      </c>
      <c r="O40" s="86">
        <f t="shared" si="2"/>
        <v>0</v>
      </c>
      <c r="P40" s="82">
        <f t="shared" si="3"/>
        <v>0</v>
      </c>
      <c r="Q40" s="82">
        <f t="shared" si="4"/>
        <v>0</v>
      </c>
      <c r="R40" s="86" t="e">
        <f>'Est. Cust. Naci.'!AU41</f>
        <v>#DIV/0!</v>
      </c>
    </row>
    <row r="41" spans="1:18">
      <c r="A41" s="80">
        <v>37</v>
      </c>
      <c r="B41" s="80"/>
      <c r="C41" s="89">
        <v>9583170703</v>
      </c>
      <c r="D41" s="80" t="s">
        <v>75</v>
      </c>
      <c r="E41" s="81">
        <v>0.18</v>
      </c>
      <c r="F41" s="82">
        <v>0.0306</v>
      </c>
      <c r="G41" s="82">
        <v>0.0312</v>
      </c>
      <c r="H41" s="82">
        <v>0.1437</v>
      </c>
      <c r="I41" s="83">
        <v>0.18</v>
      </c>
      <c r="J41" s="84">
        <v>100</v>
      </c>
      <c r="K41" s="84">
        <v>4.4</v>
      </c>
      <c r="M41" s="85">
        <f t="shared" si="0"/>
        <v>440</v>
      </c>
      <c r="N41" s="86">
        <f t="shared" si="1"/>
        <v>2270.4</v>
      </c>
      <c r="O41" s="86">
        <f t="shared" si="2"/>
        <v>0</v>
      </c>
      <c r="P41" s="82">
        <f t="shared" si="3"/>
        <v>0.0175438596491228</v>
      </c>
      <c r="Q41" s="82">
        <f t="shared" si="4"/>
        <v>0.00916666666666667</v>
      </c>
      <c r="R41" s="86">
        <f>'Est. Cust. Naci.'!AU42</f>
        <v>40.4557783116667</v>
      </c>
    </row>
    <row r="42" spans="1:18">
      <c r="A42" s="80">
        <v>38</v>
      </c>
      <c r="B42" s="80"/>
      <c r="C42" s="89">
        <v>9408901819</v>
      </c>
      <c r="D42" s="88" t="s">
        <v>75</v>
      </c>
      <c r="E42" s="81">
        <v>0.18</v>
      </c>
      <c r="F42" s="82">
        <v>0.0306</v>
      </c>
      <c r="G42" s="82">
        <v>0.0312</v>
      </c>
      <c r="H42" s="82">
        <v>0.1437</v>
      </c>
      <c r="I42" s="83">
        <v>0.18</v>
      </c>
      <c r="J42" s="84">
        <v>100</v>
      </c>
      <c r="K42" s="84">
        <v>13.5</v>
      </c>
      <c r="M42" s="85">
        <f t="shared" si="0"/>
        <v>1350</v>
      </c>
      <c r="N42" s="86">
        <f t="shared" si="1"/>
        <v>6966</v>
      </c>
      <c r="O42" s="86">
        <f t="shared" si="2"/>
        <v>0</v>
      </c>
      <c r="P42" s="82">
        <f t="shared" si="3"/>
        <v>0.0175438596491228</v>
      </c>
      <c r="Q42" s="82">
        <f t="shared" si="4"/>
        <v>0.028125</v>
      </c>
      <c r="R42" s="86">
        <f>'Est. Cust. Naci.'!AU43</f>
        <v>124.12568345625</v>
      </c>
    </row>
    <row r="43" spans="1:18">
      <c r="A43" s="80">
        <v>39</v>
      </c>
      <c r="B43" s="80"/>
      <c r="C43" s="89">
        <v>9793100055</v>
      </c>
      <c r="D43" s="80" t="s">
        <v>75</v>
      </c>
      <c r="E43" s="81">
        <v>0.18</v>
      </c>
      <c r="F43" s="82">
        <v>0.0306</v>
      </c>
      <c r="G43" s="82">
        <v>0.0312</v>
      </c>
      <c r="H43" s="82">
        <v>0.1437</v>
      </c>
      <c r="I43" s="83">
        <v>0.18</v>
      </c>
      <c r="J43" s="84">
        <v>100</v>
      </c>
      <c r="K43" s="84">
        <v>15.2</v>
      </c>
      <c r="M43" s="85">
        <f t="shared" si="0"/>
        <v>1520</v>
      </c>
      <c r="N43" s="86">
        <f t="shared" si="1"/>
        <v>7843.2</v>
      </c>
      <c r="O43" s="86">
        <f t="shared" si="2"/>
        <v>0</v>
      </c>
      <c r="P43" s="82">
        <f t="shared" si="3"/>
        <v>0.0175438596491228</v>
      </c>
      <c r="Q43" s="82">
        <f t="shared" si="4"/>
        <v>0.0316666666666667</v>
      </c>
      <c r="R43" s="86">
        <f>'Est. Cust. Naci.'!AU44</f>
        <v>139.756325076667</v>
      </c>
    </row>
    <row r="44" spans="1:18">
      <c r="A44" s="80">
        <v>40</v>
      </c>
      <c r="B44" s="80"/>
      <c r="C44" s="89" t="s">
        <v>92</v>
      </c>
      <c r="D44" s="88" t="s">
        <v>75</v>
      </c>
      <c r="E44" s="81">
        <v>0.18</v>
      </c>
      <c r="F44" s="82">
        <v>0.0306</v>
      </c>
      <c r="G44" s="82">
        <v>0.0312</v>
      </c>
      <c r="H44" s="82">
        <v>0.1437</v>
      </c>
      <c r="I44" s="83">
        <v>0.18</v>
      </c>
      <c r="J44" s="84">
        <v>100</v>
      </c>
      <c r="K44" s="84">
        <v>11.5</v>
      </c>
      <c r="M44" s="85">
        <f t="shared" si="0"/>
        <v>1150</v>
      </c>
      <c r="N44" s="86">
        <f t="shared" si="1"/>
        <v>5934</v>
      </c>
      <c r="O44" s="86">
        <f t="shared" si="2"/>
        <v>0</v>
      </c>
      <c r="P44" s="82">
        <f t="shared" si="3"/>
        <v>0.0175438596491228</v>
      </c>
      <c r="Q44" s="82">
        <f t="shared" si="4"/>
        <v>0.0239583333333333</v>
      </c>
      <c r="R44" s="86">
        <f>'Est. Cust. Naci.'!AU45</f>
        <v>105.736693314583</v>
      </c>
    </row>
    <row r="45" spans="1:18">
      <c r="A45" s="80">
        <v>41</v>
      </c>
      <c r="B45" s="80"/>
      <c r="C45" s="89">
        <v>1629722</v>
      </c>
      <c r="D45" s="80" t="s">
        <v>75</v>
      </c>
      <c r="E45" s="81">
        <v>0.18</v>
      </c>
      <c r="F45" s="82">
        <v>0.0306</v>
      </c>
      <c r="G45" s="82">
        <v>0.0312</v>
      </c>
      <c r="H45" s="82">
        <v>0.1437</v>
      </c>
      <c r="I45" s="83">
        <v>0.18</v>
      </c>
      <c r="J45" s="84">
        <v>100</v>
      </c>
      <c r="K45" s="84">
        <v>6.9</v>
      </c>
      <c r="M45" s="85">
        <f t="shared" si="0"/>
        <v>690</v>
      </c>
      <c r="N45" s="86">
        <f t="shared" si="1"/>
        <v>3560.4</v>
      </c>
      <c r="O45" s="86">
        <f t="shared" si="2"/>
        <v>0</v>
      </c>
      <c r="P45" s="82">
        <f t="shared" si="3"/>
        <v>0.0175438596491228</v>
      </c>
      <c r="Q45" s="82">
        <f t="shared" si="4"/>
        <v>0.014375</v>
      </c>
      <c r="R45" s="86">
        <f>'Est. Cust. Naci.'!AU46</f>
        <v>63.44201598875</v>
      </c>
    </row>
    <row r="46" spans="1:18">
      <c r="A46" s="80">
        <v>42</v>
      </c>
      <c r="B46" s="80"/>
      <c r="C46" s="89">
        <v>3198836</v>
      </c>
      <c r="D46" s="88" t="s">
        <v>75</v>
      </c>
      <c r="E46" s="81">
        <v>0.18</v>
      </c>
      <c r="F46" s="82">
        <v>0.0306</v>
      </c>
      <c r="G46" s="82">
        <v>0.0312</v>
      </c>
      <c r="H46" s="82">
        <v>0.1437</v>
      </c>
      <c r="I46" s="83">
        <v>0.18</v>
      </c>
      <c r="J46" s="84">
        <v>100</v>
      </c>
      <c r="K46" s="84">
        <v>11.5</v>
      </c>
      <c r="M46" s="85">
        <f t="shared" si="0"/>
        <v>1150</v>
      </c>
      <c r="N46" s="86">
        <f t="shared" si="1"/>
        <v>5934</v>
      </c>
      <c r="O46" s="86">
        <f t="shared" si="2"/>
        <v>0</v>
      </c>
      <c r="P46" s="82">
        <f t="shared" si="3"/>
        <v>0.0175438596491228</v>
      </c>
      <c r="Q46" s="82">
        <f t="shared" si="4"/>
        <v>0.0239583333333333</v>
      </c>
      <c r="R46" s="86">
        <f>'Est. Cust. Naci.'!AU47</f>
        <v>105.736693314583</v>
      </c>
    </row>
    <row r="47" ht="82.8" spans="1:18">
      <c r="A47" s="80">
        <v>43</v>
      </c>
      <c r="B47" s="80"/>
      <c r="C47" s="89" t="s">
        <v>93</v>
      </c>
      <c r="D47" s="80" t="s">
        <v>75</v>
      </c>
      <c r="E47" s="81">
        <v>0.18</v>
      </c>
      <c r="F47" s="82">
        <v>0.0306</v>
      </c>
      <c r="G47" s="82">
        <v>0.0312</v>
      </c>
      <c r="H47" s="82">
        <v>0.1437</v>
      </c>
      <c r="I47" s="83">
        <v>0.18</v>
      </c>
      <c r="J47" s="84">
        <v>100</v>
      </c>
      <c r="K47" s="84">
        <v>19.5</v>
      </c>
      <c r="M47" s="85">
        <f t="shared" si="0"/>
        <v>1950</v>
      </c>
      <c r="N47" s="86">
        <f t="shared" si="1"/>
        <v>10062</v>
      </c>
      <c r="O47" s="86">
        <f t="shared" si="2"/>
        <v>0</v>
      </c>
      <c r="P47" s="82">
        <f t="shared" si="3"/>
        <v>0.0175438596491228</v>
      </c>
      <c r="Q47" s="82">
        <f t="shared" si="4"/>
        <v>0.040625</v>
      </c>
      <c r="R47" s="86">
        <f>'Est. Cust. Naci.'!AU48</f>
        <v>179.29265388125</v>
      </c>
    </row>
    <row r="48" spans="1:18">
      <c r="A48" s="80">
        <v>44</v>
      </c>
      <c r="B48" s="80"/>
      <c r="C48" s="89">
        <v>1075478</v>
      </c>
      <c r="D48" s="88" t="s">
        <v>75</v>
      </c>
      <c r="E48" s="81">
        <v>0.18</v>
      </c>
      <c r="F48" s="82">
        <v>0.0306</v>
      </c>
      <c r="G48" s="82">
        <v>0.0312</v>
      </c>
      <c r="H48" s="82">
        <v>0.1437</v>
      </c>
      <c r="I48" s="83">
        <v>0.18</v>
      </c>
      <c r="J48" s="84">
        <v>100</v>
      </c>
      <c r="K48" s="84">
        <v>7.6</v>
      </c>
      <c r="M48" s="85">
        <f t="shared" si="0"/>
        <v>760</v>
      </c>
      <c r="N48" s="86">
        <f t="shared" si="1"/>
        <v>3921.6</v>
      </c>
      <c r="O48" s="86">
        <f t="shared" si="2"/>
        <v>0</v>
      </c>
      <c r="P48" s="82">
        <f t="shared" si="3"/>
        <v>0.0175438596491228</v>
      </c>
      <c r="Q48" s="82">
        <f t="shared" si="4"/>
        <v>0.0158333333333333</v>
      </c>
      <c r="R48" s="86">
        <f>'Est. Cust. Naci.'!AU49</f>
        <v>69.8781625383333</v>
      </c>
    </row>
    <row r="49" spans="1:18">
      <c r="A49" s="80">
        <v>45</v>
      </c>
      <c r="B49" s="80"/>
      <c r="C49" s="89">
        <v>3198859</v>
      </c>
      <c r="D49" s="80" t="s">
        <v>75</v>
      </c>
      <c r="E49" s="81">
        <v>0.18</v>
      </c>
      <c r="F49" s="82">
        <v>0.0306</v>
      </c>
      <c r="G49" s="82">
        <v>0.0312</v>
      </c>
      <c r="H49" s="82">
        <v>0.1437</v>
      </c>
      <c r="I49" s="83">
        <v>0.18</v>
      </c>
      <c r="J49" s="84">
        <v>100</v>
      </c>
      <c r="K49" s="84">
        <v>11.5</v>
      </c>
      <c r="M49" s="85">
        <f t="shared" si="0"/>
        <v>1150</v>
      </c>
      <c r="N49" s="86">
        <f t="shared" si="1"/>
        <v>5934</v>
      </c>
      <c r="O49" s="86">
        <f t="shared" si="2"/>
        <v>0</v>
      </c>
      <c r="P49" s="82">
        <f t="shared" si="3"/>
        <v>0.0175438596491228</v>
      </c>
      <c r="Q49" s="82">
        <f t="shared" si="4"/>
        <v>0.0239583333333333</v>
      </c>
      <c r="R49" s="86">
        <f>'Est. Cust. Naci.'!AU50</f>
        <v>105.736693314583</v>
      </c>
    </row>
    <row r="50" spans="1:18">
      <c r="A50" s="80">
        <v>46</v>
      </c>
      <c r="B50" s="80"/>
      <c r="C50" s="89">
        <v>1629668</v>
      </c>
      <c r="D50" s="88" t="s">
        <v>75</v>
      </c>
      <c r="E50" s="81">
        <v>0.18</v>
      </c>
      <c r="F50" s="82">
        <v>0.0306</v>
      </c>
      <c r="G50" s="82">
        <v>0.0312</v>
      </c>
      <c r="H50" s="82">
        <v>0.1437</v>
      </c>
      <c r="I50" s="83">
        <v>0.18</v>
      </c>
      <c r="J50" s="84">
        <v>300</v>
      </c>
      <c r="K50" s="84">
        <v>13.1</v>
      </c>
      <c r="M50" s="85">
        <f t="shared" si="0"/>
        <v>3930</v>
      </c>
      <c r="N50" s="86">
        <f t="shared" si="1"/>
        <v>20278.8</v>
      </c>
      <c r="O50" s="86">
        <f t="shared" si="2"/>
        <v>0</v>
      </c>
      <c r="P50" s="82">
        <f t="shared" si="3"/>
        <v>0.0526315789473684</v>
      </c>
      <c r="Q50" s="82">
        <f t="shared" si="4"/>
        <v>0.0272916666666667</v>
      </c>
      <c r="R50" s="86">
        <f>'Est. Cust. Naci.'!AU51</f>
        <v>112.363904502639</v>
      </c>
    </row>
    <row r="51" spans="1:18">
      <c r="A51" s="80">
        <v>47</v>
      </c>
      <c r="B51" s="80"/>
      <c r="C51" s="89" t="s">
        <v>94</v>
      </c>
      <c r="D51" s="80" t="s">
        <v>75</v>
      </c>
      <c r="E51" s="81">
        <v>0.18</v>
      </c>
      <c r="F51" s="82">
        <v>0.0306</v>
      </c>
      <c r="G51" s="82">
        <v>0.0312</v>
      </c>
      <c r="H51" s="82">
        <v>0.1437</v>
      </c>
      <c r="I51" s="83">
        <v>0.18</v>
      </c>
      <c r="J51" s="84">
        <v>100</v>
      </c>
      <c r="K51" s="84">
        <v>11.5</v>
      </c>
      <c r="M51" s="85">
        <f t="shared" si="0"/>
        <v>1150</v>
      </c>
      <c r="N51" s="86">
        <f t="shared" si="1"/>
        <v>5934</v>
      </c>
      <c r="O51" s="86">
        <f t="shared" si="2"/>
        <v>0</v>
      </c>
      <c r="P51" s="82">
        <f t="shared" si="3"/>
        <v>0.0175438596491228</v>
      </c>
      <c r="Q51" s="82">
        <f t="shared" si="4"/>
        <v>0.0239583333333333</v>
      </c>
      <c r="R51" s="86">
        <f>'Est. Cust. Naci.'!AU52</f>
        <v>105.736693314583</v>
      </c>
    </row>
    <row r="52" spans="1:18">
      <c r="A52" s="80">
        <v>48</v>
      </c>
      <c r="B52" s="80"/>
      <c r="C52" s="89">
        <v>500348789</v>
      </c>
      <c r="D52" s="88" t="s">
        <v>75</v>
      </c>
      <c r="E52" s="81">
        <v>0.18</v>
      </c>
      <c r="F52" s="82">
        <v>0.0306</v>
      </c>
      <c r="G52" s="82">
        <v>0.0312</v>
      </c>
      <c r="H52" s="82">
        <v>0.1437</v>
      </c>
      <c r="I52" s="83">
        <v>0.18</v>
      </c>
      <c r="J52" s="84">
        <v>100</v>
      </c>
      <c r="K52" s="84">
        <v>4.4</v>
      </c>
      <c r="M52" s="85">
        <f t="shared" si="0"/>
        <v>440</v>
      </c>
      <c r="N52" s="86">
        <f t="shared" si="1"/>
        <v>2270.4</v>
      </c>
      <c r="O52" s="86">
        <f t="shared" si="2"/>
        <v>0</v>
      </c>
      <c r="P52" s="82">
        <f t="shared" si="3"/>
        <v>0.0175438596491228</v>
      </c>
      <c r="Q52" s="82">
        <f t="shared" si="4"/>
        <v>0.00916666666666667</v>
      </c>
      <c r="R52" s="86">
        <f>'Est. Cust. Naci.'!AU53</f>
        <v>40.4557783116667</v>
      </c>
    </row>
    <row r="53" spans="1:18">
      <c r="A53" s="80">
        <v>49</v>
      </c>
      <c r="B53" s="80"/>
      <c r="C53" s="89">
        <v>410228762</v>
      </c>
      <c r="D53" s="80" t="s">
        <v>75</v>
      </c>
      <c r="E53" s="81">
        <v>0.18</v>
      </c>
      <c r="F53" s="82">
        <v>0.0306</v>
      </c>
      <c r="G53" s="82">
        <v>0.0312</v>
      </c>
      <c r="H53" s="82">
        <v>0.1437</v>
      </c>
      <c r="I53" s="83">
        <v>0.18</v>
      </c>
      <c r="J53" s="84"/>
      <c r="K53" s="84">
        <v>0</v>
      </c>
      <c r="M53" s="85">
        <f t="shared" si="0"/>
        <v>0</v>
      </c>
      <c r="N53" s="86">
        <f t="shared" si="1"/>
        <v>0</v>
      </c>
      <c r="O53" s="86">
        <f t="shared" si="2"/>
        <v>0</v>
      </c>
      <c r="P53" s="82">
        <f t="shared" si="3"/>
        <v>0</v>
      </c>
      <c r="Q53" s="82">
        <f t="shared" si="4"/>
        <v>0</v>
      </c>
      <c r="R53" s="86" t="e">
        <f>'Est. Cust. Naci.'!AU54</f>
        <v>#DIV/0!</v>
      </c>
    </row>
    <row r="54" spans="1:18">
      <c r="A54" s="80">
        <v>50</v>
      </c>
      <c r="B54" s="80"/>
      <c r="C54" s="89">
        <v>41005911</v>
      </c>
      <c r="D54" s="88" t="s">
        <v>75</v>
      </c>
      <c r="E54" s="81">
        <v>0.18</v>
      </c>
      <c r="F54" s="82">
        <v>0.0306</v>
      </c>
      <c r="G54" s="82">
        <v>0.0312</v>
      </c>
      <c r="H54" s="82">
        <v>0.1437</v>
      </c>
      <c r="I54" s="83">
        <v>0.18</v>
      </c>
      <c r="J54" s="84">
        <v>100</v>
      </c>
      <c r="K54" s="84">
        <v>6.2</v>
      </c>
      <c r="M54" s="85">
        <f t="shared" si="0"/>
        <v>620</v>
      </c>
      <c r="N54" s="86">
        <f t="shared" si="1"/>
        <v>3199.2</v>
      </c>
      <c r="O54" s="86">
        <f t="shared" si="2"/>
        <v>0</v>
      </c>
      <c r="P54" s="82">
        <f t="shared" si="3"/>
        <v>0.0175438596491228</v>
      </c>
      <c r="Q54" s="82">
        <f t="shared" si="4"/>
        <v>0.0129166666666667</v>
      </c>
      <c r="R54" s="86">
        <f>'Est. Cust. Naci.'!AU55</f>
        <v>57.0058694391667</v>
      </c>
    </row>
    <row r="55" spans="1:18">
      <c r="A55" s="80">
        <v>51</v>
      </c>
      <c r="B55" s="80"/>
      <c r="C55" s="89">
        <v>97383885</v>
      </c>
      <c r="D55" s="80" t="s">
        <v>75</v>
      </c>
      <c r="E55" s="81">
        <v>0.18</v>
      </c>
      <c r="F55" s="82">
        <v>0.0306</v>
      </c>
      <c r="G55" s="82">
        <v>0.0312</v>
      </c>
      <c r="H55" s="82">
        <v>0.1437</v>
      </c>
      <c r="I55" s="83">
        <v>0.18</v>
      </c>
      <c r="J55" s="84">
        <v>100</v>
      </c>
      <c r="K55" s="84">
        <v>17.8</v>
      </c>
      <c r="M55" s="85">
        <f t="shared" si="0"/>
        <v>1780</v>
      </c>
      <c r="N55" s="86">
        <f t="shared" si="1"/>
        <v>9184.8</v>
      </c>
      <c r="O55" s="86">
        <f t="shared" si="2"/>
        <v>0</v>
      </c>
      <c r="P55" s="82">
        <f t="shared" si="3"/>
        <v>0.0175438596491228</v>
      </c>
      <c r="Q55" s="82">
        <f t="shared" si="4"/>
        <v>0.0370833333333333</v>
      </c>
      <c r="R55" s="86">
        <f>'Est. Cust. Naci.'!AU56</f>
        <v>163.662012260833</v>
      </c>
    </row>
    <row r="56" spans="1:18">
      <c r="A56" s="80">
        <v>52</v>
      </c>
      <c r="B56" s="80"/>
      <c r="C56" s="89">
        <v>500387621</v>
      </c>
      <c r="D56" s="88" t="s">
        <v>75</v>
      </c>
      <c r="E56" s="81">
        <v>0.18</v>
      </c>
      <c r="F56" s="82">
        <v>0.0306</v>
      </c>
      <c r="G56" s="82">
        <v>0.0312</v>
      </c>
      <c r="H56" s="82">
        <v>0.1437</v>
      </c>
      <c r="I56" s="83">
        <v>0.18</v>
      </c>
      <c r="J56" s="84">
        <v>100</v>
      </c>
      <c r="K56" s="84">
        <v>10.2</v>
      </c>
      <c r="M56" s="85">
        <f t="shared" si="0"/>
        <v>1020</v>
      </c>
      <c r="N56" s="86">
        <f t="shared" si="1"/>
        <v>5263.2</v>
      </c>
      <c r="O56" s="86">
        <f t="shared" si="2"/>
        <v>0</v>
      </c>
      <c r="P56" s="82">
        <f t="shared" si="3"/>
        <v>0.0175438596491228</v>
      </c>
      <c r="Q56" s="82">
        <f t="shared" si="4"/>
        <v>0.02125</v>
      </c>
      <c r="R56" s="86">
        <f>'Est. Cust. Naci.'!AU57</f>
        <v>93.7838497225</v>
      </c>
    </row>
    <row r="57" spans="1:18">
      <c r="A57" s="80">
        <v>53</v>
      </c>
      <c r="B57" s="80"/>
      <c r="C57" s="89">
        <v>504060241</v>
      </c>
      <c r="D57" s="80" t="s">
        <v>75</v>
      </c>
      <c r="E57" s="81">
        <v>0.18</v>
      </c>
      <c r="F57" s="82">
        <v>0.0306</v>
      </c>
      <c r="G57" s="82">
        <v>0.0312</v>
      </c>
      <c r="H57" s="82">
        <v>0.1437</v>
      </c>
      <c r="I57" s="83">
        <v>0.18</v>
      </c>
      <c r="J57" s="84">
        <v>100</v>
      </c>
      <c r="K57" s="84">
        <v>17.8</v>
      </c>
      <c r="M57" s="85">
        <f t="shared" si="0"/>
        <v>1780</v>
      </c>
      <c r="N57" s="86">
        <f t="shared" si="1"/>
        <v>9184.8</v>
      </c>
      <c r="O57" s="86">
        <f t="shared" si="2"/>
        <v>0</v>
      </c>
      <c r="P57" s="82">
        <f t="shared" si="3"/>
        <v>0.0175438596491228</v>
      </c>
      <c r="Q57" s="82">
        <f t="shared" si="4"/>
        <v>0.0370833333333333</v>
      </c>
      <c r="R57" s="86">
        <f>'Est. Cust. Naci.'!AU58</f>
        <v>163.662012260833</v>
      </c>
    </row>
    <row r="59" spans="1:18">
      <c r="E59" t="e">
        <v>#VALUE!</v>
      </c>
      <c r="F59" s="3">
        <v>5.16</v>
      </c>
    </row>
  </sheetData>
  <pageMargins left="0.708661417322835" right="0.236220472440945" top="0.748031496062992" bottom="0.748031496062992" header="0.31496062992126" footer="0.31496062992126"/>
  <pageSetup paperSize="9" scale="67" fitToHeight="0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62"/>
  <sheetViews>
    <sheetView topLeftCell="B1" workbookViewId="0">
      <selection activeCell="AO9" sqref="AO9"/>
    </sheetView>
  </sheetViews>
  <sheetFormatPr defaultColWidth="9" defaultRowHeight="14.4"/>
  <cols>
    <col min="1" max="1" width="9.13888888888889" hidden="1" customWidth="1"/>
    <col min="2" max="2" width="9.13888888888889" customWidth="1"/>
    <col min="3" max="3" width="13.5740740740741" customWidth="1"/>
    <col min="4" max="6" width="8.13888888888889" customWidth="1"/>
    <col min="7" max="7" width="10.8518518518519" customWidth="1"/>
    <col min="8" max="8" width="20.287037037037" customWidth="1"/>
    <col min="9" max="9" width="9.13888888888889" customWidth="1"/>
    <col min="10" max="10" width="9.57407407407407" customWidth="1"/>
    <col min="11" max="11" width="13.287037037037" customWidth="1"/>
    <col min="12" max="12" width="19.5740740740741" customWidth="1"/>
    <col min="13" max="13" width="15.5740740740741" hidden="1" customWidth="1"/>
    <col min="14" max="14" width="16" customWidth="1"/>
    <col min="15" max="15" width="17.8518518518519" customWidth="1"/>
    <col min="16" max="16" width="17.287037037037" customWidth="1"/>
    <col min="17" max="17" width="20.1388888888889" customWidth="1"/>
    <col min="18" max="18" width="14.8518518518519" customWidth="1"/>
    <col min="19" max="19" width="13.8518518518519" customWidth="1"/>
    <col min="20" max="20" width="14.8518518518519" customWidth="1"/>
    <col min="21" max="22" width="14.5740740740741" customWidth="1"/>
    <col min="23" max="23" width="19.287037037037" customWidth="1"/>
    <col min="24" max="24" width="19.287037037037" hidden="1" customWidth="1"/>
    <col min="25" max="26" width="14.5740740740741" customWidth="1"/>
    <col min="27" max="27" width="16.8518518518519" customWidth="1"/>
    <col min="28" max="28" width="13" customWidth="1"/>
    <col min="29" max="29" width="14.5740740740741" customWidth="1"/>
    <col min="30" max="30" width="16.712962962963" customWidth="1"/>
    <col min="31" max="31" width="16.8518518518519" customWidth="1"/>
    <col min="32" max="32" width="13" customWidth="1"/>
    <col min="33" max="33" width="16.8518518518519" customWidth="1"/>
    <col min="34" max="34" width="10.287037037037" customWidth="1"/>
    <col min="35" max="35" width="16.712962962963" customWidth="1"/>
    <col min="36" max="38" width="14.5740740740741" customWidth="1"/>
    <col min="39" max="39" width="18.287037037037" customWidth="1"/>
    <col min="40" max="40" width="16.712962962963" customWidth="1"/>
    <col min="41" max="41" width="18.287037037037" customWidth="1"/>
    <col min="42" max="42" width="19.712962962963" customWidth="1"/>
    <col min="43" max="46" width="19.712962962963" hidden="1" customWidth="1"/>
    <col min="47" max="47" width="19.712962962963" customWidth="1"/>
    <col min="48" max="48" width="19.712962962963" hidden="1" customWidth="1"/>
    <col min="49" max="49" width="19.712962962963" customWidth="1"/>
    <col min="50" max="50" width="19.712962962963" hidden="1" customWidth="1"/>
    <col min="51" max="51" width="19.712962962963" customWidth="1"/>
    <col min="52" max="52" width="14.287037037037" hidden="1" customWidth="1"/>
    <col min="53" max="53" width="13.1388888888889" customWidth="1"/>
  </cols>
  <sheetData>
    <row r="1" spans="1:54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 spans="1:54">
      <c r="A2" s="14"/>
      <c r="B2" s="14"/>
      <c r="C2" s="15" t="s">
        <v>95</v>
      </c>
      <c r="D2" s="15"/>
      <c r="E2" s="15"/>
      <c r="F2" s="15"/>
      <c r="G2" s="15"/>
      <c r="H2" s="15"/>
      <c r="I2" s="15"/>
      <c r="J2" s="15"/>
      <c r="K2" s="15"/>
      <c r="L2" s="16" t="s">
        <v>96</v>
      </c>
      <c r="M2" s="16"/>
      <c r="N2" s="16"/>
      <c r="O2" s="16"/>
      <c r="P2" s="17"/>
      <c r="Q2" s="17"/>
      <c r="R2" s="18" t="s">
        <v>29</v>
      </c>
      <c r="S2" s="19"/>
      <c r="T2" s="19"/>
      <c r="U2" s="19"/>
      <c r="V2" s="19"/>
      <c r="W2" s="19"/>
      <c r="X2" s="19"/>
      <c r="Y2" s="20" t="s">
        <v>97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1"/>
      <c r="AQ2" s="21"/>
      <c r="AR2" s="21"/>
      <c r="AS2" s="21"/>
      <c r="AT2" s="21"/>
      <c r="AU2" s="21"/>
      <c r="AV2" s="21"/>
      <c r="AW2" s="21"/>
      <c r="AX2" s="21"/>
      <c r="AY2" s="21"/>
    </row>
    <row r="3" ht="57.6" spans="1:54">
      <c r="A3" s="22"/>
      <c r="B3" s="23" t="s">
        <v>98</v>
      </c>
      <c r="C3" s="23" t="s">
        <v>15</v>
      </c>
      <c r="D3" s="24" t="s">
        <v>99</v>
      </c>
      <c r="E3" s="24" t="s">
        <v>100</v>
      </c>
      <c r="F3" s="24" t="s">
        <v>101</v>
      </c>
      <c r="G3" s="23" t="s">
        <v>65</v>
      </c>
      <c r="H3" s="25" t="s">
        <v>102</v>
      </c>
      <c r="I3" s="26" t="s">
        <v>74</v>
      </c>
      <c r="J3" s="27" t="s">
        <v>103</v>
      </c>
      <c r="K3" s="24" t="s">
        <v>104</v>
      </c>
      <c r="L3" s="28" t="s">
        <v>105</v>
      </c>
      <c r="M3" s="28" t="s">
        <v>106</v>
      </c>
      <c r="N3" s="28" t="s">
        <v>107</v>
      </c>
      <c r="O3" s="28" t="s">
        <v>108</v>
      </c>
      <c r="P3" s="28" t="s">
        <v>28</v>
      </c>
      <c r="Q3" s="28" t="s">
        <v>109</v>
      </c>
      <c r="R3" s="29" t="s">
        <v>110</v>
      </c>
      <c r="S3" s="30" t="s">
        <v>67</v>
      </c>
      <c r="T3" s="30" t="s">
        <v>34</v>
      </c>
      <c r="U3" s="30" t="s">
        <v>68</v>
      </c>
      <c r="V3" s="30" t="s">
        <v>36</v>
      </c>
      <c r="W3" s="29" t="s">
        <v>111</v>
      </c>
      <c r="X3" s="29" t="s">
        <v>112</v>
      </c>
      <c r="Y3" s="31" t="s">
        <v>39</v>
      </c>
      <c r="Z3" s="31" t="s">
        <v>40</v>
      </c>
      <c r="AA3" s="31" t="s">
        <v>113</v>
      </c>
      <c r="AB3" s="31" t="s">
        <v>42</v>
      </c>
      <c r="AC3" s="31" t="s">
        <v>43</v>
      </c>
      <c r="AD3" s="31" t="s">
        <v>44</v>
      </c>
      <c r="AE3" s="31" t="s">
        <v>45</v>
      </c>
      <c r="AF3" s="31" t="s">
        <v>46</v>
      </c>
      <c r="AG3" s="31" t="s">
        <v>47</v>
      </c>
      <c r="AH3" s="31" t="s">
        <v>48</v>
      </c>
      <c r="AI3" s="31" t="s">
        <v>50</v>
      </c>
      <c r="AJ3" s="31" t="s">
        <v>51</v>
      </c>
      <c r="AK3" s="31" t="s">
        <v>52</v>
      </c>
      <c r="AL3" s="31" t="s">
        <v>53</v>
      </c>
      <c r="AM3" s="31" t="s">
        <v>54</v>
      </c>
      <c r="AN3" s="31" t="s">
        <v>55</v>
      </c>
      <c r="AO3" s="31" t="s">
        <v>114</v>
      </c>
      <c r="AP3" s="32" t="s">
        <v>58</v>
      </c>
      <c r="AQ3" s="32" t="s">
        <v>115</v>
      </c>
      <c r="AR3" s="32" t="s">
        <v>115</v>
      </c>
      <c r="AS3" s="32" t="s">
        <v>116</v>
      </c>
      <c r="AT3" s="32" t="s">
        <v>117</v>
      </c>
      <c r="AU3" s="32" t="s">
        <v>118</v>
      </c>
      <c r="AV3" s="32" t="s">
        <v>119</v>
      </c>
      <c r="AW3" s="32" t="s">
        <v>120</v>
      </c>
      <c r="AX3" s="32" t="s">
        <v>121</v>
      </c>
      <c r="AY3" s="32"/>
      <c r="AZ3" s="32" t="s">
        <v>122</v>
      </c>
      <c r="BA3" s="33"/>
    </row>
    <row r="4" ht="18" spans="1:54">
      <c r="A4" s="22" t="s">
        <v>98</v>
      </c>
      <c r="B4" s="22"/>
      <c r="C4" s="34"/>
      <c r="D4" s="34"/>
      <c r="E4" s="34"/>
      <c r="F4" s="34"/>
      <c r="G4" s="34"/>
      <c r="H4" s="35"/>
      <c r="I4" s="36"/>
      <c r="J4" s="37"/>
      <c r="K4" s="38"/>
      <c r="L4" s="39">
        <f>N62</f>
        <v>5.16</v>
      </c>
      <c r="M4" s="39">
        <v>4.8887</v>
      </c>
      <c r="N4" s="40">
        <v>0</v>
      </c>
      <c r="O4" s="41"/>
      <c r="P4" s="42">
        <f t="shared" ref="P4:V4" si="0">SUM(P6:P58)</f>
        <v>312306.4</v>
      </c>
      <c r="Q4" s="42">
        <f t="shared" si="0"/>
        <v>368521.552</v>
      </c>
      <c r="R4" s="43">
        <f t="shared" si="0"/>
        <v>56215.152</v>
      </c>
      <c r="S4" s="44">
        <f t="shared" si="0"/>
        <v>11276.7594912</v>
      </c>
      <c r="T4" s="43">
        <f t="shared" si="0"/>
        <v>11497.8724224</v>
      </c>
      <c r="U4" s="44">
        <f t="shared" si="0"/>
        <v>52956.5470224</v>
      </c>
      <c r="V4" s="44">
        <f t="shared" si="0"/>
        <v>56215.152</v>
      </c>
      <c r="W4" s="45"/>
      <c r="X4" s="45"/>
      <c r="Y4" s="46"/>
      <c r="Z4" s="46"/>
      <c r="AA4" s="46"/>
      <c r="AB4" s="46"/>
      <c r="AC4" s="46"/>
      <c r="AD4" s="46"/>
      <c r="AE4" s="46"/>
      <c r="AF4" s="46"/>
      <c r="AG4" s="47">
        <v>0.08</v>
      </c>
      <c r="AH4" s="48"/>
      <c r="AI4" s="46"/>
      <c r="AJ4" s="46"/>
      <c r="AK4" s="46"/>
      <c r="AL4" s="46"/>
      <c r="AM4" s="46"/>
      <c r="AN4" s="46"/>
      <c r="AO4" s="46"/>
      <c r="AP4" s="49"/>
      <c r="AQ4" s="49"/>
      <c r="AR4" s="49"/>
      <c r="AS4" s="49"/>
      <c r="AT4" s="49"/>
      <c r="AU4" s="49"/>
      <c r="AV4" s="49"/>
      <c r="AW4" s="49"/>
      <c r="AX4" s="49"/>
      <c r="AY4" s="49"/>
    </row>
    <row r="5" ht="18" spans="1:54">
      <c r="A5" s="5" t="s">
        <v>123</v>
      </c>
      <c r="B5" s="5"/>
      <c r="C5" s="50"/>
      <c r="D5" s="50"/>
      <c r="E5" s="50"/>
      <c r="F5" s="50"/>
      <c r="G5" s="50"/>
      <c r="H5" s="51"/>
      <c r="I5" s="52"/>
      <c r="J5" s="53"/>
      <c r="K5" s="54"/>
      <c r="L5" s="55">
        <f>SUM(L6:L58)</f>
        <v>294326.4</v>
      </c>
      <c r="M5" s="55"/>
      <c r="N5" s="56"/>
      <c r="O5" s="55">
        <f>SUM(O6:O58)</f>
        <v>17980</v>
      </c>
      <c r="P5" s="57"/>
      <c r="Q5" s="57"/>
      <c r="R5" s="58">
        <f>'LISTA DE COMPRAS'!E5</f>
        <v>0.18</v>
      </c>
      <c r="S5" s="58">
        <f>'LISTA DE COMPRAS'!F5</f>
        <v>0.0306</v>
      </c>
      <c r="T5" s="59">
        <f>'LISTA DE COMPRAS'!G5</f>
        <v>0.0312</v>
      </c>
      <c r="U5" s="60">
        <f>'LISTA DE COMPRAS'!H5</f>
        <v>0.1437</v>
      </c>
      <c r="V5" s="58">
        <f>'LISTA DE COMPRAS'!I5</f>
        <v>0.18</v>
      </c>
      <c r="W5" s="61">
        <f>SUM(W6:W58)</f>
        <v>188161.482936</v>
      </c>
      <c r="X5" s="61" t="e">
        <f>SUM(#REF!,X6)</f>
        <v>#REF!</v>
      </c>
      <c r="Y5" s="49">
        <f t="shared" ref="Y5:AG5" si="1">SUM(Y6:Y58)</f>
        <v>214.5</v>
      </c>
      <c r="Z5" s="49">
        <f t="shared" si="1"/>
        <v>490</v>
      </c>
      <c r="AA5" s="49">
        <f t="shared" si="1"/>
        <v>1547</v>
      </c>
      <c r="AB5" s="49">
        <f t="shared" si="1"/>
        <v>48</v>
      </c>
      <c r="AC5" s="49">
        <f t="shared" si="1"/>
        <v>122</v>
      </c>
      <c r="AD5" s="49">
        <f t="shared" si="1"/>
        <v>1072.94</v>
      </c>
      <c r="AE5" s="49">
        <f t="shared" si="1"/>
        <v>774.9</v>
      </c>
      <c r="AF5" s="49">
        <f t="shared" si="1"/>
        <v>29.8</v>
      </c>
      <c r="AG5" s="49">
        <f t="shared" si="1"/>
        <v>1438.4</v>
      </c>
      <c r="AH5" s="49">
        <f>SUM(AH6:AH6)</f>
        <v>0</v>
      </c>
      <c r="AI5" s="49">
        <f t="shared" ref="AI5:AO5" si="2">SUM(AI6:AI58)</f>
        <v>756.95</v>
      </c>
      <c r="AJ5" s="49">
        <f t="shared" si="2"/>
        <v>320.33</v>
      </c>
      <c r="AK5" s="49">
        <f t="shared" si="2"/>
        <v>117.45</v>
      </c>
      <c r="AL5" s="49">
        <f t="shared" si="2"/>
        <v>286</v>
      </c>
      <c r="AM5" s="49">
        <f t="shared" si="2"/>
        <v>6000</v>
      </c>
      <c r="AN5" s="49">
        <f t="shared" si="2"/>
        <v>2400</v>
      </c>
      <c r="AO5" s="49">
        <f t="shared" si="2"/>
        <v>15618.27</v>
      </c>
      <c r="AP5" s="49">
        <f>AO5+W5+P4</f>
        <v>516086.152936</v>
      </c>
      <c r="AQ5" s="49">
        <v>21877.4247962101</v>
      </c>
      <c r="AR5" s="49" t="e">
        <f>AO5+X5+Q4+#REF!</f>
        <v>#REF!</v>
      </c>
      <c r="AS5" s="49"/>
      <c r="AT5" s="49"/>
      <c r="AU5" s="49"/>
      <c r="AV5" s="49"/>
      <c r="AW5" s="49"/>
      <c r="AX5" s="49"/>
      <c r="AY5" s="49"/>
    </row>
    <row r="6" spans="1:54">
      <c r="A6" t="s">
        <v>123</v>
      </c>
      <c r="B6">
        <f>'LISTA DE COMPRAS'!A5</f>
        <v>1</v>
      </c>
      <c r="C6" s="21">
        <f>'LISTA DE COMPRAS'!C5</f>
        <v>2231832</v>
      </c>
      <c r="G6" s="62" t="str">
        <f>'LISTA DE COMPRAS'!D6</f>
        <v>8708-8000</v>
      </c>
      <c r="H6" s="1">
        <f>'LISTA DE COMPRAS'!J5</f>
        <v>100</v>
      </c>
      <c r="I6" s="63">
        <f>'LISTA DE COMPRAS'!P5</f>
        <v>0.0175438596491228</v>
      </c>
      <c r="J6" s="2">
        <f>'LISTA DE COMPRAS'!K5</f>
        <v>5.8</v>
      </c>
      <c r="K6" s="2">
        <f>H6*J6</f>
        <v>580</v>
      </c>
      <c r="L6" s="3">
        <f>K6*$L$4</f>
        <v>2992.8</v>
      </c>
      <c r="M6" s="3">
        <f>L6*50%</f>
        <v>1496.4</v>
      </c>
      <c r="N6" s="4">
        <f>$N$4*I6</f>
        <v>0</v>
      </c>
      <c r="O6" s="3">
        <f>'Rateio Custos Fixos'!E12</f>
        <v>217.258333333333</v>
      </c>
      <c r="P6" s="3">
        <f>SUM(L6,O6)</f>
        <v>3210.05833333333</v>
      </c>
      <c r="Q6" s="3">
        <f>P6+R6</f>
        <v>3787.86883333333</v>
      </c>
      <c r="R6" s="3">
        <f t="shared" ref="R6:R37" si="3">$P6*R$5</f>
        <v>577.8105</v>
      </c>
      <c r="S6" s="3">
        <f>$Q6*S$5</f>
        <v>115.9087863</v>
      </c>
      <c r="T6" s="3">
        <f>$Q6*T$5</f>
        <v>118.1815076</v>
      </c>
      <c r="U6" s="3">
        <f>$Q6*U$5</f>
        <v>544.31675135</v>
      </c>
      <c r="V6" s="3">
        <f t="shared" ref="V6:V21" si="4">$P6*V$5</f>
        <v>577.8105</v>
      </c>
      <c r="W6" s="3">
        <f>SUM(R6:V6)</f>
        <v>1934.02804525</v>
      </c>
      <c r="X6" s="3">
        <f>SUM(R11:V11)</f>
        <v>3834.710779375</v>
      </c>
      <c r="Y6" s="3">
        <f>'Rateio Custos Fixos'!F12</f>
        <v>2.591875</v>
      </c>
      <c r="Z6" s="3">
        <f>'Rateio Custos Fixos'!G12</f>
        <v>5.92083333333333</v>
      </c>
      <c r="AA6" s="3">
        <f>'Rateio Custos Fixos'!H12</f>
        <v>18.6929166666667</v>
      </c>
      <c r="AB6" s="3">
        <f>'Rateio Custos Fixos'!I12</f>
        <v>0.58</v>
      </c>
      <c r="AC6" s="3">
        <f>'Rateio Custos Fixos'!J12</f>
        <v>1.47416666666667</v>
      </c>
      <c r="AD6" s="3">
        <f>'Rateio Custos Fixos'!K12</f>
        <v>12.9646916666667</v>
      </c>
      <c r="AE6" s="3">
        <f>'Rateio Custos Fixos'!L12</f>
        <v>9.363375</v>
      </c>
      <c r="AF6" s="3">
        <f>'Rateio Custos Fixos'!M12</f>
        <v>0.360083333333333</v>
      </c>
      <c r="AG6" s="3">
        <f>'Rateio Custos Fixos'!N12</f>
        <v>17.3806666666667</v>
      </c>
      <c r="AH6" s="3">
        <f>'Rateio Custos Fixos'!O12</f>
        <v>0</v>
      </c>
      <c r="AI6" s="3">
        <f>'Rateio Custos Fixos'!P12</f>
        <v>9.14647916666667</v>
      </c>
      <c r="AJ6" s="3">
        <f>'Rateio Custos Fixos'!Q12</f>
        <v>3.87065416666667</v>
      </c>
      <c r="AK6" s="3">
        <f>'Rateio Custos Fixos'!R12</f>
        <v>1.4191875</v>
      </c>
      <c r="AL6" s="3">
        <f>'Rateio Custos Fixos'!S12</f>
        <v>3.45583333333333</v>
      </c>
      <c r="AM6" s="3">
        <f>'Rateio Custos Fixos'!T12</f>
        <v>72.5</v>
      </c>
      <c r="AN6" s="3">
        <f>'Rateio Custos Fixos'!U12</f>
        <v>29</v>
      </c>
      <c r="AO6" s="3">
        <f>SUM(Y6:AN6)</f>
        <v>188.7207625</v>
      </c>
      <c r="AP6" s="3">
        <f>AO6+W6+P6</f>
        <v>5332.80714108333</v>
      </c>
      <c r="AQ6" s="3">
        <v>2595.31661701474</v>
      </c>
      <c r="AR6" s="3">
        <f>AO6+X6+P6</f>
        <v>7233.48987520833</v>
      </c>
      <c r="AS6" s="3">
        <f>(AP6/H6)</f>
        <v>53.3280714108333</v>
      </c>
      <c r="AT6" s="3">
        <f>AR6/H6</f>
        <v>72.3348987520833</v>
      </c>
      <c r="AU6" s="3">
        <f>AP6/H6</f>
        <v>53.3280714108333</v>
      </c>
      <c r="AV6" s="3" t="e">
        <f>(AR6*#REF!)/'Est. Cust. Naci.'!H6</f>
        <v>#REF!</v>
      </c>
      <c r="AW6" s="3">
        <f>(J6*9)</f>
        <v>52.2</v>
      </c>
      <c r="AX6" s="3">
        <f>AW6/2</f>
        <v>26.1</v>
      </c>
      <c r="AY6" s="64"/>
      <c r="AZ6" s="3">
        <f>AP6/H6</f>
        <v>53.3280714108333</v>
      </c>
      <c r="BB6" s="2"/>
    </row>
    <row r="7" spans="1:54">
      <c r="B7">
        <f>'LISTA DE COMPRAS'!A6</f>
        <v>2</v>
      </c>
      <c r="C7" s="21">
        <f>'LISTA DE COMPRAS'!C6</f>
        <v>1384624</v>
      </c>
      <c r="G7" s="62" t="str">
        <f>'LISTA DE COMPRAS'!D7</f>
        <v>8708-8000</v>
      </c>
      <c r="H7" s="1">
        <f>'LISTA DE COMPRAS'!J6</f>
        <v>300</v>
      </c>
      <c r="I7" s="63">
        <f>'LISTA DE COMPRAS'!P6</f>
        <v>0.0526315789473684</v>
      </c>
      <c r="J7" s="2">
        <f>'LISTA DE COMPRAS'!K6</f>
        <v>2.1</v>
      </c>
      <c r="K7" s="2">
        <f t="shared" ref="K7:K58" si="5">H7*J7</f>
        <v>630</v>
      </c>
      <c r="L7" s="3">
        <f t="shared" ref="L7:L58" si="6">K7*$L$4</f>
        <v>3250.8</v>
      </c>
      <c r="M7" s="3">
        <f t="shared" ref="M7:M58" si="7">L7*50%</f>
        <v>1625.4</v>
      </c>
      <c r="N7" s="4">
        <f t="shared" ref="N7:N58" si="8">$N$4*I7</f>
        <v>0</v>
      </c>
      <c r="O7" s="3">
        <f>'Rateio Custos Fixos'!E13</f>
        <v>78.6625</v>
      </c>
      <c r="P7" s="3">
        <f t="shared" ref="P7:P58" si="9">SUM(L7,O7)</f>
        <v>3329.4625</v>
      </c>
      <c r="Q7" s="3">
        <f t="shared" ref="Q7:Q58" si="10">P7+R7</f>
        <v>3928.76575</v>
      </c>
      <c r="R7" s="3">
        <f t="shared" si="3"/>
        <v>599.30325</v>
      </c>
      <c r="S7" s="3">
        <f t="shared" ref="S7:S58" si="11">$Q7*S$5</f>
        <v>120.22023195</v>
      </c>
      <c r="T7" s="3">
        <f t="shared" ref="T7:U38" si="12">$Q7*T$5</f>
        <v>122.5774914</v>
      </c>
      <c r="U7" s="3">
        <f t="shared" si="12"/>
        <v>564.563638275</v>
      </c>
      <c r="V7" s="3">
        <f t="shared" si="4"/>
        <v>599.30325</v>
      </c>
      <c r="W7" s="3">
        <f t="shared" ref="W7:W58" si="13">SUM(R7:V7)</f>
        <v>2005.967861625</v>
      </c>
      <c r="X7" s="3">
        <f t="shared" ref="X7:X53" si="14">SUM(R12:V12)</f>
        <v>3834.710779375</v>
      </c>
      <c r="Y7" s="3">
        <f>'Rateio Custos Fixos'!F13</f>
        <v>0.9384375</v>
      </c>
      <c r="Z7" s="3">
        <f>'Rateio Custos Fixos'!G13</f>
        <v>2.14375</v>
      </c>
      <c r="AA7" s="3">
        <f>'Rateio Custos Fixos'!H13</f>
        <v>6.768125</v>
      </c>
      <c r="AB7" s="3">
        <f>'Rateio Custos Fixos'!I13</f>
        <v>0.21</v>
      </c>
      <c r="AC7" s="3">
        <f>'Rateio Custos Fixos'!J13</f>
        <v>0.53375</v>
      </c>
      <c r="AD7" s="3">
        <f>'Rateio Custos Fixos'!K13</f>
        <v>4.6941125</v>
      </c>
      <c r="AE7" s="3">
        <f>'Rateio Custos Fixos'!L13</f>
        <v>3.3901875</v>
      </c>
      <c r="AF7" s="3">
        <f>'Rateio Custos Fixos'!M13</f>
        <v>0.130375</v>
      </c>
      <c r="AG7" s="3">
        <f>'Rateio Custos Fixos'!N13</f>
        <v>6.293</v>
      </c>
      <c r="AH7" s="3">
        <f>'Rateio Custos Fixos'!O13</f>
        <v>0</v>
      </c>
      <c r="AI7" s="3">
        <f>'Rateio Custos Fixos'!P13</f>
        <v>3.31165625</v>
      </c>
      <c r="AJ7" s="3">
        <f>'Rateio Custos Fixos'!Q13</f>
        <v>1.40144375</v>
      </c>
      <c r="AK7" s="3">
        <f>'Rateio Custos Fixos'!R13</f>
        <v>0.51384375</v>
      </c>
      <c r="AL7" s="3">
        <f>'Rateio Custos Fixos'!S13</f>
        <v>1.25125</v>
      </c>
      <c r="AM7" s="3">
        <f>'Rateio Custos Fixos'!T13</f>
        <v>26.25</v>
      </c>
      <c r="AN7" s="3">
        <f>'Rateio Custos Fixos'!U13</f>
        <v>10.5</v>
      </c>
      <c r="AO7" s="3">
        <f t="shared" ref="AO7:AO58" si="15">SUM(Y7:AN7)</f>
        <v>68.32993125</v>
      </c>
      <c r="AP7" s="3">
        <f t="shared" ref="AP7:AP58" si="16">AO7+W7+P7</f>
        <v>5403.760292875</v>
      </c>
      <c r="AQ7" s="3">
        <v>2596.31661701474</v>
      </c>
      <c r="AR7" s="3">
        <f t="shared" ref="AR7:AR58" si="17">AO7+X7+P7</f>
        <v>7232.503210625</v>
      </c>
      <c r="AS7" s="3">
        <f t="shared" ref="AS7:AS58" si="18">(AP7/H7)</f>
        <v>18.0125343095833</v>
      </c>
      <c r="AT7" s="3">
        <f t="shared" ref="AT7:AT58" si="19">AR7/H7</f>
        <v>24.1083440354167</v>
      </c>
      <c r="AU7" s="3">
        <f t="shared" ref="AU7:AU58" si="20">AP7/H7</f>
        <v>18.0125343095833</v>
      </c>
      <c r="AV7" s="3" t="e">
        <f>(AR7*#REF!)/'Est. Cust. Naci.'!H7</f>
        <v>#REF!</v>
      </c>
      <c r="AW7" s="3">
        <f t="shared" ref="AW7:AW58" si="21">(J7*9)</f>
        <v>18.9</v>
      </c>
      <c r="AX7" s="64"/>
      <c r="AZ7" t="s">
        <v>124</v>
      </c>
    </row>
    <row r="8" spans="1:54">
      <c r="B8">
        <f>'LISTA DE COMPRAS'!A7</f>
        <v>3</v>
      </c>
      <c r="C8" s="21">
        <f>'LISTA DE COMPRAS'!C7</f>
        <v>1515117</v>
      </c>
      <c r="G8" s="62" t="str">
        <f>'LISTA DE COMPRAS'!D8</f>
        <v>8708-8000</v>
      </c>
      <c r="H8" s="1">
        <f>'LISTA DE COMPRAS'!J7</f>
        <v>300</v>
      </c>
      <c r="I8" s="63">
        <f>'LISTA DE COMPRAS'!P7</f>
        <v>0.0526315789473684</v>
      </c>
      <c r="J8" s="2">
        <f>'LISTA DE COMPRAS'!K7</f>
        <v>10</v>
      </c>
      <c r="K8" s="2">
        <f t="shared" si="5"/>
        <v>3000</v>
      </c>
      <c r="L8" s="3">
        <f t="shared" si="6"/>
        <v>15480</v>
      </c>
      <c r="M8" s="3">
        <f t="shared" si="7"/>
        <v>7740</v>
      </c>
      <c r="N8" s="4">
        <f t="shared" si="8"/>
        <v>0</v>
      </c>
      <c r="O8" s="3">
        <f>'Rateio Custos Fixos'!E14</f>
        <v>374.583333333333</v>
      </c>
      <c r="P8" s="3">
        <f t="shared" si="9"/>
        <v>15854.5833333333</v>
      </c>
      <c r="Q8" s="3">
        <f t="shared" si="10"/>
        <v>18708.4083333333</v>
      </c>
      <c r="R8" s="3">
        <f t="shared" si="3"/>
        <v>2853.825</v>
      </c>
      <c r="S8" s="3">
        <f t="shared" si="11"/>
        <v>572.477295</v>
      </c>
      <c r="T8" s="3">
        <f t="shared" si="12"/>
        <v>583.70234</v>
      </c>
      <c r="U8" s="3">
        <f t="shared" si="12"/>
        <v>2688.3982775</v>
      </c>
      <c r="V8" s="3">
        <f t="shared" si="4"/>
        <v>2853.825</v>
      </c>
      <c r="W8" s="3">
        <f t="shared" si="13"/>
        <v>9552.2279125</v>
      </c>
      <c r="X8" s="3">
        <f t="shared" si="14"/>
        <v>0</v>
      </c>
      <c r="Y8" s="3">
        <f>'Rateio Custos Fixos'!F14</f>
        <v>4.46875</v>
      </c>
      <c r="Z8" s="3">
        <f>'Rateio Custos Fixos'!G14</f>
        <v>10.2083333333333</v>
      </c>
      <c r="AA8" s="3">
        <f>'Rateio Custos Fixos'!H14</f>
        <v>32.2291666666667</v>
      </c>
      <c r="AB8" s="3">
        <f>'Rateio Custos Fixos'!I14</f>
        <v>1</v>
      </c>
      <c r="AC8" s="3">
        <f>'Rateio Custos Fixos'!J14</f>
        <v>2.54166666666667</v>
      </c>
      <c r="AD8" s="3">
        <f>'Rateio Custos Fixos'!K14</f>
        <v>22.3529166666667</v>
      </c>
      <c r="AE8" s="3">
        <f>'Rateio Custos Fixos'!L14</f>
        <v>16.14375</v>
      </c>
      <c r="AF8" s="3">
        <f>'Rateio Custos Fixos'!M14</f>
        <v>0.620833333333333</v>
      </c>
      <c r="AG8" s="3">
        <f>'Rateio Custos Fixos'!N14</f>
        <v>29.9666666666667</v>
      </c>
      <c r="AH8" s="3">
        <f>'Rateio Custos Fixos'!O14</f>
        <v>0</v>
      </c>
      <c r="AI8" s="3">
        <f>'Rateio Custos Fixos'!P14</f>
        <v>15.7697916666667</v>
      </c>
      <c r="AJ8" s="3">
        <f>'Rateio Custos Fixos'!Q14</f>
        <v>6.67354166666667</v>
      </c>
      <c r="AK8" s="3">
        <f>'Rateio Custos Fixos'!R14</f>
        <v>2.446875</v>
      </c>
      <c r="AL8" s="3">
        <f>'Rateio Custos Fixos'!S14</f>
        <v>5.95833333333333</v>
      </c>
      <c r="AM8" s="3">
        <f>'Rateio Custos Fixos'!T14</f>
        <v>125</v>
      </c>
      <c r="AN8" s="3">
        <f>'Rateio Custos Fixos'!U14</f>
        <v>50</v>
      </c>
      <c r="AO8" s="3">
        <f t="shared" si="15"/>
        <v>325.380625</v>
      </c>
      <c r="AP8" s="3">
        <f t="shared" si="16"/>
        <v>25732.1918708333</v>
      </c>
      <c r="AQ8" s="3">
        <v>2597.31661701474</v>
      </c>
      <c r="AR8" s="3">
        <f t="shared" si="17"/>
        <v>16179.9639583333</v>
      </c>
      <c r="AS8" s="3">
        <f t="shared" si="18"/>
        <v>85.7739729027778</v>
      </c>
      <c r="AT8" s="3">
        <f t="shared" si="19"/>
        <v>53.9332131944444</v>
      </c>
      <c r="AU8" s="3">
        <f t="shared" si="20"/>
        <v>85.7739729027778</v>
      </c>
      <c r="AV8" s="3" t="e">
        <f>(AR8*#REF!)/'Est. Cust. Naci.'!H8</f>
        <v>#REF!</v>
      </c>
      <c r="AW8" s="3">
        <f t="shared" si="21"/>
        <v>90</v>
      </c>
      <c r="AX8" s="64"/>
    </row>
    <row r="9" spans="1:54">
      <c r="B9">
        <f>'LISTA DE COMPRAS'!A8</f>
        <v>4</v>
      </c>
      <c r="C9" s="21">
        <f>'LISTA DE COMPRAS'!C8</f>
        <v>1515118</v>
      </c>
      <c r="G9" s="62" t="str">
        <f>'LISTA DE COMPRAS'!D9</f>
        <v>8708-8000</v>
      </c>
      <c r="H9" s="1">
        <f>'LISTA DE COMPRAS'!J8</f>
        <v>300</v>
      </c>
      <c r="I9" s="63">
        <f>'LISTA DE COMPRAS'!P8</f>
        <v>0.0526315789473684</v>
      </c>
      <c r="J9" s="2">
        <f>'LISTA DE COMPRAS'!K8</f>
        <v>10</v>
      </c>
      <c r="K9" s="2">
        <f t="shared" si="5"/>
        <v>3000</v>
      </c>
      <c r="L9" s="3">
        <f t="shared" si="6"/>
        <v>15480</v>
      </c>
      <c r="M9" s="3">
        <f t="shared" si="7"/>
        <v>7740</v>
      </c>
      <c r="N9" s="4">
        <f t="shared" si="8"/>
        <v>0</v>
      </c>
      <c r="O9" s="3">
        <f>'Rateio Custos Fixos'!E15</f>
        <v>374.583333333333</v>
      </c>
      <c r="P9" s="3">
        <f t="shared" si="9"/>
        <v>15854.5833333333</v>
      </c>
      <c r="Q9" s="3">
        <f t="shared" si="10"/>
        <v>18708.4083333333</v>
      </c>
      <c r="R9" s="3">
        <f t="shared" si="3"/>
        <v>2853.825</v>
      </c>
      <c r="S9" s="3">
        <f t="shared" si="11"/>
        <v>572.477295</v>
      </c>
      <c r="T9" s="3">
        <f t="shared" si="12"/>
        <v>583.70234</v>
      </c>
      <c r="U9" s="3">
        <f t="shared" si="12"/>
        <v>2688.3982775</v>
      </c>
      <c r="V9" s="3">
        <f t="shared" si="4"/>
        <v>2853.825</v>
      </c>
      <c r="W9" s="3">
        <f t="shared" si="13"/>
        <v>9552.2279125</v>
      </c>
      <c r="X9" s="3">
        <f t="shared" si="14"/>
        <v>3601.2936015</v>
      </c>
      <c r="Y9" s="3">
        <f>'Rateio Custos Fixos'!F15</f>
        <v>4.46875</v>
      </c>
      <c r="Z9" s="3">
        <f>'Rateio Custos Fixos'!G15</f>
        <v>10.2083333333333</v>
      </c>
      <c r="AA9" s="3">
        <f>'Rateio Custos Fixos'!H15</f>
        <v>32.2291666666667</v>
      </c>
      <c r="AB9" s="3">
        <f>'Rateio Custos Fixos'!I15</f>
        <v>1</v>
      </c>
      <c r="AC9" s="3">
        <f>'Rateio Custos Fixos'!J15</f>
        <v>2.54166666666667</v>
      </c>
      <c r="AD9" s="3">
        <f>'Rateio Custos Fixos'!K15</f>
        <v>22.3529166666667</v>
      </c>
      <c r="AE9" s="3">
        <f>'Rateio Custos Fixos'!L15</f>
        <v>16.14375</v>
      </c>
      <c r="AF9" s="3">
        <f>'Rateio Custos Fixos'!M15</f>
        <v>0.620833333333333</v>
      </c>
      <c r="AG9" s="3">
        <f>'Rateio Custos Fixos'!N15</f>
        <v>29.9666666666667</v>
      </c>
      <c r="AH9" s="3">
        <f>'Rateio Custos Fixos'!O15</f>
        <v>0</v>
      </c>
      <c r="AI9" s="3">
        <f>'Rateio Custos Fixos'!P15</f>
        <v>15.7697916666667</v>
      </c>
      <c r="AJ9" s="3">
        <f>'Rateio Custos Fixos'!Q15</f>
        <v>6.67354166666667</v>
      </c>
      <c r="AK9" s="3">
        <f>'Rateio Custos Fixos'!R15</f>
        <v>2.446875</v>
      </c>
      <c r="AL9" s="3">
        <f>'Rateio Custos Fixos'!S15</f>
        <v>5.95833333333333</v>
      </c>
      <c r="AM9" s="3">
        <f>'Rateio Custos Fixos'!T15</f>
        <v>125</v>
      </c>
      <c r="AN9" s="3">
        <f>'Rateio Custos Fixos'!U15</f>
        <v>50</v>
      </c>
      <c r="AO9" s="3">
        <f t="shared" si="15"/>
        <v>325.380625</v>
      </c>
      <c r="AP9" s="3">
        <f t="shared" si="16"/>
        <v>25732.1918708333</v>
      </c>
      <c r="AQ9" s="3">
        <v>2598.31661701474</v>
      </c>
      <c r="AR9" s="3">
        <f t="shared" si="17"/>
        <v>19781.2575598333</v>
      </c>
      <c r="AS9" s="3">
        <f t="shared" si="18"/>
        <v>85.7739729027778</v>
      </c>
      <c r="AT9" s="3">
        <f t="shared" si="19"/>
        <v>65.9375251994445</v>
      </c>
      <c r="AU9" s="3">
        <f t="shared" si="20"/>
        <v>85.7739729027778</v>
      </c>
      <c r="AV9" s="3" t="e">
        <f>(AR9*#REF!)/'Est. Cust. Naci.'!H9</f>
        <v>#REF!</v>
      </c>
      <c r="AW9" s="3">
        <f t="shared" si="21"/>
        <v>90</v>
      </c>
      <c r="AX9" s="64"/>
    </row>
    <row r="10" spans="1:54">
      <c r="B10">
        <f>'LISTA DE COMPRAS'!A9</f>
        <v>5</v>
      </c>
      <c r="C10" s="21">
        <f>'LISTA DE COMPRAS'!C9</f>
        <v>1777207</v>
      </c>
      <c r="G10" s="62" t="str">
        <f>'LISTA DE COMPRAS'!D10</f>
        <v>8708-8000</v>
      </c>
      <c r="H10" s="1">
        <f>'LISTA DE COMPRAS'!J9</f>
        <v>300</v>
      </c>
      <c r="I10" s="63">
        <f>'LISTA DE COMPRAS'!P9</f>
        <v>0.0526315789473684</v>
      </c>
      <c r="J10" s="2">
        <f>'LISTA DE COMPRAS'!K9</f>
        <v>10</v>
      </c>
      <c r="K10" s="2">
        <f t="shared" si="5"/>
        <v>3000</v>
      </c>
      <c r="L10" s="3">
        <f t="shared" si="6"/>
        <v>15480</v>
      </c>
      <c r="M10" s="3">
        <f t="shared" si="7"/>
        <v>7740</v>
      </c>
      <c r="N10" s="4">
        <f t="shared" si="8"/>
        <v>0</v>
      </c>
      <c r="O10" s="3">
        <f>'Rateio Custos Fixos'!E16</f>
        <v>374.583333333333</v>
      </c>
      <c r="P10" s="3">
        <f t="shared" si="9"/>
        <v>15854.5833333333</v>
      </c>
      <c r="Q10" s="3">
        <f t="shared" si="10"/>
        <v>18708.4083333333</v>
      </c>
      <c r="R10" s="3">
        <f t="shared" si="3"/>
        <v>2853.825</v>
      </c>
      <c r="S10" s="3">
        <f t="shared" si="11"/>
        <v>572.477295</v>
      </c>
      <c r="T10" s="3">
        <f t="shared" si="12"/>
        <v>583.70234</v>
      </c>
      <c r="U10" s="3">
        <f t="shared" si="12"/>
        <v>2688.3982775</v>
      </c>
      <c r="V10" s="3">
        <f t="shared" si="4"/>
        <v>2853.825</v>
      </c>
      <c r="W10" s="3">
        <f t="shared" si="13"/>
        <v>9552.2279125</v>
      </c>
      <c r="X10" s="3">
        <f t="shared" si="14"/>
        <v>3601.2936015</v>
      </c>
      <c r="Y10" s="3">
        <f>'Rateio Custos Fixos'!F16</f>
        <v>4.46875</v>
      </c>
      <c r="Z10" s="3">
        <f>'Rateio Custos Fixos'!G16</f>
        <v>10.2083333333333</v>
      </c>
      <c r="AA10" s="3">
        <f>'Rateio Custos Fixos'!H16</f>
        <v>32.2291666666667</v>
      </c>
      <c r="AB10" s="3">
        <f>'Rateio Custos Fixos'!I16</f>
        <v>1</v>
      </c>
      <c r="AC10" s="3">
        <f>'Rateio Custos Fixos'!J16</f>
        <v>2.54166666666667</v>
      </c>
      <c r="AD10" s="3">
        <f>'Rateio Custos Fixos'!K16</f>
        <v>22.3529166666667</v>
      </c>
      <c r="AE10" s="3">
        <f>'Rateio Custos Fixos'!L16</f>
        <v>16.14375</v>
      </c>
      <c r="AF10" s="3">
        <f>'Rateio Custos Fixos'!M16</f>
        <v>0.620833333333333</v>
      </c>
      <c r="AG10" s="3">
        <f>'Rateio Custos Fixos'!N16</f>
        <v>29.9666666666667</v>
      </c>
      <c r="AH10" s="3">
        <f>'Rateio Custos Fixos'!O16</f>
        <v>0</v>
      </c>
      <c r="AI10" s="3">
        <f>'Rateio Custos Fixos'!P16</f>
        <v>15.7697916666667</v>
      </c>
      <c r="AJ10" s="3">
        <f>'Rateio Custos Fixos'!Q16</f>
        <v>6.67354166666667</v>
      </c>
      <c r="AK10" s="3">
        <f>'Rateio Custos Fixos'!R16</f>
        <v>2.446875</v>
      </c>
      <c r="AL10" s="3">
        <f>'Rateio Custos Fixos'!S16</f>
        <v>5.95833333333333</v>
      </c>
      <c r="AM10" s="3">
        <f>'Rateio Custos Fixos'!T16</f>
        <v>125</v>
      </c>
      <c r="AN10" s="3">
        <f>'Rateio Custos Fixos'!U16</f>
        <v>50</v>
      </c>
      <c r="AO10" s="3">
        <f t="shared" si="15"/>
        <v>325.380625</v>
      </c>
      <c r="AP10" s="3">
        <f t="shared" si="16"/>
        <v>25732.1918708333</v>
      </c>
      <c r="AQ10" s="3">
        <v>2599.31661701474</v>
      </c>
      <c r="AR10" s="3">
        <f t="shared" si="17"/>
        <v>19781.2575598333</v>
      </c>
      <c r="AS10" s="3">
        <f t="shared" si="18"/>
        <v>85.7739729027778</v>
      </c>
      <c r="AT10" s="3">
        <f t="shared" si="19"/>
        <v>65.9375251994445</v>
      </c>
      <c r="AU10" s="3">
        <f t="shared" si="20"/>
        <v>85.7739729027778</v>
      </c>
      <c r="AV10" s="3" t="e">
        <f>(AR10*#REF!)/'Est. Cust. Naci.'!H10</f>
        <v>#REF!</v>
      </c>
      <c r="AW10" s="3">
        <f t="shared" si="21"/>
        <v>90</v>
      </c>
      <c r="AX10" s="64"/>
    </row>
    <row r="11" spans="1:54">
      <c r="B11">
        <f>'LISTA DE COMPRAS'!A10</f>
        <v>6</v>
      </c>
      <c r="C11" s="21" t="str">
        <f>'LISTA DE COMPRAS'!C10</f>
        <v>1349840.1</v>
      </c>
      <c r="G11" s="62" t="str">
        <f>'LISTA DE COMPRAS'!D11</f>
        <v>8708-8000</v>
      </c>
      <c r="H11" s="1">
        <f>'LISTA DE COMPRAS'!J10</f>
        <v>100</v>
      </c>
      <c r="I11" s="63">
        <f>'LISTA DE COMPRAS'!P10</f>
        <v>0.0175438596491228</v>
      </c>
      <c r="J11" s="2">
        <f>'LISTA DE COMPRAS'!K10</f>
        <v>11.5</v>
      </c>
      <c r="K11" s="2">
        <f t="shared" si="5"/>
        <v>1150</v>
      </c>
      <c r="L11" s="3">
        <f t="shared" si="6"/>
        <v>5934</v>
      </c>
      <c r="M11" s="3">
        <f t="shared" si="7"/>
        <v>2967</v>
      </c>
      <c r="N11" s="4">
        <f t="shared" si="8"/>
        <v>0</v>
      </c>
      <c r="O11" s="3">
        <f>'Rateio Custos Fixos'!E17</f>
        <v>430.770833333333</v>
      </c>
      <c r="P11" s="3">
        <f t="shared" si="9"/>
        <v>6364.77083333333</v>
      </c>
      <c r="Q11" s="3">
        <f t="shared" si="10"/>
        <v>7510.42958333333</v>
      </c>
      <c r="R11" s="3">
        <f t="shared" si="3"/>
        <v>1145.65875</v>
      </c>
      <c r="S11" s="3">
        <f t="shared" si="11"/>
        <v>229.81914525</v>
      </c>
      <c r="T11" s="3">
        <f t="shared" si="12"/>
        <v>234.325403</v>
      </c>
      <c r="U11" s="3">
        <f t="shared" si="12"/>
        <v>1079.248731125</v>
      </c>
      <c r="V11" s="3">
        <f t="shared" si="4"/>
        <v>1145.65875</v>
      </c>
      <c r="W11" s="3">
        <f t="shared" si="13"/>
        <v>3834.710779375</v>
      </c>
      <c r="X11" s="3">
        <f t="shared" si="14"/>
        <v>2534.2436455</v>
      </c>
      <c r="Y11" s="3">
        <f>'Rateio Custos Fixos'!F17</f>
        <v>5.1390625</v>
      </c>
      <c r="Z11" s="3">
        <f>'Rateio Custos Fixos'!G17</f>
        <v>11.7395833333333</v>
      </c>
      <c r="AA11" s="3">
        <f>'Rateio Custos Fixos'!H17</f>
        <v>37.0635416666667</v>
      </c>
      <c r="AB11" s="3">
        <f>'Rateio Custos Fixos'!I17</f>
        <v>1.15</v>
      </c>
      <c r="AC11" s="3">
        <f>'Rateio Custos Fixos'!J17</f>
        <v>2.92291666666667</v>
      </c>
      <c r="AD11" s="3">
        <f>'Rateio Custos Fixos'!K17</f>
        <v>25.7058541666667</v>
      </c>
      <c r="AE11" s="3">
        <f>'Rateio Custos Fixos'!L17</f>
        <v>18.5653125</v>
      </c>
      <c r="AF11" s="3">
        <f>'Rateio Custos Fixos'!M17</f>
        <v>0.713958333333333</v>
      </c>
      <c r="AG11" s="3">
        <f>'Rateio Custos Fixos'!N17</f>
        <v>34.4616666666667</v>
      </c>
      <c r="AH11" s="3">
        <f>'Rateio Custos Fixos'!O17</f>
        <v>0</v>
      </c>
      <c r="AI11" s="3">
        <f>'Rateio Custos Fixos'!P17</f>
        <v>18.1352604166667</v>
      </c>
      <c r="AJ11" s="3">
        <f>'Rateio Custos Fixos'!Q17</f>
        <v>7.67457291666667</v>
      </c>
      <c r="AK11" s="3">
        <f>'Rateio Custos Fixos'!R17</f>
        <v>2.81390625</v>
      </c>
      <c r="AL11" s="3">
        <f>'Rateio Custos Fixos'!S17</f>
        <v>6.85208333333333</v>
      </c>
      <c r="AM11" s="3">
        <f>'Rateio Custos Fixos'!T17</f>
        <v>143.75</v>
      </c>
      <c r="AN11" s="3">
        <f>'Rateio Custos Fixos'!U17</f>
        <v>57.5</v>
      </c>
      <c r="AO11" s="3">
        <f t="shared" si="15"/>
        <v>374.18771875</v>
      </c>
      <c r="AP11" s="3">
        <f t="shared" si="16"/>
        <v>10573.6693314583</v>
      </c>
      <c r="AQ11" s="3">
        <v>2600.31661701474</v>
      </c>
      <c r="AR11" s="3">
        <f t="shared" si="17"/>
        <v>9273.20219758333</v>
      </c>
      <c r="AS11" s="3">
        <f t="shared" si="18"/>
        <v>105.736693314583</v>
      </c>
      <c r="AT11" s="3">
        <f t="shared" si="19"/>
        <v>92.7320219758333</v>
      </c>
      <c r="AU11" s="3">
        <f t="shared" si="20"/>
        <v>105.736693314583</v>
      </c>
      <c r="AV11" s="3" t="e">
        <f>(AR11*#REF!)/'Est. Cust. Naci.'!H11</f>
        <v>#REF!</v>
      </c>
      <c r="AW11" s="3">
        <f t="shared" si="21"/>
        <v>103.5</v>
      </c>
      <c r="AX11" s="64"/>
    </row>
    <row r="12" spans="1:54">
      <c r="B12">
        <f>'LISTA DE COMPRAS'!A11</f>
        <v>7</v>
      </c>
      <c r="C12" s="21" t="str">
        <f>'LISTA DE COMPRAS'!C11</f>
        <v>1349840.2</v>
      </c>
      <c r="G12" s="62" t="str">
        <f>'LISTA DE COMPRAS'!D12</f>
        <v>8708-8000</v>
      </c>
      <c r="H12" s="1">
        <f>'LISTA DE COMPRAS'!J11</f>
        <v>100</v>
      </c>
      <c r="I12" s="63">
        <f>'LISTA DE COMPRAS'!P11</f>
        <v>0.0175438596491228</v>
      </c>
      <c r="J12" s="2">
        <f>'LISTA DE COMPRAS'!K11</f>
        <v>11.5</v>
      </c>
      <c r="K12" s="2">
        <f t="shared" si="5"/>
        <v>1150</v>
      </c>
      <c r="L12" s="3">
        <f t="shared" si="6"/>
        <v>5934</v>
      </c>
      <c r="M12" s="3">
        <f t="shared" si="7"/>
        <v>2967</v>
      </c>
      <c r="N12" s="4">
        <f t="shared" si="8"/>
        <v>0</v>
      </c>
      <c r="O12" s="3">
        <f>'Rateio Custos Fixos'!E18</f>
        <v>430.770833333333</v>
      </c>
      <c r="P12" s="3">
        <f t="shared" si="9"/>
        <v>6364.77083333333</v>
      </c>
      <c r="Q12" s="3">
        <f t="shared" si="10"/>
        <v>7510.42958333333</v>
      </c>
      <c r="R12" s="3">
        <f t="shared" si="3"/>
        <v>1145.65875</v>
      </c>
      <c r="S12" s="3">
        <f t="shared" si="11"/>
        <v>229.81914525</v>
      </c>
      <c r="T12" s="3">
        <f t="shared" si="12"/>
        <v>234.325403</v>
      </c>
      <c r="U12" s="3">
        <f t="shared" si="12"/>
        <v>1079.248731125</v>
      </c>
      <c r="V12" s="3">
        <f t="shared" si="4"/>
        <v>1145.65875</v>
      </c>
      <c r="W12" s="3">
        <f t="shared" si="13"/>
        <v>3834.710779375</v>
      </c>
      <c r="X12" s="3">
        <f t="shared" si="14"/>
        <v>4801.724802</v>
      </c>
      <c r="Y12" s="3">
        <f>'Rateio Custos Fixos'!F18</f>
        <v>5.1390625</v>
      </c>
      <c r="Z12" s="3">
        <f>'Rateio Custos Fixos'!G18</f>
        <v>11.7395833333333</v>
      </c>
      <c r="AA12" s="3">
        <f>'Rateio Custos Fixos'!H18</f>
        <v>37.0635416666667</v>
      </c>
      <c r="AB12" s="3">
        <f>'Rateio Custos Fixos'!I18</f>
        <v>1.15</v>
      </c>
      <c r="AC12" s="3">
        <f>'Rateio Custos Fixos'!J18</f>
        <v>2.92291666666667</v>
      </c>
      <c r="AD12" s="3">
        <f>'Rateio Custos Fixos'!K18</f>
        <v>25.7058541666667</v>
      </c>
      <c r="AE12" s="3">
        <f>'Rateio Custos Fixos'!L18</f>
        <v>18.5653125</v>
      </c>
      <c r="AF12" s="3">
        <f>'Rateio Custos Fixos'!M18</f>
        <v>0.713958333333333</v>
      </c>
      <c r="AG12" s="3">
        <f>'Rateio Custos Fixos'!N18</f>
        <v>34.4616666666667</v>
      </c>
      <c r="AH12" s="3">
        <f>'Rateio Custos Fixos'!O18</f>
        <v>0</v>
      </c>
      <c r="AI12" s="3">
        <f>'Rateio Custos Fixos'!P18</f>
        <v>18.1352604166667</v>
      </c>
      <c r="AJ12" s="3">
        <f>'Rateio Custos Fixos'!Q18</f>
        <v>7.67457291666667</v>
      </c>
      <c r="AK12" s="3">
        <f>'Rateio Custos Fixos'!R18</f>
        <v>2.81390625</v>
      </c>
      <c r="AL12" s="3">
        <f>'Rateio Custos Fixos'!S18</f>
        <v>6.85208333333333</v>
      </c>
      <c r="AM12" s="3">
        <f>'Rateio Custos Fixos'!T18</f>
        <v>143.75</v>
      </c>
      <c r="AN12" s="3">
        <f>'Rateio Custos Fixos'!U18</f>
        <v>57.5</v>
      </c>
      <c r="AO12" s="3">
        <f t="shared" si="15"/>
        <v>374.18771875</v>
      </c>
      <c r="AP12" s="3">
        <f t="shared" si="16"/>
        <v>10573.6693314583</v>
      </c>
      <c r="AQ12" s="3">
        <v>2601.31661701474</v>
      </c>
      <c r="AR12" s="3">
        <f t="shared" si="17"/>
        <v>11540.6833540833</v>
      </c>
      <c r="AS12" s="3">
        <f t="shared" si="18"/>
        <v>105.736693314583</v>
      </c>
      <c r="AT12" s="3">
        <f t="shared" si="19"/>
        <v>115.406833540833</v>
      </c>
      <c r="AU12" s="3">
        <f t="shared" si="20"/>
        <v>105.736693314583</v>
      </c>
      <c r="AV12" s="3" t="e">
        <f>(AR12*#REF!)/'Est. Cust. Naci.'!H12</f>
        <v>#REF!</v>
      </c>
      <c r="AW12" s="3">
        <f t="shared" si="21"/>
        <v>103.5</v>
      </c>
    </row>
    <row r="13" spans="1:54">
      <c r="B13">
        <f>'LISTA DE COMPRAS'!A12</f>
        <v>8</v>
      </c>
      <c r="C13" s="21" t="str">
        <f>'LISTA DE COMPRAS'!C12</f>
        <v>RP-13412</v>
      </c>
      <c r="G13" s="62" t="str">
        <f>'LISTA DE COMPRAS'!D13</f>
        <v>8708-8000</v>
      </c>
      <c r="H13" s="1">
        <f>'LISTA DE COMPRAS'!J12</f>
        <v>0</v>
      </c>
      <c r="I13" s="63">
        <f>'LISTA DE COMPRAS'!P12</f>
        <v>0</v>
      </c>
      <c r="J13" s="2">
        <f>'LISTA DE COMPRAS'!K12</f>
        <v>0</v>
      </c>
      <c r="K13" s="2">
        <f t="shared" si="5"/>
        <v>0</v>
      </c>
      <c r="L13" s="3">
        <f t="shared" si="6"/>
        <v>0</v>
      </c>
      <c r="M13" s="3">
        <f t="shared" si="7"/>
        <v>0</v>
      </c>
      <c r="N13" s="4">
        <f t="shared" si="8"/>
        <v>0</v>
      </c>
      <c r="O13" s="3">
        <f>'Rateio Custos Fixos'!E19</f>
        <v>0</v>
      </c>
      <c r="P13" s="3">
        <f t="shared" si="9"/>
        <v>0</v>
      </c>
      <c r="Q13" s="3">
        <f t="shared" si="10"/>
        <v>0</v>
      </c>
      <c r="R13" s="3">
        <f t="shared" si="3"/>
        <v>0</v>
      </c>
      <c r="S13" s="3">
        <f t="shared" si="11"/>
        <v>0</v>
      </c>
      <c r="T13" s="3">
        <f t="shared" si="12"/>
        <v>0</v>
      </c>
      <c r="U13" s="3">
        <f t="shared" si="12"/>
        <v>0</v>
      </c>
      <c r="V13" s="3">
        <f t="shared" si="4"/>
        <v>0</v>
      </c>
      <c r="W13" s="3">
        <f t="shared" si="13"/>
        <v>0</v>
      </c>
      <c r="X13" s="3">
        <f t="shared" si="14"/>
        <v>2534.2436455</v>
      </c>
      <c r="Y13" s="3">
        <f>'Rateio Custos Fixos'!F19</f>
        <v>0</v>
      </c>
      <c r="Z13" s="3">
        <f>'Rateio Custos Fixos'!G19</f>
        <v>0</v>
      </c>
      <c r="AA13" s="3">
        <f>'Rateio Custos Fixos'!H19</f>
        <v>0</v>
      </c>
      <c r="AB13" s="3">
        <f>'Rateio Custos Fixos'!I19</f>
        <v>0</v>
      </c>
      <c r="AC13" s="3">
        <f>'Rateio Custos Fixos'!J19</f>
        <v>0</v>
      </c>
      <c r="AD13" s="3">
        <f>'Rateio Custos Fixos'!K19</f>
        <v>0</v>
      </c>
      <c r="AE13" s="3">
        <f>'Rateio Custos Fixos'!L19</f>
        <v>0</v>
      </c>
      <c r="AF13" s="3">
        <f>'Rateio Custos Fixos'!M19</f>
        <v>0</v>
      </c>
      <c r="AG13" s="3">
        <f>'Rateio Custos Fixos'!N19</f>
        <v>0</v>
      </c>
      <c r="AH13" s="3">
        <f>'Rateio Custos Fixos'!O19</f>
        <v>0</v>
      </c>
      <c r="AI13" s="3">
        <f>'Rateio Custos Fixos'!P19</f>
        <v>0</v>
      </c>
      <c r="AJ13" s="3">
        <f>'Rateio Custos Fixos'!Q19</f>
        <v>0</v>
      </c>
      <c r="AK13" s="3">
        <f>'Rateio Custos Fixos'!R19</f>
        <v>0</v>
      </c>
      <c r="AL13" s="3">
        <f>'Rateio Custos Fixos'!S19</f>
        <v>0</v>
      </c>
      <c r="AM13" s="3">
        <f>'Rateio Custos Fixos'!T19</f>
        <v>0</v>
      </c>
      <c r="AN13" s="3">
        <f>'Rateio Custos Fixos'!U19</f>
        <v>0</v>
      </c>
      <c r="AO13" s="3">
        <f t="shared" si="15"/>
        <v>0</v>
      </c>
      <c r="AP13" s="3">
        <f t="shared" si="16"/>
        <v>0</v>
      </c>
      <c r="AQ13" s="3">
        <v>2602.31661701474</v>
      </c>
      <c r="AR13" s="3">
        <f t="shared" si="17"/>
        <v>2534.2436455</v>
      </c>
      <c r="AS13" s="3" t="e">
        <f t="shared" si="18"/>
        <v>#DIV/0!</v>
      </c>
      <c r="AT13" s="3" t="e">
        <f t="shared" si="19"/>
        <v>#DIV/0!</v>
      </c>
      <c r="AU13" s="3" t="e">
        <f t="shared" si="20"/>
        <v>#DIV/0!</v>
      </c>
      <c r="AV13" s="3" t="e">
        <f>(AR13*#REF!)/'Est. Cust. Naci.'!H13</f>
        <v>#REF!</v>
      </c>
      <c r="AW13" s="3">
        <f t="shared" si="21"/>
        <v>0</v>
      </c>
    </row>
    <row r="14" spans="1:54">
      <c r="B14">
        <f>'LISTA DE COMPRAS'!A13</f>
        <v>9</v>
      </c>
      <c r="C14" s="21" t="str">
        <f>'LISTA DE COMPRAS'!C13</f>
        <v>1476415.1</v>
      </c>
      <c r="G14" s="62" t="str">
        <f>'LISTA DE COMPRAS'!D14</f>
        <v>8708-8000</v>
      </c>
      <c r="H14" s="1">
        <f>'LISTA DE COMPRAS'!J13</f>
        <v>100</v>
      </c>
      <c r="I14" s="63">
        <f>'LISTA DE COMPRAS'!P13</f>
        <v>0.0175438596491228</v>
      </c>
      <c r="J14" s="2">
        <f>'LISTA DE COMPRAS'!K13</f>
        <v>10.8</v>
      </c>
      <c r="K14" s="2">
        <f t="shared" si="5"/>
        <v>1080</v>
      </c>
      <c r="L14" s="3">
        <f t="shared" si="6"/>
        <v>5572.8</v>
      </c>
      <c r="M14" s="3">
        <f t="shared" si="7"/>
        <v>2786.4</v>
      </c>
      <c r="N14" s="4">
        <f t="shared" si="8"/>
        <v>0</v>
      </c>
      <c r="O14" s="3">
        <f>'Rateio Custos Fixos'!E20</f>
        <v>404.55</v>
      </c>
      <c r="P14" s="3">
        <f t="shared" si="9"/>
        <v>5977.35</v>
      </c>
      <c r="Q14" s="3">
        <f t="shared" si="10"/>
        <v>7053.273</v>
      </c>
      <c r="R14" s="3">
        <f t="shared" si="3"/>
        <v>1075.923</v>
      </c>
      <c r="S14" s="3">
        <f t="shared" si="11"/>
        <v>215.8301538</v>
      </c>
      <c r="T14" s="3">
        <f t="shared" si="12"/>
        <v>220.0621176</v>
      </c>
      <c r="U14" s="3">
        <f t="shared" si="12"/>
        <v>1013.5553301</v>
      </c>
      <c r="V14" s="3">
        <f t="shared" si="4"/>
        <v>1075.923</v>
      </c>
      <c r="W14" s="3">
        <f t="shared" si="13"/>
        <v>3601.2936015</v>
      </c>
      <c r="X14" s="3">
        <f t="shared" si="14"/>
        <v>4801.724802</v>
      </c>
      <c r="Y14" s="3">
        <f>'Rateio Custos Fixos'!F20</f>
        <v>4.82625</v>
      </c>
      <c r="Z14" s="3">
        <f>'Rateio Custos Fixos'!G20</f>
        <v>11.025</v>
      </c>
      <c r="AA14" s="3">
        <f>'Rateio Custos Fixos'!H20</f>
        <v>34.8075</v>
      </c>
      <c r="AB14" s="3">
        <f>'Rateio Custos Fixos'!I20</f>
        <v>1.08</v>
      </c>
      <c r="AC14" s="3">
        <f>'Rateio Custos Fixos'!J20</f>
        <v>2.745</v>
      </c>
      <c r="AD14" s="3">
        <f>'Rateio Custos Fixos'!K20</f>
        <v>24.14115</v>
      </c>
      <c r="AE14" s="3">
        <f>'Rateio Custos Fixos'!L20</f>
        <v>17.43525</v>
      </c>
      <c r="AF14" s="3">
        <f>'Rateio Custos Fixos'!M20</f>
        <v>0.6705</v>
      </c>
      <c r="AG14" s="3">
        <f>'Rateio Custos Fixos'!N20</f>
        <v>32.364</v>
      </c>
      <c r="AH14" s="3">
        <f>'Rateio Custos Fixos'!O20</f>
        <v>0</v>
      </c>
      <c r="AI14" s="3">
        <f>'Rateio Custos Fixos'!P20</f>
        <v>17.031375</v>
      </c>
      <c r="AJ14" s="3">
        <f>'Rateio Custos Fixos'!Q20</f>
        <v>7.207425</v>
      </c>
      <c r="AK14" s="3">
        <f>'Rateio Custos Fixos'!R20</f>
        <v>2.642625</v>
      </c>
      <c r="AL14" s="3">
        <f>'Rateio Custos Fixos'!S20</f>
        <v>6.435</v>
      </c>
      <c r="AM14" s="3">
        <f>'Rateio Custos Fixos'!T20</f>
        <v>135</v>
      </c>
      <c r="AN14" s="3">
        <f>'Rateio Custos Fixos'!U20</f>
        <v>54</v>
      </c>
      <c r="AO14" s="3">
        <f t="shared" si="15"/>
        <v>351.411075</v>
      </c>
      <c r="AP14" s="3">
        <f t="shared" si="16"/>
        <v>9930.0546765</v>
      </c>
      <c r="AQ14" s="3">
        <v>2603.31661701474</v>
      </c>
      <c r="AR14" s="3">
        <f t="shared" si="17"/>
        <v>11130.485877</v>
      </c>
      <c r="AS14" s="3">
        <f t="shared" si="18"/>
        <v>99.300546765</v>
      </c>
      <c r="AT14" s="3">
        <f t="shared" si="19"/>
        <v>111.30485877</v>
      </c>
      <c r="AU14" s="3">
        <f t="shared" si="20"/>
        <v>99.300546765</v>
      </c>
      <c r="AV14" s="3" t="e">
        <f>(AR14*#REF!)/'Est. Cust. Naci.'!H14</f>
        <v>#REF!</v>
      </c>
      <c r="AW14" s="3">
        <f t="shared" si="21"/>
        <v>97.2</v>
      </c>
    </row>
    <row r="15" spans="1:54">
      <c r="B15">
        <f>'LISTA DE COMPRAS'!A14</f>
        <v>10</v>
      </c>
      <c r="C15" s="21" t="str">
        <f>'LISTA DE COMPRAS'!C14</f>
        <v>1476415.2</v>
      </c>
      <c r="G15" s="62" t="str">
        <f>'LISTA DE COMPRAS'!D15</f>
        <v>8708-8000</v>
      </c>
      <c r="H15" s="1">
        <f>'LISTA DE COMPRAS'!J14</f>
        <v>100</v>
      </c>
      <c r="I15" s="63">
        <f>'LISTA DE COMPRAS'!P14</f>
        <v>0.0175438596491228</v>
      </c>
      <c r="J15" s="2">
        <f>'LISTA DE COMPRAS'!K14</f>
        <v>10.8</v>
      </c>
      <c r="K15" s="2">
        <f t="shared" si="5"/>
        <v>1080</v>
      </c>
      <c r="L15" s="3">
        <f t="shared" si="6"/>
        <v>5572.8</v>
      </c>
      <c r="M15" s="3">
        <f t="shared" si="7"/>
        <v>2786.4</v>
      </c>
      <c r="N15" s="4">
        <f t="shared" si="8"/>
        <v>0</v>
      </c>
      <c r="O15" s="3">
        <f>'Rateio Custos Fixos'!E21</f>
        <v>404.55</v>
      </c>
      <c r="P15" s="3">
        <f t="shared" si="9"/>
        <v>5977.35</v>
      </c>
      <c r="Q15" s="3">
        <f t="shared" si="10"/>
        <v>7053.273</v>
      </c>
      <c r="R15" s="3">
        <f t="shared" si="3"/>
        <v>1075.923</v>
      </c>
      <c r="S15" s="3">
        <f t="shared" si="11"/>
        <v>215.8301538</v>
      </c>
      <c r="T15" s="3">
        <f t="shared" si="12"/>
        <v>220.0621176</v>
      </c>
      <c r="U15" s="3">
        <f t="shared" si="12"/>
        <v>1013.5553301</v>
      </c>
      <c r="V15" s="3">
        <f t="shared" si="4"/>
        <v>1075.923</v>
      </c>
      <c r="W15" s="3">
        <f t="shared" si="13"/>
        <v>3601.2936015</v>
      </c>
      <c r="X15" s="3">
        <f t="shared" si="14"/>
        <v>5935.46538025</v>
      </c>
      <c r="Y15" s="3">
        <f>'Rateio Custos Fixos'!F21</f>
        <v>4.82625</v>
      </c>
      <c r="Z15" s="3">
        <f>'Rateio Custos Fixos'!G21</f>
        <v>11.025</v>
      </c>
      <c r="AA15" s="3">
        <f>'Rateio Custos Fixos'!H21</f>
        <v>34.8075</v>
      </c>
      <c r="AB15" s="3">
        <f>'Rateio Custos Fixos'!I21</f>
        <v>1.08</v>
      </c>
      <c r="AC15" s="3">
        <f>'Rateio Custos Fixos'!J21</f>
        <v>2.745</v>
      </c>
      <c r="AD15" s="3">
        <f>'Rateio Custos Fixos'!K21</f>
        <v>24.14115</v>
      </c>
      <c r="AE15" s="3">
        <f>'Rateio Custos Fixos'!L21</f>
        <v>17.43525</v>
      </c>
      <c r="AF15" s="3">
        <f>'Rateio Custos Fixos'!M21</f>
        <v>0.6705</v>
      </c>
      <c r="AG15" s="3">
        <f>'Rateio Custos Fixos'!N21</f>
        <v>32.364</v>
      </c>
      <c r="AH15" s="3">
        <f>'Rateio Custos Fixos'!O21</f>
        <v>0</v>
      </c>
      <c r="AI15" s="3">
        <f>'Rateio Custos Fixos'!P21</f>
        <v>17.031375</v>
      </c>
      <c r="AJ15" s="3">
        <f>'Rateio Custos Fixos'!Q21</f>
        <v>7.207425</v>
      </c>
      <c r="AK15" s="3">
        <f>'Rateio Custos Fixos'!R21</f>
        <v>2.642625</v>
      </c>
      <c r="AL15" s="3">
        <f>'Rateio Custos Fixos'!S21</f>
        <v>6.435</v>
      </c>
      <c r="AM15" s="3">
        <f>'Rateio Custos Fixos'!T21</f>
        <v>135</v>
      </c>
      <c r="AN15" s="3">
        <f>'Rateio Custos Fixos'!U21</f>
        <v>54</v>
      </c>
      <c r="AO15" s="3">
        <f t="shared" si="15"/>
        <v>351.411075</v>
      </c>
      <c r="AP15" s="3">
        <f t="shared" si="16"/>
        <v>9930.0546765</v>
      </c>
      <c r="AQ15" s="3">
        <v>2604.31661701474</v>
      </c>
      <c r="AR15" s="3">
        <f t="shared" si="17"/>
        <v>12264.22645525</v>
      </c>
      <c r="AS15" s="3">
        <f t="shared" si="18"/>
        <v>99.300546765</v>
      </c>
      <c r="AT15" s="3">
        <f t="shared" si="19"/>
        <v>122.6422645525</v>
      </c>
      <c r="AU15" s="3">
        <f t="shared" si="20"/>
        <v>99.300546765</v>
      </c>
      <c r="AV15" s="3" t="e">
        <f>(AR15*#REF!)/'Est. Cust. Naci.'!H15</f>
        <v>#REF!</v>
      </c>
      <c r="AW15" s="3">
        <f t="shared" si="21"/>
        <v>97.2</v>
      </c>
    </row>
    <row r="16" spans="1:54">
      <c r="B16">
        <f>'LISTA DE COMPRAS'!A15</f>
        <v>11</v>
      </c>
      <c r="C16" s="21">
        <f>'LISTA DE COMPRAS'!C15</f>
        <v>2023668</v>
      </c>
      <c r="G16" s="62" t="str">
        <f>'LISTA DE COMPRAS'!D16</f>
        <v>8708-8000</v>
      </c>
      <c r="H16" s="1">
        <f>'LISTA DE COMPRAS'!J15</f>
        <v>100</v>
      </c>
      <c r="I16" s="63">
        <f>'LISTA DE COMPRAS'!P15</f>
        <v>0.0175438596491228</v>
      </c>
      <c r="J16" s="2">
        <f>'LISTA DE COMPRAS'!K15</f>
        <v>7.6</v>
      </c>
      <c r="K16" s="2">
        <f t="shared" si="5"/>
        <v>760</v>
      </c>
      <c r="L16" s="3">
        <f t="shared" si="6"/>
        <v>3921.6</v>
      </c>
      <c r="M16" s="3">
        <f t="shared" si="7"/>
        <v>1960.8</v>
      </c>
      <c r="N16" s="4">
        <f t="shared" si="8"/>
        <v>0</v>
      </c>
      <c r="O16" s="3">
        <f>'Rateio Custos Fixos'!E22</f>
        <v>284.683333333333</v>
      </c>
      <c r="P16" s="3">
        <f t="shared" si="9"/>
        <v>4206.28333333333</v>
      </c>
      <c r="Q16" s="3">
        <f t="shared" si="10"/>
        <v>4963.41433333333</v>
      </c>
      <c r="R16" s="3">
        <f t="shared" si="3"/>
        <v>757.131</v>
      </c>
      <c r="S16" s="3">
        <f t="shared" si="11"/>
        <v>151.8804786</v>
      </c>
      <c r="T16" s="3">
        <f t="shared" si="12"/>
        <v>154.8585272</v>
      </c>
      <c r="U16" s="3">
        <f t="shared" si="12"/>
        <v>713.2426397</v>
      </c>
      <c r="V16" s="3">
        <f t="shared" si="4"/>
        <v>757.131</v>
      </c>
      <c r="W16" s="3">
        <f t="shared" si="13"/>
        <v>2534.2436455</v>
      </c>
      <c r="X16" s="3">
        <f t="shared" si="14"/>
        <v>5935.46538025</v>
      </c>
      <c r="Y16" s="3">
        <f>'Rateio Custos Fixos'!F22</f>
        <v>3.39625</v>
      </c>
      <c r="Z16" s="3">
        <f>'Rateio Custos Fixos'!G22</f>
        <v>7.75833333333333</v>
      </c>
      <c r="AA16" s="3">
        <f>'Rateio Custos Fixos'!H22</f>
        <v>24.4941666666667</v>
      </c>
      <c r="AB16" s="3">
        <f>'Rateio Custos Fixos'!I22</f>
        <v>0.76</v>
      </c>
      <c r="AC16" s="3">
        <f>'Rateio Custos Fixos'!J22</f>
        <v>1.93166666666667</v>
      </c>
      <c r="AD16" s="3">
        <f>'Rateio Custos Fixos'!K22</f>
        <v>16.9882166666667</v>
      </c>
      <c r="AE16" s="3">
        <f>'Rateio Custos Fixos'!L22</f>
        <v>12.26925</v>
      </c>
      <c r="AF16" s="3">
        <f>'Rateio Custos Fixos'!M22</f>
        <v>0.471833333333333</v>
      </c>
      <c r="AG16" s="3">
        <f>'Rateio Custos Fixos'!N22</f>
        <v>22.7746666666667</v>
      </c>
      <c r="AH16" s="3">
        <f>'Rateio Custos Fixos'!O22</f>
        <v>0</v>
      </c>
      <c r="AI16" s="3">
        <f>'Rateio Custos Fixos'!P22</f>
        <v>11.9850416666667</v>
      </c>
      <c r="AJ16" s="3">
        <f>'Rateio Custos Fixos'!Q22</f>
        <v>5.07189166666667</v>
      </c>
      <c r="AK16" s="3">
        <f>'Rateio Custos Fixos'!R22</f>
        <v>1.859625</v>
      </c>
      <c r="AL16" s="3">
        <f>'Rateio Custos Fixos'!S22</f>
        <v>4.52833333333333</v>
      </c>
      <c r="AM16" s="3">
        <f>'Rateio Custos Fixos'!T22</f>
        <v>95</v>
      </c>
      <c r="AN16" s="3">
        <f>'Rateio Custos Fixos'!U22</f>
        <v>38</v>
      </c>
      <c r="AO16" s="3">
        <f t="shared" si="15"/>
        <v>247.289275</v>
      </c>
      <c r="AP16" s="3">
        <f t="shared" si="16"/>
        <v>6987.81625383333</v>
      </c>
      <c r="AQ16" s="3">
        <v>2605.31661701474</v>
      </c>
      <c r="AR16" s="3">
        <f t="shared" si="17"/>
        <v>10389.0379885833</v>
      </c>
      <c r="AS16" s="3">
        <f t="shared" si="18"/>
        <v>69.8781625383333</v>
      </c>
      <c r="AT16" s="3">
        <f t="shared" si="19"/>
        <v>103.890379885833</v>
      </c>
      <c r="AU16" s="3">
        <f t="shared" si="20"/>
        <v>69.8781625383333</v>
      </c>
      <c r="AV16" s="3" t="e">
        <f>(AR16*#REF!)/'Est. Cust. Naci.'!H16</f>
        <v>#REF!</v>
      </c>
      <c r="AW16" s="3">
        <f t="shared" si="21"/>
        <v>68.4</v>
      </c>
    </row>
    <row r="17" spans="2:49">
      <c r="B17">
        <f>'LISTA DE COMPRAS'!A16</f>
        <v>12</v>
      </c>
      <c r="C17" s="21" t="str">
        <f>'LISTA DE COMPRAS'!C16</f>
        <v>1761377; 2074003</v>
      </c>
      <c r="G17" s="62" t="str">
        <f>'LISTA DE COMPRAS'!D17</f>
        <v>8708-8000</v>
      </c>
      <c r="H17" s="1">
        <f>'LISTA DE COMPRAS'!J16</f>
        <v>100</v>
      </c>
      <c r="I17" s="63">
        <f>'LISTA DE COMPRAS'!P16</f>
        <v>0.0175438596491228</v>
      </c>
      <c r="J17" s="2">
        <f>'LISTA DE COMPRAS'!K16</f>
        <v>14.4</v>
      </c>
      <c r="K17" s="2">
        <f t="shared" si="5"/>
        <v>1440</v>
      </c>
      <c r="L17" s="3">
        <f t="shared" si="6"/>
        <v>7430.4</v>
      </c>
      <c r="M17" s="3">
        <f t="shared" si="7"/>
        <v>3715.2</v>
      </c>
      <c r="N17" s="4">
        <f t="shared" si="8"/>
        <v>0</v>
      </c>
      <c r="O17" s="3">
        <f>'Rateio Custos Fixos'!E23</f>
        <v>539.4</v>
      </c>
      <c r="P17" s="3">
        <f t="shared" si="9"/>
        <v>7969.8</v>
      </c>
      <c r="Q17" s="3">
        <f t="shared" si="10"/>
        <v>9404.364</v>
      </c>
      <c r="R17" s="3">
        <f t="shared" si="3"/>
        <v>1434.564</v>
      </c>
      <c r="S17" s="3">
        <f t="shared" si="11"/>
        <v>287.7735384</v>
      </c>
      <c r="T17" s="3">
        <f t="shared" si="12"/>
        <v>293.4161568</v>
      </c>
      <c r="U17" s="3">
        <f t="shared" si="12"/>
        <v>1351.4071068</v>
      </c>
      <c r="V17" s="3">
        <f t="shared" si="4"/>
        <v>1434.564</v>
      </c>
      <c r="W17" s="3">
        <f t="shared" si="13"/>
        <v>4801.724802</v>
      </c>
      <c r="X17" s="3">
        <f t="shared" si="14"/>
        <v>1467.1936895</v>
      </c>
      <c r="Y17" s="3">
        <f>'Rateio Custos Fixos'!F23</f>
        <v>6.435</v>
      </c>
      <c r="Z17" s="3">
        <f>'Rateio Custos Fixos'!G23</f>
        <v>14.7</v>
      </c>
      <c r="AA17" s="3">
        <f>'Rateio Custos Fixos'!H23</f>
        <v>46.41</v>
      </c>
      <c r="AB17" s="3">
        <f>'Rateio Custos Fixos'!I23</f>
        <v>1.44</v>
      </c>
      <c r="AC17" s="3">
        <f>'Rateio Custos Fixos'!J23</f>
        <v>3.66</v>
      </c>
      <c r="AD17" s="3">
        <f>'Rateio Custos Fixos'!K23</f>
        <v>32.1882</v>
      </c>
      <c r="AE17" s="3">
        <f>'Rateio Custos Fixos'!L23</f>
        <v>23.247</v>
      </c>
      <c r="AF17" s="3">
        <f>'Rateio Custos Fixos'!M23</f>
        <v>0.894</v>
      </c>
      <c r="AG17" s="3">
        <f>'Rateio Custos Fixos'!N23</f>
        <v>43.152</v>
      </c>
      <c r="AH17" s="3">
        <f>'Rateio Custos Fixos'!O23</f>
        <v>0</v>
      </c>
      <c r="AI17" s="3">
        <f>'Rateio Custos Fixos'!P23</f>
        <v>22.7085</v>
      </c>
      <c r="AJ17" s="3">
        <f>'Rateio Custos Fixos'!Q23</f>
        <v>9.6099</v>
      </c>
      <c r="AK17" s="3">
        <f>'Rateio Custos Fixos'!R23</f>
        <v>3.5235</v>
      </c>
      <c r="AL17" s="3">
        <f>'Rateio Custos Fixos'!S23</f>
        <v>8.58</v>
      </c>
      <c r="AM17" s="3">
        <f>'Rateio Custos Fixos'!T23</f>
        <v>180</v>
      </c>
      <c r="AN17" s="3">
        <f>'Rateio Custos Fixos'!U23</f>
        <v>72</v>
      </c>
      <c r="AO17" s="3">
        <f t="shared" si="15"/>
        <v>468.5481</v>
      </c>
      <c r="AP17" s="3">
        <f t="shared" si="16"/>
        <v>13240.072902</v>
      </c>
      <c r="AQ17" s="3">
        <v>2606.31661701474</v>
      </c>
      <c r="AR17" s="3">
        <f t="shared" si="17"/>
        <v>9905.5417895</v>
      </c>
      <c r="AS17" s="3">
        <f t="shared" si="18"/>
        <v>132.40072902</v>
      </c>
      <c r="AT17" s="3">
        <f t="shared" si="19"/>
        <v>99.055417895</v>
      </c>
      <c r="AU17" s="3">
        <f t="shared" si="20"/>
        <v>132.40072902</v>
      </c>
      <c r="AV17" s="3" t="e">
        <f>(AR17*#REF!)/'Est. Cust. Naci.'!H17</f>
        <v>#REF!</v>
      </c>
      <c r="AW17" s="3">
        <f t="shared" si="21"/>
        <v>129.6</v>
      </c>
    </row>
    <row r="18" spans="2:49">
      <c r="B18">
        <f>'LISTA DE COMPRAS'!A17</f>
        <v>13</v>
      </c>
      <c r="C18" s="21">
        <f>'LISTA DE COMPRAS'!C17</f>
        <v>1761373</v>
      </c>
      <c r="G18" s="62" t="str">
        <f>'LISTA DE COMPRAS'!D18</f>
        <v>8708-8000</v>
      </c>
      <c r="H18" s="1">
        <f>'LISTA DE COMPRAS'!J17</f>
        <v>100</v>
      </c>
      <c r="I18" s="63">
        <f>'LISTA DE COMPRAS'!P17</f>
        <v>0.0175438596491228</v>
      </c>
      <c r="J18" s="2">
        <f>'LISTA DE COMPRAS'!K17</f>
        <v>7.6</v>
      </c>
      <c r="K18" s="2">
        <f t="shared" si="5"/>
        <v>760</v>
      </c>
      <c r="L18" s="3">
        <f t="shared" si="6"/>
        <v>3921.6</v>
      </c>
      <c r="M18" s="3">
        <f t="shared" si="7"/>
        <v>1960.8</v>
      </c>
      <c r="N18" s="4">
        <f t="shared" si="8"/>
        <v>0</v>
      </c>
      <c r="O18" s="3">
        <f>'Rateio Custos Fixos'!E24</f>
        <v>284.683333333333</v>
      </c>
      <c r="P18" s="3">
        <f t="shared" si="9"/>
        <v>4206.28333333333</v>
      </c>
      <c r="Q18" s="3">
        <f t="shared" si="10"/>
        <v>4963.41433333333</v>
      </c>
      <c r="R18" s="3">
        <f t="shared" si="3"/>
        <v>757.131</v>
      </c>
      <c r="S18" s="3">
        <f t="shared" si="11"/>
        <v>151.8804786</v>
      </c>
      <c r="T18" s="3">
        <f t="shared" si="12"/>
        <v>154.8585272</v>
      </c>
      <c r="U18" s="3">
        <f t="shared" si="12"/>
        <v>713.2426397</v>
      </c>
      <c r="V18" s="3">
        <f t="shared" si="4"/>
        <v>757.131</v>
      </c>
      <c r="W18" s="3">
        <f t="shared" si="13"/>
        <v>2534.2436455</v>
      </c>
      <c r="X18" s="3">
        <f t="shared" si="14"/>
        <v>2134.099912</v>
      </c>
      <c r="Y18" s="3">
        <f>'Rateio Custos Fixos'!F24</f>
        <v>3.39625</v>
      </c>
      <c r="Z18" s="3">
        <f>'Rateio Custos Fixos'!G24</f>
        <v>7.75833333333333</v>
      </c>
      <c r="AA18" s="3">
        <f>'Rateio Custos Fixos'!H24</f>
        <v>24.4941666666667</v>
      </c>
      <c r="AB18" s="3">
        <f>'Rateio Custos Fixos'!I24</f>
        <v>0.76</v>
      </c>
      <c r="AC18" s="3">
        <f>'Rateio Custos Fixos'!J24</f>
        <v>1.93166666666667</v>
      </c>
      <c r="AD18" s="3">
        <f>'Rateio Custos Fixos'!K24</f>
        <v>16.9882166666667</v>
      </c>
      <c r="AE18" s="3">
        <f>'Rateio Custos Fixos'!L24</f>
        <v>12.26925</v>
      </c>
      <c r="AF18" s="3">
        <f>'Rateio Custos Fixos'!M24</f>
        <v>0.471833333333333</v>
      </c>
      <c r="AG18" s="3">
        <f>'Rateio Custos Fixos'!N24</f>
        <v>22.7746666666667</v>
      </c>
      <c r="AH18" s="3">
        <f>'Rateio Custos Fixos'!O24</f>
        <v>0</v>
      </c>
      <c r="AI18" s="3">
        <f>'Rateio Custos Fixos'!P24</f>
        <v>11.9850416666667</v>
      </c>
      <c r="AJ18" s="3">
        <f>'Rateio Custos Fixos'!Q24</f>
        <v>5.07189166666667</v>
      </c>
      <c r="AK18" s="3">
        <f>'Rateio Custos Fixos'!R24</f>
        <v>1.859625</v>
      </c>
      <c r="AL18" s="3">
        <f>'Rateio Custos Fixos'!S24</f>
        <v>4.52833333333333</v>
      </c>
      <c r="AM18" s="3">
        <f>'Rateio Custos Fixos'!T24</f>
        <v>95</v>
      </c>
      <c r="AN18" s="3">
        <f>'Rateio Custos Fixos'!U24</f>
        <v>38</v>
      </c>
      <c r="AO18" s="3">
        <f t="shared" si="15"/>
        <v>247.289275</v>
      </c>
      <c r="AP18" s="3">
        <f t="shared" si="16"/>
        <v>6987.81625383333</v>
      </c>
      <c r="AQ18" s="3">
        <v>2607.31661701474</v>
      </c>
      <c r="AR18" s="3">
        <f t="shared" si="17"/>
        <v>6587.67252033333</v>
      </c>
      <c r="AS18" s="3">
        <f t="shared" si="18"/>
        <v>69.8781625383333</v>
      </c>
      <c r="AT18" s="3">
        <f t="shared" si="19"/>
        <v>65.8767252033333</v>
      </c>
      <c r="AU18" s="3">
        <f t="shared" si="20"/>
        <v>69.8781625383333</v>
      </c>
      <c r="AV18" s="3" t="e">
        <f>(AR18*#REF!)/'Est. Cust. Naci.'!H18</f>
        <v>#REF!</v>
      </c>
      <c r="AW18" s="3">
        <f t="shared" si="21"/>
        <v>68.4</v>
      </c>
    </row>
    <row r="19" spans="2:49">
      <c r="B19">
        <f>'LISTA DE COMPRAS'!A18</f>
        <v>14</v>
      </c>
      <c r="C19" s="21">
        <f>'LISTA DE COMPRAS'!C18</f>
        <v>1462266</v>
      </c>
      <c r="G19" s="62" t="str">
        <f>'LISTA DE COMPRAS'!D19</f>
        <v>8708-8000</v>
      </c>
      <c r="H19" s="1">
        <f>'LISTA DE COMPRAS'!J18</f>
        <v>100</v>
      </c>
      <c r="I19" s="63">
        <f>'LISTA DE COMPRAS'!P18</f>
        <v>0.0175438596491228</v>
      </c>
      <c r="J19" s="2">
        <f>'LISTA DE COMPRAS'!K18</f>
        <v>14.4</v>
      </c>
      <c r="K19" s="2">
        <f t="shared" si="5"/>
        <v>1440</v>
      </c>
      <c r="L19" s="3">
        <f t="shared" si="6"/>
        <v>7430.4</v>
      </c>
      <c r="M19" s="3">
        <f t="shared" si="7"/>
        <v>3715.2</v>
      </c>
      <c r="N19" s="4">
        <f t="shared" si="8"/>
        <v>0</v>
      </c>
      <c r="O19" s="3">
        <f>'Rateio Custos Fixos'!E25</f>
        <v>539.4</v>
      </c>
      <c r="P19" s="3">
        <f t="shared" si="9"/>
        <v>7969.8</v>
      </c>
      <c r="Q19" s="3">
        <f t="shared" si="10"/>
        <v>9404.364</v>
      </c>
      <c r="R19" s="3">
        <f t="shared" si="3"/>
        <v>1434.564</v>
      </c>
      <c r="S19" s="3">
        <f t="shared" si="11"/>
        <v>287.7735384</v>
      </c>
      <c r="T19" s="3">
        <f t="shared" si="12"/>
        <v>293.4161568</v>
      </c>
      <c r="U19" s="3">
        <f t="shared" si="12"/>
        <v>1351.4071068</v>
      </c>
      <c r="V19" s="3">
        <f t="shared" si="4"/>
        <v>1434.564</v>
      </c>
      <c r="W19" s="3">
        <f t="shared" si="13"/>
        <v>4801.724802</v>
      </c>
      <c r="X19" s="3">
        <f t="shared" si="14"/>
        <v>1533.88431175</v>
      </c>
      <c r="Y19" s="3">
        <f>'Rateio Custos Fixos'!F25</f>
        <v>6.435</v>
      </c>
      <c r="Z19" s="3">
        <f>'Rateio Custos Fixos'!G25</f>
        <v>14.7</v>
      </c>
      <c r="AA19" s="3">
        <f>'Rateio Custos Fixos'!H25</f>
        <v>46.41</v>
      </c>
      <c r="AB19" s="3">
        <f>'Rateio Custos Fixos'!I25</f>
        <v>1.44</v>
      </c>
      <c r="AC19" s="3">
        <f>'Rateio Custos Fixos'!J25</f>
        <v>3.66</v>
      </c>
      <c r="AD19" s="3">
        <f>'Rateio Custos Fixos'!K25</f>
        <v>32.1882</v>
      </c>
      <c r="AE19" s="3">
        <f>'Rateio Custos Fixos'!L25</f>
        <v>23.247</v>
      </c>
      <c r="AF19" s="3">
        <f>'Rateio Custos Fixos'!M25</f>
        <v>0.894</v>
      </c>
      <c r="AG19" s="3">
        <f>'Rateio Custos Fixos'!N25</f>
        <v>43.152</v>
      </c>
      <c r="AH19" s="3">
        <f>'Rateio Custos Fixos'!O25</f>
        <v>0</v>
      </c>
      <c r="AI19" s="3">
        <f>'Rateio Custos Fixos'!P25</f>
        <v>22.7085</v>
      </c>
      <c r="AJ19" s="3">
        <f>'Rateio Custos Fixos'!Q25</f>
        <v>9.6099</v>
      </c>
      <c r="AK19" s="3">
        <f>'Rateio Custos Fixos'!R25</f>
        <v>3.5235</v>
      </c>
      <c r="AL19" s="3">
        <f>'Rateio Custos Fixos'!S25</f>
        <v>8.58</v>
      </c>
      <c r="AM19" s="3">
        <f>'Rateio Custos Fixos'!T25</f>
        <v>180</v>
      </c>
      <c r="AN19" s="3">
        <f>'Rateio Custos Fixos'!U25</f>
        <v>72</v>
      </c>
      <c r="AO19" s="3">
        <f t="shared" si="15"/>
        <v>468.5481</v>
      </c>
      <c r="AP19" s="3">
        <f t="shared" si="16"/>
        <v>13240.072902</v>
      </c>
      <c r="AQ19" s="3">
        <v>2608.31661701474</v>
      </c>
      <c r="AR19" s="3">
        <f t="shared" si="17"/>
        <v>9972.23241175</v>
      </c>
      <c r="AS19" s="3">
        <f t="shared" si="18"/>
        <v>132.40072902</v>
      </c>
      <c r="AT19" s="3">
        <f t="shared" si="19"/>
        <v>99.7223241175</v>
      </c>
      <c r="AU19" s="3">
        <f t="shared" si="20"/>
        <v>132.40072902</v>
      </c>
      <c r="AV19" s="3" t="e">
        <f>(AR19*#REF!)/'Est. Cust. Naci.'!H19</f>
        <v>#REF!</v>
      </c>
      <c r="AW19" s="3">
        <f t="shared" si="21"/>
        <v>129.6</v>
      </c>
    </row>
    <row r="20" spans="2:49">
      <c r="B20">
        <f>'LISTA DE COMPRAS'!A19</f>
        <v>15</v>
      </c>
      <c r="C20" s="21">
        <f>'LISTA DE COMPRAS'!C19</f>
        <v>1952540</v>
      </c>
      <c r="G20" s="62" t="str">
        <f>'LISTA DE COMPRAS'!D20</f>
        <v>8708-8000</v>
      </c>
      <c r="H20" s="1">
        <f>'LISTA DE COMPRAS'!J19</f>
        <v>100</v>
      </c>
      <c r="I20" s="63">
        <f>'LISTA DE COMPRAS'!P19</f>
        <v>0.0175438596491228</v>
      </c>
      <c r="J20" s="2">
        <f>'LISTA DE COMPRAS'!K19</f>
        <v>17.8</v>
      </c>
      <c r="K20" s="2">
        <f t="shared" si="5"/>
        <v>1780</v>
      </c>
      <c r="L20" s="3">
        <f t="shared" si="6"/>
        <v>9184.8</v>
      </c>
      <c r="M20" s="3">
        <f t="shared" si="7"/>
        <v>4592.4</v>
      </c>
      <c r="N20" s="4">
        <f t="shared" si="8"/>
        <v>0</v>
      </c>
      <c r="O20" s="3">
        <f>'Rateio Custos Fixos'!E26</f>
        <v>666.758333333333</v>
      </c>
      <c r="P20" s="3">
        <f t="shared" si="9"/>
        <v>9851.55833333333</v>
      </c>
      <c r="Q20" s="3">
        <f t="shared" si="10"/>
        <v>11624.8388333333</v>
      </c>
      <c r="R20" s="3">
        <f t="shared" si="3"/>
        <v>1773.2805</v>
      </c>
      <c r="S20" s="3">
        <f t="shared" si="11"/>
        <v>355.7200683</v>
      </c>
      <c r="T20" s="3">
        <f t="shared" si="12"/>
        <v>362.6949716</v>
      </c>
      <c r="U20" s="3">
        <f t="shared" si="12"/>
        <v>1670.48934035</v>
      </c>
      <c r="V20" s="3">
        <f t="shared" si="4"/>
        <v>1773.2805</v>
      </c>
      <c r="W20" s="3">
        <f t="shared" si="13"/>
        <v>5935.46538025</v>
      </c>
      <c r="X20" s="3">
        <f t="shared" si="14"/>
        <v>1700.610867375</v>
      </c>
      <c r="Y20" s="3">
        <f>'Rateio Custos Fixos'!F26</f>
        <v>7.954375</v>
      </c>
      <c r="Z20" s="3">
        <f>'Rateio Custos Fixos'!G26</f>
        <v>18.1708333333333</v>
      </c>
      <c r="AA20" s="3">
        <f>'Rateio Custos Fixos'!H26</f>
        <v>57.3679166666667</v>
      </c>
      <c r="AB20" s="3">
        <f>'Rateio Custos Fixos'!I26</f>
        <v>1.78</v>
      </c>
      <c r="AC20" s="3">
        <f>'Rateio Custos Fixos'!J26</f>
        <v>4.52416666666667</v>
      </c>
      <c r="AD20" s="3">
        <f>'Rateio Custos Fixos'!K26</f>
        <v>39.7881916666667</v>
      </c>
      <c r="AE20" s="3">
        <f>'Rateio Custos Fixos'!L26</f>
        <v>28.735875</v>
      </c>
      <c r="AF20" s="3">
        <f>'Rateio Custos Fixos'!M26</f>
        <v>1.10508333333333</v>
      </c>
      <c r="AG20" s="3">
        <f>'Rateio Custos Fixos'!N26</f>
        <v>53.3406666666667</v>
      </c>
      <c r="AH20" s="3">
        <f>'Rateio Custos Fixos'!O26</f>
        <v>0</v>
      </c>
      <c r="AI20" s="3">
        <f>'Rateio Custos Fixos'!P26</f>
        <v>28.0702291666667</v>
      </c>
      <c r="AJ20" s="3">
        <f>'Rateio Custos Fixos'!Q26</f>
        <v>11.8789041666667</v>
      </c>
      <c r="AK20" s="3">
        <f>'Rateio Custos Fixos'!R26</f>
        <v>4.3554375</v>
      </c>
      <c r="AL20" s="3">
        <f>'Rateio Custos Fixos'!S26</f>
        <v>10.6058333333333</v>
      </c>
      <c r="AM20" s="3">
        <f>'Rateio Custos Fixos'!T26</f>
        <v>222.5</v>
      </c>
      <c r="AN20" s="3">
        <f>'Rateio Custos Fixos'!U26</f>
        <v>89</v>
      </c>
      <c r="AO20" s="3">
        <f t="shared" si="15"/>
        <v>579.1775125</v>
      </c>
      <c r="AP20" s="3">
        <f t="shared" si="16"/>
        <v>16366.2012260833</v>
      </c>
      <c r="AQ20" s="3">
        <v>2609.31661701474</v>
      </c>
      <c r="AR20" s="3">
        <f t="shared" si="17"/>
        <v>12131.3467132083</v>
      </c>
      <c r="AS20" s="3">
        <f t="shared" si="18"/>
        <v>163.662012260833</v>
      </c>
      <c r="AT20" s="3">
        <f t="shared" si="19"/>
        <v>121.313467132083</v>
      </c>
      <c r="AU20" s="3">
        <f t="shared" si="20"/>
        <v>163.662012260833</v>
      </c>
      <c r="AV20" s="3" t="e">
        <f>(AR20*#REF!)/'Est. Cust. Naci.'!H20</f>
        <v>#REF!</v>
      </c>
      <c r="AW20" s="3">
        <f t="shared" si="21"/>
        <v>160.2</v>
      </c>
    </row>
    <row r="21" spans="2:49">
      <c r="B21">
        <f>'LISTA DE COMPRAS'!A20</f>
        <v>16</v>
      </c>
      <c r="C21" s="21">
        <f>'LISTA DE COMPRAS'!C20</f>
        <v>1952434</v>
      </c>
      <c r="G21" s="62" t="str">
        <f>'LISTA DE COMPRAS'!D21</f>
        <v>8708-8000</v>
      </c>
      <c r="H21" s="1">
        <f>'LISTA DE COMPRAS'!J20</f>
        <v>100</v>
      </c>
      <c r="I21" s="63">
        <f>'LISTA DE COMPRAS'!P20</f>
        <v>0.0175438596491228</v>
      </c>
      <c r="J21" s="2">
        <f>'LISTA DE COMPRAS'!K20</f>
        <v>17.8</v>
      </c>
      <c r="K21" s="2">
        <f t="shared" si="5"/>
        <v>1780</v>
      </c>
      <c r="L21" s="3">
        <f t="shared" si="6"/>
        <v>9184.8</v>
      </c>
      <c r="M21" s="3">
        <f t="shared" si="7"/>
        <v>4592.4</v>
      </c>
      <c r="N21" s="4">
        <f t="shared" si="8"/>
        <v>0</v>
      </c>
      <c r="O21" s="3">
        <f>'Rateio Custos Fixos'!E27</f>
        <v>666.758333333333</v>
      </c>
      <c r="P21" s="3">
        <f t="shared" si="9"/>
        <v>9851.55833333333</v>
      </c>
      <c r="Q21" s="3">
        <f t="shared" si="10"/>
        <v>11624.8388333333</v>
      </c>
      <c r="R21" s="3">
        <f t="shared" si="3"/>
        <v>1773.2805</v>
      </c>
      <c r="S21" s="3">
        <f t="shared" si="11"/>
        <v>355.7200683</v>
      </c>
      <c r="T21" s="3">
        <f t="shared" si="12"/>
        <v>362.6949716</v>
      </c>
      <c r="U21" s="3">
        <f t="shared" si="12"/>
        <v>1670.48934035</v>
      </c>
      <c r="V21" s="3">
        <f t="shared" si="4"/>
        <v>1773.2805</v>
      </c>
      <c r="W21" s="3">
        <f t="shared" si="13"/>
        <v>5935.46538025</v>
      </c>
      <c r="X21" s="3">
        <f t="shared" si="14"/>
        <v>0</v>
      </c>
      <c r="Y21" s="3">
        <f>'Rateio Custos Fixos'!F27</f>
        <v>7.954375</v>
      </c>
      <c r="Z21" s="3">
        <f>'Rateio Custos Fixos'!G27</f>
        <v>18.1708333333333</v>
      </c>
      <c r="AA21" s="3">
        <f>'Rateio Custos Fixos'!H27</f>
        <v>57.3679166666667</v>
      </c>
      <c r="AB21" s="3">
        <f>'Rateio Custos Fixos'!I27</f>
        <v>1.78</v>
      </c>
      <c r="AC21" s="3">
        <f>'Rateio Custos Fixos'!J27</f>
        <v>4.52416666666667</v>
      </c>
      <c r="AD21" s="3">
        <f>'Rateio Custos Fixos'!K27</f>
        <v>39.7881916666667</v>
      </c>
      <c r="AE21" s="3">
        <f>'Rateio Custos Fixos'!L27</f>
        <v>28.735875</v>
      </c>
      <c r="AF21" s="3">
        <f>'Rateio Custos Fixos'!M27</f>
        <v>1.10508333333333</v>
      </c>
      <c r="AG21" s="3">
        <f>'Rateio Custos Fixos'!N27</f>
        <v>53.3406666666667</v>
      </c>
      <c r="AH21" s="3">
        <f>'Rateio Custos Fixos'!O27</f>
        <v>0</v>
      </c>
      <c r="AI21" s="3">
        <f>'Rateio Custos Fixos'!P27</f>
        <v>28.0702291666667</v>
      </c>
      <c r="AJ21" s="3">
        <f>'Rateio Custos Fixos'!Q27</f>
        <v>11.8789041666667</v>
      </c>
      <c r="AK21" s="3">
        <f>'Rateio Custos Fixos'!R27</f>
        <v>4.3554375</v>
      </c>
      <c r="AL21" s="3">
        <f>'Rateio Custos Fixos'!S27</f>
        <v>10.6058333333333</v>
      </c>
      <c r="AM21" s="3">
        <f>'Rateio Custos Fixos'!T27</f>
        <v>222.5</v>
      </c>
      <c r="AN21" s="3">
        <f>'Rateio Custos Fixos'!U27</f>
        <v>89</v>
      </c>
      <c r="AO21" s="3">
        <f t="shared" si="15"/>
        <v>579.1775125</v>
      </c>
      <c r="AP21" s="3">
        <f t="shared" si="16"/>
        <v>16366.2012260833</v>
      </c>
      <c r="AQ21" s="3">
        <v>2610.31661701474</v>
      </c>
      <c r="AR21" s="3">
        <f t="shared" si="17"/>
        <v>10430.7358458333</v>
      </c>
      <c r="AS21" s="3">
        <f t="shared" si="18"/>
        <v>163.662012260833</v>
      </c>
      <c r="AT21" s="3">
        <f t="shared" si="19"/>
        <v>104.307358458333</v>
      </c>
      <c r="AU21" s="3">
        <f t="shared" si="20"/>
        <v>163.662012260833</v>
      </c>
      <c r="AV21" s="3" t="e">
        <f>(AR21*#REF!)/'Est. Cust. Naci.'!H21</f>
        <v>#REF!</v>
      </c>
      <c r="AW21" s="3">
        <f t="shared" si="21"/>
        <v>160.2</v>
      </c>
    </row>
    <row r="22" spans="2:49">
      <c r="B22">
        <f>'LISTA DE COMPRAS'!A21</f>
        <v>17</v>
      </c>
      <c r="C22" s="21">
        <f>'LISTA DE COMPRAS'!C21</f>
        <v>3198849</v>
      </c>
      <c r="G22" s="62" t="str">
        <f>'LISTA DE COMPRAS'!D22</f>
        <v>8708-8000</v>
      </c>
      <c r="H22" s="1">
        <f>'LISTA DE COMPRAS'!J21</f>
        <v>100</v>
      </c>
      <c r="I22" s="63">
        <f>'LISTA DE COMPRAS'!P21</f>
        <v>0.0175438596491228</v>
      </c>
      <c r="J22" s="2">
        <f>'LISTA DE COMPRAS'!K21</f>
        <v>4.4</v>
      </c>
      <c r="K22" s="2">
        <f t="shared" si="5"/>
        <v>440</v>
      </c>
      <c r="L22" s="3">
        <f t="shared" si="6"/>
        <v>2270.4</v>
      </c>
      <c r="M22" s="3">
        <f t="shared" si="7"/>
        <v>1135.2</v>
      </c>
      <c r="N22" s="4">
        <f t="shared" si="8"/>
        <v>0</v>
      </c>
      <c r="O22" s="3">
        <f>'Rateio Custos Fixos'!E28</f>
        <v>164.816666666667</v>
      </c>
      <c r="P22" s="3">
        <f t="shared" si="9"/>
        <v>2435.21666666667</v>
      </c>
      <c r="Q22" s="3">
        <f t="shared" si="10"/>
        <v>2873.55566666667</v>
      </c>
      <c r="R22" s="3">
        <f t="shared" si="3"/>
        <v>438.339</v>
      </c>
      <c r="S22" s="3">
        <f t="shared" si="11"/>
        <v>87.9308034</v>
      </c>
      <c r="T22" s="3">
        <f t="shared" si="12"/>
        <v>89.6549368</v>
      </c>
      <c r="U22" s="3">
        <f t="shared" si="12"/>
        <v>412.9299493</v>
      </c>
      <c r="V22" s="3">
        <f t="shared" ref="V22:V58" si="22">$P22*V$5</f>
        <v>438.339</v>
      </c>
      <c r="W22" s="3">
        <f t="shared" si="13"/>
        <v>1467.1936895</v>
      </c>
      <c r="X22" s="3">
        <f t="shared" si="14"/>
        <v>3101.113934625</v>
      </c>
      <c r="Y22" s="3">
        <f>'Rateio Custos Fixos'!F28</f>
        <v>1.96625</v>
      </c>
      <c r="Z22" s="3">
        <f>'Rateio Custos Fixos'!G28</f>
        <v>4.49166666666667</v>
      </c>
      <c r="AA22" s="3">
        <f>'Rateio Custos Fixos'!H28</f>
        <v>14.1808333333333</v>
      </c>
      <c r="AB22" s="3">
        <f>'Rateio Custos Fixos'!I28</f>
        <v>0.44</v>
      </c>
      <c r="AC22" s="3">
        <f>'Rateio Custos Fixos'!J28</f>
        <v>1.11833333333333</v>
      </c>
      <c r="AD22" s="3">
        <f>'Rateio Custos Fixos'!K28</f>
        <v>9.83528333333333</v>
      </c>
      <c r="AE22" s="3">
        <f>'Rateio Custos Fixos'!L28</f>
        <v>7.10325</v>
      </c>
      <c r="AF22" s="3">
        <f>'Rateio Custos Fixos'!M28</f>
        <v>0.273166666666667</v>
      </c>
      <c r="AG22" s="3">
        <f>'Rateio Custos Fixos'!N28</f>
        <v>13.1853333333333</v>
      </c>
      <c r="AH22" s="3">
        <f>'Rateio Custos Fixos'!O28</f>
        <v>0</v>
      </c>
      <c r="AI22" s="3">
        <f>'Rateio Custos Fixos'!P28</f>
        <v>6.93870833333333</v>
      </c>
      <c r="AJ22" s="3">
        <f>'Rateio Custos Fixos'!Q28</f>
        <v>2.93635833333333</v>
      </c>
      <c r="AK22" s="3">
        <f>'Rateio Custos Fixos'!R28</f>
        <v>1.076625</v>
      </c>
      <c r="AL22" s="3">
        <f>'Rateio Custos Fixos'!S28</f>
        <v>2.62166666666667</v>
      </c>
      <c r="AM22" s="3">
        <f>'Rateio Custos Fixos'!T28</f>
        <v>55</v>
      </c>
      <c r="AN22" s="3">
        <f>'Rateio Custos Fixos'!U28</f>
        <v>22</v>
      </c>
      <c r="AO22" s="3">
        <f t="shared" si="15"/>
        <v>143.167475</v>
      </c>
      <c r="AP22" s="3">
        <f t="shared" si="16"/>
        <v>4045.57783116667</v>
      </c>
      <c r="AQ22" s="3">
        <v>2611.31661701474</v>
      </c>
      <c r="AR22" s="3">
        <f t="shared" si="17"/>
        <v>5679.49807629167</v>
      </c>
      <c r="AS22" s="3">
        <f t="shared" si="18"/>
        <v>40.4557783116667</v>
      </c>
      <c r="AT22" s="3">
        <f t="shared" si="19"/>
        <v>56.7949807629167</v>
      </c>
      <c r="AU22" s="3">
        <f t="shared" si="20"/>
        <v>40.4557783116667</v>
      </c>
      <c r="AV22" s="3" t="e">
        <f>(AR22*#REF!)/'Est. Cust. Naci.'!H22</f>
        <v>#REF!</v>
      </c>
      <c r="AW22" s="3">
        <f t="shared" si="21"/>
        <v>39.6</v>
      </c>
    </row>
    <row r="23" spans="2:49">
      <c r="B23">
        <f>'LISTA DE COMPRAS'!A22</f>
        <v>18</v>
      </c>
      <c r="C23" s="21">
        <f>'LISTA DE COMPRAS'!C22</f>
        <v>8078547</v>
      </c>
      <c r="G23" s="62" t="str">
        <f>'LISTA DE COMPRAS'!D23</f>
        <v>8708-8000</v>
      </c>
      <c r="H23" s="1">
        <f>'LISTA DE COMPRAS'!J22</f>
        <v>100</v>
      </c>
      <c r="I23" s="63">
        <f>'LISTA DE COMPRAS'!P22</f>
        <v>0.0175438596491228</v>
      </c>
      <c r="J23" s="2">
        <f>'LISTA DE COMPRAS'!K22</f>
        <v>6.4</v>
      </c>
      <c r="K23" s="2">
        <f t="shared" si="5"/>
        <v>640</v>
      </c>
      <c r="L23" s="3">
        <f t="shared" si="6"/>
        <v>3302.4</v>
      </c>
      <c r="M23" s="3">
        <f t="shared" si="7"/>
        <v>1651.2</v>
      </c>
      <c r="N23" s="4">
        <f t="shared" si="8"/>
        <v>0</v>
      </c>
      <c r="O23" s="3">
        <f>'Rateio Custos Fixos'!E29</f>
        <v>239.733333333333</v>
      </c>
      <c r="P23" s="3">
        <f t="shared" si="9"/>
        <v>3542.13333333333</v>
      </c>
      <c r="Q23" s="3">
        <f t="shared" si="10"/>
        <v>4179.71733333333</v>
      </c>
      <c r="R23" s="3">
        <f t="shared" si="3"/>
        <v>637.584</v>
      </c>
      <c r="S23" s="3">
        <f t="shared" si="11"/>
        <v>127.8993504</v>
      </c>
      <c r="T23" s="3">
        <f t="shared" si="12"/>
        <v>130.4071808</v>
      </c>
      <c r="U23" s="3">
        <f t="shared" si="12"/>
        <v>600.6253808</v>
      </c>
      <c r="V23" s="3">
        <f t="shared" si="22"/>
        <v>637.584</v>
      </c>
      <c r="W23" s="3">
        <f t="shared" si="13"/>
        <v>2134.099912</v>
      </c>
      <c r="X23" s="3">
        <f t="shared" si="14"/>
        <v>3101.113934625</v>
      </c>
      <c r="Y23" s="3">
        <f>'Rateio Custos Fixos'!F29</f>
        <v>2.86</v>
      </c>
      <c r="Z23" s="3">
        <f>'Rateio Custos Fixos'!G29</f>
        <v>6.53333333333333</v>
      </c>
      <c r="AA23" s="3">
        <f>'Rateio Custos Fixos'!H29</f>
        <v>20.6266666666667</v>
      </c>
      <c r="AB23" s="3">
        <f>'Rateio Custos Fixos'!I29</f>
        <v>0.64</v>
      </c>
      <c r="AC23" s="3">
        <f>'Rateio Custos Fixos'!J29</f>
        <v>1.62666666666667</v>
      </c>
      <c r="AD23" s="3">
        <f>'Rateio Custos Fixos'!K29</f>
        <v>14.3058666666667</v>
      </c>
      <c r="AE23" s="3">
        <f>'Rateio Custos Fixos'!L29</f>
        <v>10.332</v>
      </c>
      <c r="AF23" s="3">
        <f>'Rateio Custos Fixos'!M29</f>
        <v>0.397333333333333</v>
      </c>
      <c r="AG23" s="3">
        <f>'Rateio Custos Fixos'!N29</f>
        <v>19.1786666666667</v>
      </c>
      <c r="AH23" s="3">
        <f>'Rateio Custos Fixos'!O29</f>
        <v>0</v>
      </c>
      <c r="AI23" s="3">
        <f>'Rateio Custos Fixos'!P29</f>
        <v>10.0926666666667</v>
      </c>
      <c r="AJ23" s="3">
        <f>'Rateio Custos Fixos'!Q29</f>
        <v>4.27106666666667</v>
      </c>
      <c r="AK23" s="3">
        <f>'Rateio Custos Fixos'!R29</f>
        <v>1.566</v>
      </c>
      <c r="AL23" s="3">
        <f>'Rateio Custos Fixos'!S29</f>
        <v>3.81333333333333</v>
      </c>
      <c r="AM23" s="3">
        <f>'Rateio Custos Fixos'!T29</f>
        <v>80</v>
      </c>
      <c r="AN23" s="3">
        <f>'Rateio Custos Fixos'!U29</f>
        <v>32</v>
      </c>
      <c r="AO23" s="3">
        <f t="shared" si="15"/>
        <v>208.2436</v>
      </c>
      <c r="AP23" s="3">
        <f t="shared" si="16"/>
        <v>5884.47684533333</v>
      </c>
      <c r="AQ23" s="3">
        <v>2612.31661701474</v>
      </c>
      <c r="AR23" s="3">
        <f t="shared" si="17"/>
        <v>6851.49086795833</v>
      </c>
      <c r="AS23" s="3">
        <f t="shared" si="18"/>
        <v>58.8447684533333</v>
      </c>
      <c r="AT23" s="3">
        <f t="shared" si="19"/>
        <v>68.5149086795833</v>
      </c>
      <c r="AU23" s="3">
        <f t="shared" si="20"/>
        <v>58.8447684533333</v>
      </c>
      <c r="AV23" s="3" t="e">
        <f>(AR23*#REF!)/'Est. Cust. Naci.'!H23</f>
        <v>#REF!</v>
      </c>
      <c r="AW23" s="3">
        <f t="shared" si="21"/>
        <v>57.6</v>
      </c>
    </row>
    <row r="24" spans="2:49">
      <c r="B24">
        <f>'LISTA DE COMPRAS'!A23</f>
        <v>19</v>
      </c>
      <c r="C24" s="21">
        <f>'LISTA DE COMPRAS'!C23</f>
        <v>21552066</v>
      </c>
      <c r="G24" s="62" t="str">
        <f>'LISTA DE COMPRAS'!D24</f>
        <v>8708-8000</v>
      </c>
      <c r="H24" s="1">
        <f>'LISTA DE COMPRAS'!J23</f>
        <v>100</v>
      </c>
      <c r="I24" s="63">
        <f>'LISTA DE COMPRAS'!P23</f>
        <v>0.0175438596491228</v>
      </c>
      <c r="J24" s="2">
        <f>'LISTA DE COMPRAS'!K23</f>
        <v>4.6</v>
      </c>
      <c r="K24" s="2">
        <f t="shared" si="5"/>
        <v>460</v>
      </c>
      <c r="L24" s="3">
        <f t="shared" si="6"/>
        <v>2373.6</v>
      </c>
      <c r="M24" s="3">
        <f t="shared" si="7"/>
        <v>1186.8</v>
      </c>
      <c r="N24" s="4">
        <f t="shared" si="8"/>
        <v>0</v>
      </c>
      <c r="O24" s="3">
        <f>'Rateio Custos Fixos'!E30</f>
        <v>172.308333333333</v>
      </c>
      <c r="P24" s="3">
        <f t="shared" si="9"/>
        <v>2545.90833333333</v>
      </c>
      <c r="Q24" s="3">
        <f t="shared" si="10"/>
        <v>3004.17183333333</v>
      </c>
      <c r="R24" s="3">
        <f t="shared" si="3"/>
        <v>458.2635</v>
      </c>
      <c r="S24" s="3">
        <f t="shared" si="11"/>
        <v>91.9276581</v>
      </c>
      <c r="T24" s="3">
        <f t="shared" si="12"/>
        <v>93.7301612</v>
      </c>
      <c r="U24" s="3">
        <f t="shared" si="12"/>
        <v>431.69949245</v>
      </c>
      <c r="V24" s="3">
        <f t="shared" si="22"/>
        <v>458.2635</v>
      </c>
      <c r="W24" s="3">
        <f t="shared" si="13"/>
        <v>1533.88431175</v>
      </c>
      <c r="X24" s="3">
        <f t="shared" si="14"/>
        <v>3667.98422375</v>
      </c>
      <c r="Y24" s="3">
        <f>'Rateio Custos Fixos'!F30</f>
        <v>2.055625</v>
      </c>
      <c r="Z24" s="3">
        <f>'Rateio Custos Fixos'!G30</f>
        <v>4.69583333333333</v>
      </c>
      <c r="AA24" s="3">
        <f>'Rateio Custos Fixos'!H30</f>
        <v>14.8254166666667</v>
      </c>
      <c r="AB24" s="3">
        <f>'Rateio Custos Fixos'!I30</f>
        <v>0.46</v>
      </c>
      <c r="AC24" s="3">
        <f>'Rateio Custos Fixos'!J30</f>
        <v>1.16916666666667</v>
      </c>
      <c r="AD24" s="3">
        <f>'Rateio Custos Fixos'!K30</f>
        <v>10.2823416666667</v>
      </c>
      <c r="AE24" s="3">
        <f>'Rateio Custos Fixos'!L30</f>
        <v>7.426125</v>
      </c>
      <c r="AF24" s="3">
        <f>'Rateio Custos Fixos'!M30</f>
        <v>0.285583333333333</v>
      </c>
      <c r="AG24" s="3">
        <f>'Rateio Custos Fixos'!N30</f>
        <v>13.7846666666667</v>
      </c>
      <c r="AH24" s="3">
        <f>'Rateio Custos Fixos'!O30</f>
        <v>0</v>
      </c>
      <c r="AI24" s="3">
        <f>'Rateio Custos Fixos'!P30</f>
        <v>7.25410416666667</v>
      </c>
      <c r="AJ24" s="3">
        <f>'Rateio Custos Fixos'!Q30</f>
        <v>3.06982916666667</v>
      </c>
      <c r="AK24" s="3">
        <f>'Rateio Custos Fixos'!R30</f>
        <v>1.1255625</v>
      </c>
      <c r="AL24" s="3">
        <f>'Rateio Custos Fixos'!S30</f>
        <v>2.74083333333333</v>
      </c>
      <c r="AM24" s="3">
        <f>'Rateio Custos Fixos'!T30</f>
        <v>57.5</v>
      </c>
      <c r="AN24" s="3">
        <f>'Rateio Custos Fixos'!U30</f>
        <v>23</v>
      </c>
      <c r="AO24" s="3">
        <f t="shared" si="15"/>
        <v>149.6750875</v>
      </c>
      <c r="AP24" s="3">
        <f t="shared" si="16"/>
        <v>4229.46773258333</v>
      </c>
      <c r="AQ24" s="3">
        <v>2613.31661701474</v>
      </c>
      <c r="AR24" s="3">
        <f t="shared" si="17"/>
        <v>6363.56764458333</v>
      </c>
      <c r="AS24" s="3">
        <f t="shared" si="18"/>
        <v>42.2946773258333</v>
      </c>
      <c r="AT24" s="3">
        <f t="shared" si="19"/>
        <v>63.6356764458333</v>
      </c>
      <c r="AU24" s="3">
        <f t="shared" si="20"/>
        <v>42.2946773258333</v>
      </c>
      <c r="AV24" s="3" t="e">
        <f>(AR24*#REF!)/'Est. Cust. Naci.'!H24</f>
        <v>#REF!</v>
      </c>
      <c r="AW24" s="3">
        <f t="shared" si="21"/>
        <v>41.4</v>
      </c>
    </row>
    <row r="25" spans="2:49">
      <c r="B25">
        <f>'LISTA DE COMPRAS'!A24</f>
        <v>20</v>
      </c>
      <c r="C25" s="21">
        <f>'LISTA DE COMPRAS'!C24</f>
        <v>8129279</v>
      </c>
      <c r="G25" s="62" t="str">
        <f>'LISTA DE COMPRAS'!D25</f>
        <v>8708-8000</v>
      </c>
      <c r="H25" s="1">
        <f>'LISTA DE COMPRAS'!J24</f>
        <v>100</v>
      </c>
      <c r="I25" s="63">
        <f>'LISTA DE COMPRAS'!P24</f>
        <v>0.0175438596491228</v>
      </c>
      <c r="J25" s="2">
        <f>'LISTA DE COMPRAS'!K24</f>
        <v>5.1</v>
      </c>
      <c r="K25" s="2">
        <f t="shared" si="5"/>
        <v>510</v>
      </c>
      <c r="L25" s="3">
        <f t="shared" si="6"/>
        <v>2631.6</v>
      </c>
      <c r="M25" s="3">
        <f t="shared" si="7"/>
        <v>1315.8</v>
      </c>
      <c r="N25" s="4">
        <f t="shared" si="8"/>
        <v>0</v>
      </c>
      <c r="O25" s="3">
        <f>'Rateio Custos Fixos'!E31</f>
        <v>191.0375</v>
      </c>
      <c r="P25" s="3">
        <f t="shared" si="9"/>
        <v>2822.6375</v>
      </c>
      <c r="Q25" s="3">
        <f t="shared" si="10"/>
        <v>3330.71225</v>
      </c>
      <c r="R25" s="3">
        <f t="shared" si="3"/>
        <v>508.07475</v>
      </c>
      <c r="S25" s="3">
        <f t="shared" si="11"/>
        <v>101.91979485</v>
      </c>
      <c r="T25" s="3">
        <f t="shared" si="12"/>
        <v>103.9182222</v>
      </c>
      <c r="U25" s="3">
        <f t="shared" si="12"/>
        <v>478.623350325</v>
      </c>
      <c r="V25" s="3">
        <f t="shared" si="22"/>
        <v>508.07475</v>
      </c>
      <c r="W25" s="3">
        <f t="shared" si="13"/>
        <v>1700.610867375</v>
      </c>
      <c r="X25" s="3">
        <f t="shared" si="14"/>
        <v>3667.98422375</v>
      </c>
      <c r="Y25" s="3">
        <f>'Rateio Custos Fixos'!F31</f>
        <v>2.2790625</v>
      </c>
      <c r="Z25" s="3">
        <f>'Rateio Custos Fixos'!G31</f>
        <v>5.20625</v>
      </c>
      <c r="AA25" s="3">
        <f>'Rateio Custos Fixos'!H31</f>
        <v>16.436875</v>
      </c>
      <c r="AB25" s="3">
        <f>'Rateio Custos Fixos'!I31</f>
        <v>0.51</v>
      </c>
      <c r="AC25" s="3">
        <f>'Rateio Custos Fixos'!J31</f>
        <v>1.29625</v>
      </c>
      <c r="AD25" s="3">
        <f>'Rateio Custos Fixos'!K31</f>
        <v>11.3999875</v>
      </c>
      <c r="AE25" s="3">
        <f>'Rateio Custos Fixos'!L31</f>
        <v>8.2333125</v>
      </c>
      <c r="AF25" s="3">
        <f>'Rateio Custos Fixos'!M31</f>
        <v>0.316625</v>
      </c>
      <c r="AG25" s="3">
        <f>'Rateio Custos Fixos'!N31</f>
        <v>15.283</v>
      </c>
      <c r="AH25" s="3">
        <f>'Rateio Custos Fixos'!O31</f>
        <v>0</v>
      </c>
      <c r="AI25" s="3">
        <f>'Rateio Custos Fixos'!P31</f>
        <v>8.04259375</v>
      </c>
      <c r="AJ25" s="3">
        <f>'Rateio Custos Fixos'!Q31</f>
        <v>3.40350625</v>
      </c>
      <c r="AK25" s="3">
        <f>'Rateio Custos Fixos'!R31</f>
        <v>1.24790625</v>
      </c>
      <c r="AL25" s="3">
        <f>'Rateio Custos Fixos'!S31</f>
        <v>3.03875</v>
      </c>
      <c r="AM25" s="3">
        <f>'Rateio Custos Fixos'!T31</f>
        <v>63.75</v>
      </c>
      <c r="AN25" s="3">
        <f>'Rateio Custos Fixos'!U31</f>
        <v>25.5</v>
      </c>
      <c r="AO25" s="3">
        <f t="shared" si="15"/>
        <v>165.94411875</v>
      </c>
      <c r="AP25" s="3">
        <f t="shared" si="16"/>
        <v>4689.192486125</v>
      </c>
      <c r="AQ25" s="3">
        <v>2614.31661701474</v>
      </c>
      <c r="AR25" s="3">
        <f t="shared" si="17"/>
        <v>6656.5658425</v>
      </c>
      <c r="AS25" s="3">
        <f t="shared" si="18"/>
        <v>46.89192486125</v>
      </c>
      <c r="AT25" s="3">
        <f t="shared" si="19"/>
        <v>66.565658425</v>
      </c>
      <c r="AU25" s="3">
        <f t="shared" si="20"/>
        <v>46.89192486125</v>
      </c>
      <c r="AV25" s="3" t="e">
        <f>(AR25*#REF!)/'Est. Cust. Naci.'!H25</f>
        <v>#REF!</v>
      </c>
      <c r="AW25" s="3">
        <f t="shared" si="21"/>
        <v>45.9</v>
      </c>
    </row>
    <row r="26" spans="2:49">
      <c r="B26">
        <f>'LISTA DE COMPRAS'!A25</f>
        <v>21</v>
      </c>
      <c r="C26" s="21" t="str">
        <f>'LISTA DE COMPRAS'!C25</f>
        <v>DC46SK407-KA</v>
      </c>
      <c r="G26" s="62" t="str">
        <f>'LISTA DE COMPRAS'!D26</f>
        <v>8708-8000</v>
      </c>
      <c r="H26" s="1">
        <f>'LISTA DE COMPRAS'!J25</f>
        <v>0</v>
      </c>
      <c r="I26" s="63">
        <f>'LISTA DE COMPRAS'!P25</f>
        <v>0</v>
      </c>
      <c r="J26" s="2">
        <f>'LISTA DE COMPRAS'!K25</f>
        <v>0</v>
      </c>
      <c r="K26" s="2">
        <f t="shared" si="5"/>
        <v>0</v>
      </c>
      <c r="L26" s="3">
        <f t="shared" si="6"/>
        <v>0</v>
      </c>
      <c r="M26" s="3">
        <f t="shared" si="7"/>
        <v>0</v>
      </c>
      <c r="N26" s="4">
        <f t="shared" si="8"/>
        <v>0</v>
      </c>
      <c r="O26" s="3">
        <f>'Rateio Custos Fixos'!E32</f>
        <v>0</v>
      </c>
      <c r="P26" s="3">
        <f t="shared" si="9"/>
        <v>0</v>
      </c>
      <c r="Q26" s="3">
        <f t="shared" si="10"/>
        <v>0</v>
      </c>
      <c r="R26" s="3">
        <f t="shared" si="3"/>
        <v>0</v>
      </c>
      <c r="S26" s="3">
        <f t="shared" si="11"/>
        <v>0</v>
      </c>
      <c r="T26" s="3">
        <f t="shared" si="12"/>
        <v>0</v>
      </c>
      <c r="U26" s="3">
        <f t="shared" si="12"/>
        <v>0</v>
      </c>
      <c r="V26" s="3">
        <f t="shared" si="22"/>
        <v>0</v>
      </c>
      <c r="W26" s="3">
        <f t="shared" si="13"/>
        <v>0</v>
      </c>
      <c r="X26" s="3">
        <f t="shared" si="14"/>
        <v>3267.84049025</v>
      </c>
      <c r="Y26" s="3">
        <f>'Rateio Custos Fixos'!F32</f>
        <v>0</v>
      </c>
      <c r="Z26" s="3">
        <f>'Rateio Custos Fixos'!G32</f>
        <v>0</v>
      </c>
      <c r="AA26" s="3">
        <f>'Rateio Custos Fixos'!H32</f>
        <v>0</v>
      </c>
      <c r="AB26" s="3">
        <f>'Rateio Custos Fixos'!I32</f>
        <v>0</v>
      </c>
      <c r="AC26" s="3">
        <f>'Rateio Custos Fixos'!J32</f>
        <v>0</v>
      </c>
      <c r="AD26" s="3">
        <f>'Rateio Custos Fixos'!K32</f>
        <v>0</v>
      </c>
      <c r="AE26" s="3">
        <f>'Rateio Custos Fixos'!L32</f>
        <v>0</v>
      </c>
      <c r="AF26" s="3">
        <f>'Rateio Custos Fixos'!M32</f>
        <v>0</v>
      </c>
      <c r="AG26" s="3">
        <f>'Rateio Custos Fixos'!N32</f>
        <v>0</v>
      </c>
      <c r="AH26" s="3">
        <f>'Rateio Custos Fixos'!O32</f>
        <v>0</v>
      </c>
      <c r="AI26" s="3">
        <f>'Rateio Custos Fixos'!P32</f>
        <v>0</v>
      </c>
      <c r="AJ26" s="3">
        <f>'Rateio Custos Fixos'!Q32</f>
        <v>0</v>
      </c>
      <c r="AK26" s="3">
        <f>'Rateio Custos Fixos'!R32</f>
        <v>0</v>
      </c>
      <c r="AL26" s="3">
        <f>'Rateio Custos Fixos'!S32</f>
        <v>0</v>
      </c>
      <c r="AM26" s="3">
        <f>'Rateio Custos Fixos'!T32</f>
        <v>0</v>
      </c>
      <c r="AN26" s="3">
        <f>'Rateio Custos Fixos'!U32</f>
        <v>0</v>
      </c>
      <c r="AO26" s="3">
        <f t="shared" si="15"/>
        <v>0</v>
      </c>
      <c r="AP26" s="3">
        <f t="shared" si="16"/>
        <v>0</v>
      </c>
      <c r="AQ26" s="3">
        <v>2615.31661701474</v>
      </c>
      <c r="AR26" s="3">
        <f t="shared" si="17"/>
        <v>3267.84049025</v>
      </c>
      <c r="AS26" s="3" t="e">
        <f t="shared" si="18"/>
        <v>#DIV/0!</v>
      </c>
      <c r="AT26" s="3" t="e">
        <f t="shared" si="19"/>
        <v>#DIV/0!</v>
      </c>
      <c r="AU26" s="3" t="e">
        <f t="shared" si="20"/>
        <v>#DIV/0!</v>
      </c>
      <c r="AV26" s="3" t="e">
        <f>(AR26*#REF!)/'Est. Cust. Naci.'!H26</f>
        <v>#REF!</v>
      </c>
      <c r="AW26" s="3">
        <f t="shared" si="21"/>
        <v>0</v>
      </c>
    </row>
    <row r="27" spans="2:49">
      <c r="B27">
        <f>'LISTA DE COMPRAS'!A26</f>
        <v>22</v>
      </c>
      <c r="C27" s="21" t="str">
        <f>'LISTA DE COMPRAS'!C26</f>
        <v>BC455C368-CB</v>
      </c>
      <c r="G27" s="62" t="str">
        <f>'LISTA DE COMPRAS'!D27</f>
        <v>8708-8000</v>
      </c>
      <c r="H27" s="1">
        <f>'LISTA DE COMPRAS'!J26</f>
        <v>100</v>
      </c>
      <c r="I27" s="63">
        <f>'LISTA DE COMPRAS'!P26</f>
        <v>0.0175438596491228</v>
      </c>
      <c r="J27" s="2">
        <f>'LISTA DE COMPRAS'!K26</f>
        <v>9.3</v>
      </c>
      <c r="K27" s="2">
        <f t="shared" si="5"/>
        <v>930</v>
      </c>
      <c r="L27" s="3">
        <f t="shared" si="6"/>
        <v>4798.8</v>
      </c>
      <c r="M27" s="3">
        <f t="shared" si="7"/>
        <v>2399.4</v>
      </c>
      <c r="N27" s="4">
        <f t="shared" si="8"/>
        <v>0</v>
      </c>
      <c r="O27" s="3">
        <f>'Rateio Custos Fixos'!E33</f>
        <v>348.3625</v>
      </c>
      <c r="P27" s="3">
        <f t="shared" si="9"/>
        <v>5147.1625</v>
      </c>
      <c r="Q27" s="3">
        <f t="shared" si="10"/>
        <v>6073.65175</v>
      </c>
      <c r="R27" s="3">
        <f t="shared" si="3"/>
        <v>926.48925</v>
      </c>
      <c r="S27" s="3">
        <f t="shared" si="11"/>
        <v>185.85374355</v>
      </c>
      <c r="T27" s="3">
        <f t="shared" si="12"/>
        <v>189.4979346</v>
      </c>
      <c r="U27" s="3">
        <f t="shared" si="12"/>
        <v>872.783756475</v>
      </c>
      <c r="V27" s="3">
        <f t="shared" si="22"/>
        <v>926.48925</v>
      </c>
      <c r="W27" s="3">
        <f t="shared" si="13"/>
        <v>3101.113934625</v>
      </c>
      <c r="X27" s="3">
        <f t="shared" si="14"/>
        <v>3401.22173475</v>
      </c>
      <c r="Y27" s="3">
        <f>'Rateio Custos Fixos'!F33</f>
        <v>4.1559375</v>
      </c>
      <c r="Z27" s="3">
        <f>'Rateio Custos Fixos'!G33</f>
        <v>9.49375</v>
      </c>
      <c r="AA27" s="3">
        <f>'Rateio Custos Fixos'!H33</f>
        <v>29.973125</v>
      </c>
      <c r="AB27" s="3">
        <f>'Rateio Custos Fixos'!I33</f>
        <v>0.93</v>
      </c>
      <c r="AC27" s="3">
        <f>'Rateio Custos Fixos'!J33</f>
        <v>2.36375</v>
      </c>
      <c r="AD27" s="3">
        <f>'Rateio Custos Fixos'!K33</f>
        <v>20.7882125</v>
      </c>
      <c r="AE27" s="3">
        <f>'Rateio Custos Fixos'!L33</f>
        <v>15.0136875</v>
      </c>
      <c r="AF27" s="3">
        <f>'Rateio Custos Fixos'!M33</f>
        <v>0.577375</v>
      </c>
      <c r="AG27" s="3">
        <f>'Rateio Custos Fixos'!N33</f>
        <v>27.869</v>
      </c>
      <c r="AH27" s="3">
        <f>'Rateio Custos Fixos'!O33</f>
        <v>0</v>
      </c>
      <c r="AI27" s="3">
        <f>'Rateio Custos Fixos'!P33</f>
        <v>14.66590625</v>
      </c>
      <c r="AJ27" s="3">
        <f>'Rateio Custos Fixos'!Q33</f>
        <v>6.20639375</v>
      </c>
      <c r="AK27" s="3">
        <f>'Rateio Custos Fixos'!R33</f>
        <v>2.27559375</v>
      </c>
      <c r="AL27" s="3">
        <f>'Rateio Custos Fixos'!S33</f>
        <v>5.54125</v>
      </c>
      <c r="AM27" s="3">
        <f>'Rateio Custos Fixos'!T33</f>
        <v>116.25</v>
      </c>
      <c r="AN27" s="3">
        <f>'Rateio Custos Fixos'!U33</f>
        <v>46.5</v>
      </c>
      <c r="AO27" s="3">
        <f t="shared" si="15"/>
        <v>302.60398125</v>
      </c>
      <c r="AP27" s="3">
        <f t="shared" si="16"/>
        <v>8550.880415875</v>
      </c>
      <c r="AQ27" s="3">
        <v>2616.31661701474</v>
      </c>
      <c r="AR27" s="3">
        <f t="shared" si="17"/>
        <v>8850.988216</v>
      </c>
      <c r="AS27" s="3">
        <f t="shared" si="18"/>
        <v>85.50880415875</v>
      </c>
      <c r="AT27" s="3">
        <f t="shared" si="19"/>
        <v>88.50988216</v>
      </c>
      <c r="AU27" s="3">
        <f t="shared" si="20"/>
        <v>85.50880415875</v>
      </c>
      <c r="AV27" s="3" t="e">
        <f>(AR27*#REF!)/'Est. Cust. Naci.'!H27</f>
        <v>#REF!</v>
      </c>
      <c r="AW27" s="3">
        <f t="shared" si="21"/>
        <v>83.7</v>
      </c>
    </row>
    <row r="28" spans="2:49">
      <c r="B28">
        <f>'LISTA DE COMPRAS'!A27</f>
        <v>23</v>
      </c>
      <c r="C28" s="21" t="str">
        <f>'LISTA DE COMPRAS'!C27</f>
        <v>BC455C398-CA</v>
      </c>
      <c r="G28" s="62" t="str">
        <f>'LISTA DE COMPRAS'!D28</f>
        <v>8708-8000</v>
      </c>
      <c r="H28" s="1">
        <f>'LISTA DE COMPRAS'!J27</f>
        <v>100</v>
      </c>
      <c r="I28" s="63">
        <f>'LISTA DE COMPRAS'!P27</f>
        <v>0.0175438596491228</v>
      </c>
      <c r="J28" s="2">
        <f>'LISTA DE COMPRAS'!K27</f>
        <v>9.3</v>
      </c>
      <c r="K28" s="2">
        <f t="shared" si="5"/>
        <v>930</v>
      </c>
      <c r="L28" s="3">
        <f t="shared" si="6"/>
        <v>4798.8</v>
      </c>
      <c r="M28" s="3">
        <f t="shared" si="7"/>
        <v>2399.4</v>
      </c>
      <c r="N28" s="4">
        <f t="shared" si="8"/>
        <v>0</v>
      </c>
      <c r="O28" s="3">
        <f>'Rateio Custos Fixos'!E34</f>
        <v>348.3625</v>
      </c>
      <c r="P28" s="3">
        <f t="shared" si="9"/>
        <v>5147.1625</v>
      </c>
      <c r="Q28" s="3">
        <f t="shared" si="10"/>
        <v>6073.65175</v>
      </c>
      <c r="R28" s="3">
        <f t="shared" si="3"/>
        <v>926.48925</v>
      </c>
      <c r="S28" s="3">
        <f t="shared" si="11"/>
        <v>185.85374355</v>
      </c>
      <c r="T28" s="3">
        <f t="shared" si="12"/>
        <v>189.4979346</v>
      </c>
      <c r="U28" s="3">
        <f t="shared" si="12"/>
        <v>872.783756475</v>
      </c>
      <c r="V28" s="3">
        <f t="shared" si="22"/>
        <v>926.48925</v>
      </c>
      <c r="W28" s="3">
        <f t="shared" si="13"/>
        <v>3101.113934625</v>
      </c>
      <c r="X28" s="3">
        <f t="shared" si="14"/>
        <v>3401.22173475</v>
      </c>
      <c r="Y28" s="3">
        <f>'Rateio Custos Fixos'!F34</f>
        <v>4.1559375</v>
      </c>
      <c r="Z28" s="3">
        <f>'Rateio Custos Fixos'!G34</f>
        <v>9.49375</v>
      </c>
      <c r="AA28" s="3">
        <f>'Rateio Custos Fixos'!H34</f>
        <v>29.973125</v>
      </c>
      <c r="AB28" s="3">
        <f>'Rateio Custos Fixos'!I34</f>
        <v>0.93</v>
      </c>
      <c r="AC28" s="3">
        <f>'Rateio Custos Fixos'!J34</f>
        <v>2.36375</v>
      </c>
      <c r="AD28" s="3">
        <f>'Rateio Custos Fixos'!K34</f>
        <v>20.7882125</v>
      </c>
      <c r="AE28" s="3">
        <f>'Rateio Custos Fixos'!L34</f>
        <v>15.0136875</v>
      </c>
      <c r="AF28" s="3">
        <f>'Rateio Custos Fixos'!M34</f>
        <v>0.577375</v>
      </c>
      <c r="AG28" s="3">
        <f>'Rateio Custos Fixos'!N34</f>
        <v>27.869</v>
      </c>
      <c r="AH28" s="3">
        <f>'Rateio Custos Fixos'!O34</f>
        <v>0</v>
      </c>
      <c r="AI28" s="3">
        <f>'Rateio Custos Fixos'!P34</f>
        <v>14.66590625</v>
      </c>
      <c r="AJ28" s="3">
        <f>'Rateio Custos Fixos'!Q34</f>
        <v>6.20639375</v>
      </c>
      <c r="AK28" s="3">
        <f>'Rateio Custos Fixos'!R34</f>
        <v>2.27559375</v>
      </c>
      <c r="AL28" s="3">
        <f>'Rateio Custos Fixos'!S34</f>
        <v>5.54125</v>
      </c>
      <c r="AM28" s="3">
        <f>'Rateio Custos Fixos'!T34</f>
        <v>116.25</v>
      </c>
      <c r="AN28" s="3">
        <f>'Rateio Custos Fixos'!U34</f>
        <v>46.5</v>
      </c>
      <c r="AO28" s="3">
        <f t="shared" si="15"/>
        <v>302.60398125</v>
      </c>
      <c r="AP28" s="3">
        <f t="shared" si="16"/>
        <v>8550.880415875</v>
      </c>
      <c r="AQ28" s="3">
        <v>2617.31661701474</v>
      </c>
      <c r="AR28" s="3">
        <f t="shared" si="17"/>
        <v>8850.988216</v>
      </c>
      <c r="AS28" s="3">
        <f t="shared" si="18"/>
        <v>85.50880415875</v>
      </c>
      <c r="AT28" s="3">
        <f t="shared" si="19"/>
        <v>88.50988216</v>
      </c>
      <c r="AU28" s="3">
        <f t="shared" si="20"/>
        <v>85.50880415875</v>
      </c>
      <c r="AV28" s="3" t="e">
        <f>(AR28*#REF!)/'Est. Cust. Naci.'!H28</f>
        <v>#REF!</v>
      </c>
      <c r="AW28" s="3">
        <f t="shared" si="21"/>
        <v>83.7</v>
      </c>
    </row>
    <row r="29" spans="2:49">
      <c r="B29">
        <f>'LISTA DE COMPRAS'!A28</f>
        <v>24</v>
      </c>
      <c r="C29" s="21" t="str">
        <f>'LISTA DE COMPRAS'!C28</f>
        <v>BC455C368-BB</v>
      </c>
      <c r="G29" s="62" t="str">
        <f>'LISTA DE COMPRAS'!D29</f>
        <v>8708-8000</v>
      </c>
      <c r="H29" s="1">
        <f>'LISTA DE COMPRAS'!J28</f>
        <v>100</v>
      </c>
      <c r="I29" s="63">
        <f>'LISTA DE COMPRAS'!P28</f>
        <v>0.0175438596491228</v>
      </c>
      <c r="J29" s="2">
        <f>'LISTA DE COMPRAS'!K28</f>
        <v>11</v>
      </c>
      <c r="K29" s="2">
        <f t="shared" si="5"/>
        <v>1100</v>
      </c>
      <c r="L29" s="3">
        <f t="shared" si="6"/>
        <v>5676</v>
      </c>
      <c r="M29" s="3">
        <f t="shared" si="7"/>
        <v>2838</v>
      </c>
      <c r="N29" s="4">
        <f t="shared" si="8"/>
        <v>0</v>
      </c>
      <c r="O29" s="3">
        <f>'Rateio Custos Fixos'!E35</f>
        <v>412.041666666667</v>
      </c>
      <c r="P29" s="3">
        <f t="shared" si="9"/>
        <v>6088.04166666667</v>
      </c>
      <c r="Q29" s="3">
        <f t="shared" si="10"/>
        <v>7183.88916666667</v>
      </c>
      <c r="R29" s="3">
        <f t="shared" si="3"/>
        <v>1095.8475</v>
      </c>
      <c r="S29" s="3">
        <f t="shared" si="11"/>
        <v>219.8270085</v>
      </c>
      <c r="T29" s="3">
        <f t="shared" si="12"/>
        <v>224.137342</v>
      </c>
      <c r="U29" s="3">
        <f t="shared" si="12"/>
        <v>1032.32487325</v>
      </c>
      <c r="V29" s="3">
        <f t="shared" si="22"/>
        <v>1095.8475</v>
      </c>
      <c r="W29" s="3">
        <f t="shared" si="13"/>
        <v>3667.98422375</v>
      </c>
      <c r="X29" s="3">
        <f t="shared" si="14"/>
        <v>3667.98422375</v>
      </c>
      <c r="Y29" s="3">
        <f>'Rateio Custos Fixos'!F35</f>
        <v>4.915625</v>
      </c>
      <c r="Z29" s="3">
        <f>'Rateio Custos Fixos'!G35</f>
        <v>11.2291666666667</v>
      </c>
      <c r="AA29" s="3">
        <f>'Rateio Custos Fixos'!H35</f>
        <v>35.4520833333333</v>
      </c>
      <c r="AB29" s="3">
        <f>'Rateio Custos Fixos'!I35</f>
        <v>1.1</v>
      </c>
      <c r="AC29" s="3">
        <f>'Rateio Custos Fixos'!J35</f>
        <v>2.79583333333333</v>
      </c>
      <c r="AD29" s="3">
        <f>'Rateio Custos Fixos'!K35</f>
        <v>24.5882083333333</v>
      </c>
      <c r="AE29" s="3">
        <f>'Rateio Custos Fixos'!L35</f>
        <v>17.758125</v>
      </c>
      <c r="AF29" s="3">
        <f>'Rateio Custos Fixos'!M35</f>
        <v>0.682916666666667</v>
      </c>
      <c r="AG29" s="3">
        <f>'Rateio Custos Fixos'!N35</f>
        <v>32.9633333333333</v>
      </c>
      <c r="AH29" s="3">
        <f>'Rateio Custos Fixos'!O35</f>
        <v>0</v>
      </c>
      <c r="AI29" s="3">
        <f>'Rateio Custos Fixos'!P35</f>
        <v>17.3467708333333</v>
      </c>
      <c r="AJ29" s="3">
        <f>'Rateio Custos Fixos'!Q35</f>
        <v>7.34089583333333</v>
      </c>
      <c r="AK29" s="3">
        <f>'Rateio Custos Fixos'!R35</f>
        <v>2.6915625</v>
      </c>
      <c r="AL29" s="3">
        <f>'Rateio Custos Fixos'!S35</f>
        <v>6.55416666666667</v>
      </c>
      <c r="AM29" s="3">
        <f>'Rateio Custos Fixos'!T35</f>
        <v>137.5</v>
      </c>
      <c r="AN29" s="3">
        <f>'Rateio Custos Fixos'!U35</f>
        <v>55</v>
      </c>
      <c r="AO29" s="3">
        <f t="shared" si="15"/>
        <v>357.9186875</v>
      </c>
      <c r="AP29" s="3">
        <f t="shared" si="16"/>
        <v>10113.9445779167</v>
      </c>
      <c r="AQ29" s="3">
        <v>2618.31661701474</v>
      </c>
      <c r="AR29" s="3">
        <f t="shared" si="17"/>
        <v>10113.9445779167</v>
      </c>
      <c r="AS29" s="3">
        <f t="shared" si="18"/>
        <v>101.139445779167</v>
      </c>
      <c r="AT29" s="3">
        <f t="shared" si="19"/>
        <v>101.139445779167</v>
      </c>
      <c r="AU29" s="3">
        <f t="shared" si="20"/>
        <v>101.139445779167</v>
      </c>
      <c r="AV29" s="3" t="e">
        <f>(AR29*#REF!)/'Est. Cust. Naci.'!H29</f>
        <v>#REF!</v>
      </c>
      <c r="AW29" s="3">
        <f t="shared" si="21"/>
        <v>99</v>
      </c>
    </row>
    <row r="30" spans="2:49">
      <c r="B30">
        <f>'LISTA DE COMPRAS'!A29</f>
        <v>25</v>
      </c>
      <c r="C30" s="21" t="str">
        <f>'LISTA DE COMPRAS'!C29</f>
        <v>BC455C398-BA</v>
      </c>
      <c r="G30" s="62" t="str">
        <f>'LISTA DE COMPRAS'!D30</f>
        <v>8708-8000</v>
      </c>
      <c r="H30" s="1">
        <f>'LISTA DE COMPRAS'!J29</f>
        <v>100</v>
      </c>
      <c r="I30" s="63">
        <f>'LISTA DE COMPRAS'!P29</f>
        <v>0.0175438596491228</v>
      </c>
      <c r="J30" s="2">
        <f>'LISTA DE COMPRAS'!K29</f>
        <v>11</v>
      </c>
      <c r="K30" s="2">
        <f t="shared" si="5"/>
        <v>1100</v>
      </c>
      <c r="L30" s="3">
        <f t="shared" si="6"/>
        <v>5676</v>
      </c>
      <c r="M30" s="3">
        <f t="shared" si="7"/>
        <v>2838</v>
      </c>
      <c r="N30" s="4">
        <f t="shared" si="8"/>
        <v>0</v>
      </c>
      <c r="O30" s="3">
        <f>'Rateio Custos Fixos'!E36</f>
        <v>412.041666666667</v>
      </c>
      <c r="P30" s="3">
        <f t="shared" si="9"/>
        <v>6088.04166666667</v>
      </c>
      <c r="Q30" s="3">
        <f t="shared" si="10"/>
        <v>7183.88916666667</v>
      </c>
      <c r="R30" s="3">
        <f t="shared" si="3"/>
        <v>1095.8475</v>
      </c>
      <c r="S30" s="3">
        <f t="shared" si="11"/>
        <v>219.8270085</v>
      </c>
      <c r="T30" s="3">
        <f t="shared" si="12"/>
        <v>224.137342</v>
      </c>
      <c r="U30" s="3">
        <f t="shared" si="12"/>
        <v>1032.32487325</v>
      </c>
      <c r="V30" s="3">
        <f t="shared" si="22"/>
        <v>1095.8475</v>
      </c>
      <c r="W30" s="3">
        <f t="shared" si="13"/>
        <v>3667.98422375</v>
      </c>
      <c r="X30" s="3">
        <f t="shared" si="14"/>
        <v>4534.962313</v>
      </c>
      <c r="Y30" s="3">
        <f>'Rateio Custos Fixos'!F36</f>
        <v>4.915625</v>
      </c>
      <c r="Z30" s="3">
        <f>'Rateio Custos Fixos'!G36</f>
        <v>11.2291666666667</v>
      </c>
      <c r="AA30" s="3">
        <f>'Rateio Custos Fixos'!H36</f>
        <v>35.4520833333333</v>
      </c>
      <c r="AB30" s="3">
        <f>'Rateio Custos Fixos'!I36</f>
        <v>1.1</v>
      </c>
      <c r="AC30" s="3">
        <f>'Rateio Custos Fixos'!J36</f>
        <v>2.79583333333333</v>
      </c>
      <c r="AD30" s="3">
        <f>'Rateio Custos Fixos'!K36</f>
        <v>24.5882083333333</v>
      </c>
      <c r="AE30" s="3">
        <f>'Rateio Custos Fixos'!L36</f>
        <v>17.758125</v>
      </c>
      <c r="AF30" s="3">
        <f>'Rateio Custos Fixos'!M36</f>
        <v>0.682916666666667</v>
      </c>
      <c r="AG30" s="3">
        <f>'Rateio Custos Fixos'!N36</f>
        <v>32.9633333333333</v>
      </c>
      <c r="AH30" s="3">
        <f>'Rateio Custos Fixos'!O36</f>
        <v>0</v>
      </c>
      <c r="AI30" s="3">
        <f>'Rateio Custos Fixos'!P36</f>
        <v>17.3467708333333</v>
      </c>
      <c r="AJ30" s="3">
        <f>'Rateio Custos Fixos'!Q36</f>
        <v>7.34089583333333</v>
      </c>
      <c r="AK30" s="3">
        <f>'Rateio Custos Fixos'!R36</f>
        <v>2.6915625</v>
      </c>
      <c r="AL30" s="3">
        <f>'Rateio Custos Fixos'!S36</f>
        <v>6.55416666666667</v>
      </c>
      <c r="AM30" s="3">
        <f>'Rateio Custos Fixos'!T36</f>
        <v>137.5</v>
      </c>
      <c r="AN30" s="3">
        <f>'Rateio Custos Fixos'!U36</f>
        <v>55</v>
      </c>
      <c r="AO30" s="3">
        <f t="shared" si="15"/>
        <v>357.9186875</v>
      </c>
      <c r="AP30" s="3">
        <f t="shared" si="16"/>
        <v>10113.9445779167</v>
      </c>
      <c r="AQ30" s="3">
        <v>2619.31661701474</v>
      </c>
      <c r="AR30" s="3">
        <f t="shared" si="17"/>
        <v>10980.9226671667</v>
      </c>
      <c r="AS30" s="3">
        <f t="shared" si="18"/>
        <v>101.139445779167</v>
      </c>
      <c r="AT30" s="3">
        <f t="shared" si="19"/>
        <v>109.809226671667</v>
      </c>
      <c r="AU30" s="3">
        <f t="shared" si="20"/>
        <v>101.139445779167</v>
      </c>
      <c r="AV30" s="3" t="e">
        <f>(AR30*#REF!)/'Est. Cust. Naci.'!H30</f>
        <v>#REF!</v>
      </c>
      <c r="AW30" s="3">
        <f t="shared" si="21"/>
        <v>99</v>
      </c>
    </row>
    <row r="31" spans="2:49">
      <c r="B31">
        <f>'LISTA DE COMPRAS'!A30</f>
        <v>26</v>
      </c>
      <c r="C31" s="21" t="str">
        <f>'LISTA DE COMPRAS'!C30</f>
        <v>DC465K407-DA</v>
      </c>
      <c r="G31" s="62" t="str">
        <f>'LISTA DE COMPRAS'!D31</f>
        <v>8708-8000</v>
      </c>
      <c r="H31" s="1">
        <f>'LISTA DE COMPRAS'!J30</f>
        <v>100</v>
      </c>
      <c r="I31" s="63">
        <f>'LISTA DE COMPRAS'!P30</f>
        <v>0.0175438596491228</v>
      </c>
      <c r="J31" s="2">
        <f>'LISTA DE COMPRAS'!K30</f>
        <v>9.8</v>
      </c>
      <c r="K31" s="2">
        <f t="shared" si="5"/>
        <v>980</v>
      </c>
      <c r="L31" s="3">
        <f t="shared" si="6"/>
        <v>5056.8</v>
      </c>
      <c r="M31" s="3">
        <f t="shared" si="7"/>
        <v>2528.4</v>
      </c>
      <c r="N31" s="4">
        <f t="shared" si="8"/>
        <v>0</v>
      </c>
      <c r="O31" s="3">
        <f>'Rateio Custos Fixos'!E37</f>
        <v>367.091666666667</v>
      </c>
      <c r="P31" s="3">
        <f t="shared" si="9"/>
        <v>5423.89166666667</v>
      </c>
      <c r="Q31" s="3">
        <f t="shared" si="10"/>
        <v>6400.19216666667</v>
      </c>
      <c r="R31" s="3">
        <f t="shared" si="3"/>
        <v>976.3005</v>
      </c>
      <c r="S31" s="3">
        <f t="shared" si="11"/>
        <v>195.8458803</v>
      </c>
      <c r="T31" s="3">
        <f t="shared" si="12"/>
        <v>199.6859956</v>
      </c>
      <c r="U31" s="3">
        <f t="shared" si="12"/>
        <v>919.70761435</v>
      </c>
      <c r="V31" s="3">
        <f t="shared" si="22"/>
        <v>976.3005</v>
      </c>
      <c r="W31" s="3">
        <f t="shared" si="13"/>
        <v>3267.84049025</v>
      </c>
      <c r="X31" s="3">
        <f t="shared" si="14"/>
        <v>0</v>
      </c>
      <c r="Y31" s="3">
        <f>'Rateio Custos Fixos'!F37</f>
        <v>4.379375</v>
      </c>
      <c r="Z31" s="3">
        <f>'Rateio Custos Fixos'!G37</f>
        <v>10.0041666666667</v>
      </c>
      <c r="AA31" s="3">
        <f>'Rateio Custos Fixos'!H37</f>
        <v>31.5845833333333</v>
      </c>
      <c r="AB31" s="3">
        <f>'Rateio Custos Fixos'!I37</f>
        <v>0.98</v>
      </c>
      <c r="AC31" s="3">
        <f>'Rateio Custos Fixos'!J37</f>
        <v>2.49083333333333</v>
      </c>
      <c r="AD31" s="3">
        <f>'Rateio Custos Fixos'!K37</f>
        <v>21.9058583333333</v>
      </c>
      <c r="AE31" s="3">
        <f>'Rateio Custos Fixos'!L37</f>
        <v>15.820875</v>
      </c>
      <c r="AF31" s="3">
        <f>'Rateio Custos Fixos'!M37</f>
        <v>0.608416666666667</v>
      </c>
      <c r="AG31" s="3">
        <f>'Rateio Custos Fixos'!N37</f>
        <v>29.3673333333333</v>
      </c>
      <c r="AH31" s="3">
        <f>'Rateio Custos Fixos'!O37</f>
        <v>0</v>
      </c>
      <c r="AI31" s="3">
        <f>'Rateio Custos Fixos'!P37</f>
        <v>15.4543958333333</v>
      </c>
      <c r="AJ31" s="3">
        <f>'Rateio Custos Fixos'!Q37</f>
        <v>6.54007083333333</v>
      </c>
      <c r="AK31" s="3">
        <f>'Rateio Custos Fixos'!R37</f>
        <v>2.3979375</v>
      </c>
      <c r="AL31" s="3">
        <f>'Rateio Custos Fixos'!S37</f>
        <v>5.83916666666667</v>
      </c>
      <c r="AM31" s="3">
        <f>'Rateio Custos Fixos'!T37</f>
        <v>122.5</v>
      </c>
      <c r="AN31" s="3">
        <f>'Rateio Custos Fixos'!U37</f>
        <v>49</v>
      </c>
      <c r="AO31" s="3">
        <f t="shared" si="15"/>
        <v>318.8730125</v>
      </c>
      <c r="AP31" s="3">
        <f t="shared" si="16"/>
        <v>9010.60516941667</v>
      </c>
      <c r="AQ31" s="3">
        <v>2620.31661701474</v>
      </c>
      <c r="AR31" s="3">
        <f t="shared" si="17"/>
        <v>5742.76467916667</v>
      </c>
      <c r="AS31" s="3">
        <f t="shared" si="18"/>
        <v>90.1060516941667</v>
      </c>
      <c r="AT31" s="3">
        <f t="shared" si="19"/>
        <v>57.4276467916667</v>
      </c>
      <c r="AU31" s="3">
        <f t="shared" si="20"/>
        <v>90.1060516941667</v>
      </c>
      <c r="AV31" s="3" t="e">
        <f>(AR31*#REF!)/'Est. Cust. Naci.'!H31</f>
        <v>#REF!</v>
      </c>
      <c r="AW31" s="3">
        <f t="shared" si="21"/>
        <v>88.2</v>
      </c>
    </row>
    <row r="32" spans="2:49">
      <c r="B32">
        <f>'LISTA DE COMPRAS'!A31</f>
        <v>27</v>
      </c>
      <c r="C32" s="21" t="str">
        <f>'LISTA DE COMPRAS'!C31</f>
        <v>DC465K407-EA</v>
      </c>
      <c r="G32" s="62" t="str">
        <f>'LISTA DE COMPRAS'!D32</f>
        <v>8708-8000</v>
      </c>
      <c r="H32" s="1">
        <f>'LISTA DE COMPRAS'!J31</f>
        <v>100</v>
      </c>
      <c r="I32" s="63">
        <f>'LISTA DE COMPRAS'!P31</f>
        <v>0.0175438596491228</v>
      </c>
      <c r="J32" s="2">
        <f>'LISTA DE COMPRAS'!K31</f>
        <v>10.2</v>
      </c>
      <c r="K32" s="2">
        <f t="shared" si="5"/>
        <v>1020</v>
      </c>
      <c r="L32" s="3">
        <f t="shared" si="6"/>
        <v>5263.2</v>
      </c>
      <c r="M32" s="3">
        <f t="shared" si="7"/>
        <v>2631.6</v>
      </c>
      <c r="N32" s="4">
        <f t="shared" si="8"/>
        <v>0</v>
      </c>
      <c r="O32" s="3">
        <f>'Rateio Custos Fixos'!E38</f>
        <v>382.075</v>
      </c>
      <c r="P32" s="3">
        <f t="shared" si="9"/>
        <v>5645.275</v>
      </c>
      <c r="Q32" s="3">
        <f t="shared" si="10"/>
        <v>6661.4245</v>
      </c>
      <c r="R32" s="3">
        <f t="shared" si="3"/>
        <v>1016.1495</v>
      </c>
      <c r="S32" s="3">
        <f t="shared" si="11"/>
        <v>203.8395897</v>
      </c>
      <c r="T32" s="3">
        <f t="shared" si="12"/>
        <v>207.8364444</v>
      </c>
      <c r="U32" s="3">
        <f t="shared" si="12"/>
        <v>957.24670065</v>
      </c>
      <c r="V32" s="3">
        <f t="shared" si="22"/>
        <v>1016.1495</v>
      </c>
      <c r="W32" s="3">
        <f t="shared" si="13"/>
        <v>3401.22173475</v>
      </c>
      <c r="X32" s="3">
        <f t="shared" si="14"/>
        <v>0</v>
      </c>
      <c r="Y32" s="3">
        <f>'Rateio Custos Fixos'!F38</f>
        <v>4.558125</v>
      </c>
      <c r="Z32" s="3">
        <f>'Rateio Custos Fixos'!G38</f>
        <v>10.4125</v>
      </c>
      <c r="AA32" s="3">
        <f>'Rateio Custos Fixos'!H38</f>
        <v>32.87375</v>
      </c>
      <c r="AB32" s="3">
        <f>'Rateio Custos Fixos'!I38</f>
        <v>1.02</v>
      </c>
      <c r="AC32" s="3">
        <f>'Rateio Custos Fixos'!J38</f>
        <v>2.5925</v>
      </c>
      <c r="AD32" s="3">
        <f>'Rateio Custos Fixos'!K38</f>
        <v>22.799975</v>
      </c>
      <c r="AE32" s="3">
        <f>'Rateio Custos Fixos'!L38</f>
        <v>16.466625</v>
      </c>
      <c r="AF32" s="3">
        <f>'Rateio Custos Fixos'!M38</f>
        <v>0.63325</v>
      </c>
      <c r="AG32" s="3">
        <f>'Rateio Custos Fixos'!N38</f>
        <v>30.566</v>
      </c>
      <c r="AH32" s="3">
        <f>'Rateio Custos Fixos'!O38</f>
        <v>0</v>
      </c>
      <c r="AI32" s="3">
        <f>'Rateio Custos Fixos'!P38</f>
        <v>16.0851875</v>
      </c>
      <c r="AJ32" s="3">
        <f>'Rateio Custos Fixos'!Q38</f>
        <v>6.8070125</v>
      </c>
      <c r="AK32" s="3">
        <f>'Rateio Custos Fixos'!R38</f>
        <v>2.4958125</v>
      </c>
      <c r="AL32" s="3">
        <f>'Rateio Custos Fixos'!S38</f>
        <v>6.0775</v>
      </c>
      <c r="AM32" s="3">
        <f>'Rateio Custos Fixos'!T38</f>
        <v>127.5</v>
      </c>
      <c r="AN32" s="3">
        <f>'Rateio Custos Fixos'!U38</f>
        <v>51</v>
      </c>
      <c r="AO32" s="3">
        <f t="shared" si="15"/>
        <v>331.8882375</v>
      </c>
      <c r="AP32" s="3">
        <f t="shared" si="16"/>
        <v>9378.38497225</v>
      </c>
      <c r="AQ32" s="3">
        <v>2621.31661701474</v>
      </c>
      <c r="AR32" s="3">
        <f t="shared" si="17"/>
        <v>5977.1632375</v>
      </c>
      <c r="AS32" s="3">
        <f t="shared" si="18"/>
        <v>93.7838497225</v>
      </c>
      <c r="AT32" s="3">
        <f t="shared" si="19"/>
        <v>59.771632375</v>
      </c>
      <c r="AU32" s="3">
        <f t="shared" si="20"/>
        <v>93.7838497225</v>
      </c>
      <c r="AV32" s="3" t="e">
        <f>(AR32*#REF!)/'Est. Cust. Naci.'!H32</f>
        <v>#REF!</v>
      </c>
      <c r="AW32" s="3">
        <f t="shared" si="21"/>
        <v>91.8</v>
      </c>
    </row>
    <row r="33" spans="2:49">
      <c r="B33">
        <f>'LISTA DE COMPRAS'!A32</f>
        <v>28</v>
      </c>
      <c r="C33" s="21" t="str">
        <f>'LISTA DE COMPRAS'!C32</f>
        <v>2T2899515</v>
      </c>
      <c r="G33" s="62" t="str">
        <f>'LISTA DE COMPRAS'!D33</f>
        <v>8708-8000</v>
      </c>
      <c r="H33" s="1">
        <f>'LISTA DE COMPRAS'!J32</f>
        <v>100</v>
      </c>
      <c r="I33" s="63">
        <f>'LISTA DE COMPRAS'!P32</f>
        <v>0.0175438596491228</v>
      </c>
      <c r="J33" s="2">
        <f>'LISTA DE COMPRAS'!K32</f>
        <v>10.2</v>
      </c>
      <c r="K33" s="2">
        <f t="shared" si="5"/>
        <v>1020</v>
      </c>
      <c r="L33" s="3">
        <f t="shared" si="6"/>
        <v>5263.2</v>
      </c>
      <c r="M33" s="3">
        <f t="shared" si="7"/>
        <v>2631.6</v>
      </c>
      <c r="N33" s="4">
        <f t="shared" si="8"/>
        <v>0</v>
      </c>
      <c r="O33" s="3">
        <f>'Rateio Custos Fixos'!E39</f>
        <v>382.075</v>
      </c>
      <c r="P33" s="3">
        <f t="shared" si="9"/>
        <v>5645.275</v>
      </c>
      <c r="Q33" s="3">
        <f t="shared" si="10"/>
        <v>6661.4245</v>
      </c>
      <c r="R33" s="3">
        <f t="shared" si="3"/>
        <v>1016.1495</v>
      </c>
      <c r="S33" s="3">
        <f t="shared" si="11"/>
        <v>203.8395897</v>
      </c>
      <c r="T33" s="3">
        <f t="shared" si="12"/>
        <v>207.8364444</v>
      </c>
      <c r="U33" s="3">
        <f t="shared" si="12"/>
        <v>957.24670065</v>
      </c>
      <c r="V33" s="3">
        <f t="shared" si="22"/>
        <v>1016.1495</v>
      </c>
      <c r="W33" s="3">
        <f t="shared" si="13"/>
        <v>3401.22173475</v>
      </c>
      <c r="X33" s="3">
        <f t="shared" si="14"/>
        <v>1800.64680075</v>
      </c>
      <c r="Y33" s="3">
        <f>'Rateio Custos Fixos'!F39</f>
        <v>4.558125</v>
      </c>
      <c r="Z33" s="3">
        <f>'Rateio Custos Fixos'!G39</f>
        <v>10.4125</v>
      </c>
      <c r="AA33" s="3">
        <f>'Rateio Custos Fixos'!H39</f>
        <v>32.87375</v>
      </c>
      <c r="AB33" s="3">
        <f>'Rateio Custos Fixos'!I39</f>
        <v>1.02</v>
      </c>
      <c r="AC33" s="3">
        <f>'Rateio Custos Fixos'!J39</f>
        <v>2.5925</v>
      </c>
      <c r="AD33" s="3">
        <f>'Rateio Custos Fixos'!K39</f>
        <v>22.799975</v>
      </c>
      <c r="AE33" s="3">
        <f>'Rateio Custos Fixos'!L39</f>
        <v>16.466625</v>
      </c>
      <c r="AF33" s="3">
        <f>'Rateio Custos Fixos'!M39</f>
        <v>0.63325</v>
      </c>
      <c r="AG33" s="3">
        <f>'Rateio Custos Fixos'!N39</f>
        <v>30.566</v>
      </c>
      <c r="AH33" s="3">
        <f>'Rateio Custos Fixos'!O39</f>
        <v>0</v>
      </c>
      <c r="AI33" s="3">
        <f>'Rateio Custos Fixos'!P39</f>
        <v>16.0851875</v>
      </c>
      <c r="AJ33" s="3">
        <f>'Rateio Custos Fixos'!Q39</f>
        <v>6.8070125</v>
      </c>
      <c r="AK33" s="3">
        <f>'Rateio Custos Fixos'!R39</f>
        <v>2.4958125</v>
      </c>
      <c r="AL33" s="3">
        <f>'Rateio Custos Fixos'!S39</f>
        <v>6.0775</v>
      </c>
      <c r="AM33" s="3">
        <f>'Rateio Custos Fixos'!T39</f>
        <v>127.5</v>
      </c>
      <c r="AN33" s="3">
        <f>'Rateio Custos Fixos'!U39</f>
        <v>51</v>
      </c>
      <c r="AO33" s="3">
        <f t="shared" si="15"/>
        <v>331.8882375</v>
      </c>
      <c r="AP33" s="3">
        <f t="shared" si="16"/>
        <v>9378.38497225</v>
      </c>
      <c r="AQ33" s="3">
        <v>2622.31661701474</v>
      </c>
      <c r="AR33" s="3">
        <f t="shared" si="17"/>
        <v>7777.81003825</v>
      </c>
      <c r="AS33" s="3">
        <f t="shared" si="18"/>
        <v>93.7838497225</v>
      </c>
      <c r="AT33" s="3">
        <f t="shared" si="19"/>
        <v>77.7781003825</v>
      </c>
      <c r="AU33" s="3">
        <f t="shared" si="20"/>
        <v>93.7838497225</v>
      </c>
      <c r="AV33" s="3" t="e">
        <f>(AR33*#REF!)/'Est. Cust. Naci.'!H33</f>
        <v>#REF!</v>
      </c>
      <c r="AW33" s="3">
        <f t="shared" si="21"/>
        <v>91.8</v>
      </c>
    </row>
    <row r="34" spans="2:49">
      <c r="B34">
        <f>'LISTA DE COMPRAS'!A33</f>
        <v>29</v>
      </c>
      <c r="C34" s="21" t="str">
        <f>'LISTA DE COMPRAS'!C33</f>
        <v>2R2899515</v>
      </c>
      <c r="G34" s="62" t="str">
        <f>'LISTA DE COMPRAS'!D34</f>
        <v>8708-8000</v>
      </c>
      <c r="H34" s="1">
        <f>'LISTA DE COMPRAS'!J33</f>
        <v>100</v>
      </c>
      <c r="I34" s="63">
        <f>'LISTA DE COMPRAS'!P33</f>
        <v>0.0175438596491228</v>
      </c>
      <c r="J34" s="2">
        <f>'LISTA DE COMPRAS'!K33</f>
        <v>11</v>
      </c>
      <c r="K34" s="2">
        <f t="shared" si="5"/>
        <v>1100</v>
      </c>
      <c r="L34" s="3">
        <f t="shared" si="6"/>
        <v>5676</v>
      </c>
      <c r="M34" s="3">
        <f t="shared" si="7"/>
        <v>2838</v>
      </c>
      <c r="N34" s="4">
        <f t="shared" si="8"/>
        <v>0</v>
      </c>
      <c r="O34" s="3">
        <f>'Rateio Custos Fixos'!E40</f>
        <v>412.041666666667</v>
      </c>
      <c r="P34" s="3">
        <f t="shared" si="9"/>
        <v>6088.04166666667</v>
      </c>
      <c r="Q34" s="3">
        <f t="shared" si="10"/>
        <v>7183.88916666667</v>
      </c>
      <c r="R34" s="3">
        <f t="shared" si="3"/>
        <v>1095.8475</v>
      </c>
      <c r="S34" s="3">
        <f t="shared" si="11"/>
        <v>219.8270085</v>
      </c>
      <c r="T34" s="3">
        <f t="shared" si="12"/>
        <v>224.137342</v>
      </c>
      <c r="U34" s="3">
        <f t="shared" si="12"/>
        <v>1032.32487325</v>
      </c>
      <c r="V34" s="3">
        <f t="shared" si="22"/>
        <v>1095.8475</v>
      </c>
      <c r="W34" s="3">
        <f t="shared" si="13"/>
        <v>3667.98422375</v>
      </c>
      <c r="X34" s="3">
        <f t="shared" si="14"/>
        <v>1567.229622875</v>
      </c>
      <c r="Y34" s="3">
        <f>'Rateio Custos Fixos'!F40</f>
        <v>4.915625</v>
      </c>
      <c r="Z34" s="3">
        <f>'Rateio Custos Fixos'!G40</f>
        <v>11.2291666666667</v>
      </c>
      <c r="AA34" s="3">
        <f>'Rateio Custos Fixos'!H40</f>
        <v>35.4520833333333</v>
      </c>
      <c r="AB34" s="3">
        <f>'Rateio Custos Fixos'!I40</f>
        <v>1.1</v>
      </c>
      <c r="AC34" s="3">
        <f>'Rateio Custos Fixos'!J40</f>
        <v>2.79583333333333</v>
      </c>
      <c r="AD34" s="3">
        <f>'Rateio Custos Fixos'!K40</f>
        <v>24.5882083333333</v>
      </c>
      <c r="AE34" s="3">
        <f>'Rateio Custos Fixos'!L40</f>
        <v>17.758125</v>
      </c>
      <c r="AF34" s="3">
        <f>'Rateio Custos Fixos'!M40</f>
        <v>0.682916666666667</v>
      </c>
      <c r="AG34" s="3">
        <f>'Rateio Custos Fixos'!N40</f>
        <v>32.9633333333333</v>
      </c>
      <c r="AH34" s="3">
        <f>'Rateio Custos Fixos'!O40</f>
        <v>0</v>
      </c>
      <c r="AI34" s="3">
        <f>'Rateio Custos Fixos'!P40</f>
        <v>17.3467708333333</v>
      </c>
      <c r="AJ34" s="3">
        <f>'Rateio Custos Fixos'!Q40</f>
        <v>7.34089583333333</v>
      </c>
      <c r="AK34" s="3">
        <f>'Rateio Custos Fixos'!R40</f>
        <v>2.6915625</v>
      </c>
      <c r="AL34" s="3">
        <f>'Rateio Custos Fixos'!S40</f>
        <v>6.55416666666667</v>
      </c>
      <c r="AM34" s="3">
        <f>'Rateio Custos Fixos'!T40</f>
        <v>137.5</v>
      </c>
      <c r="AN34" s="3">
        <f>'Rateio Custos Fixos'!U40</f>
        <v>55</v>
      </c>
      <c r="AO34" s="3">
        <f t="shared" si="15"/>
        <v>357.9186875</v>
      </c>
      <c r="AP34" s="3">
        <f t="shared" si="16"/>
        <v>10113.9445779167</v>
      </c>
      <c r="AQ34" s="3">
        <v>2623.31661701474</v>
      </c>
      <c r="AR34" s="3">
        <f t="shared" si="17"/>
        <v>8013.18997704167</v>
      </c>
      <c r="AS34" s="3">
        <f t="shared" si="18"/>
        <v>101.139445779167</v>
      </c>
      <c r="AT34" s="3">
        <f t="shared" si="19"/>
        <v>80.1318997704167</v>
      </c>
      <c r="AU34" s="3">
        <f t="shared" si="20"/>
        <v>101.139445779167</v>
      </c>
      <c r="AV34" s="3" t="e">
        <f>(AR34*#REF!)/'Est. Cust. Naci.'!H34</f>
        <v>#REF!</v>
      </c>
      <c r="AW34" s="3">
        <f t="shared" si="21"/>
        <v>99</v>
      </c>
    </row>
    <row r="35" spans="2:49">
      <c r="B35">
        <f>'LISTA DE COMPRAS'!A34</f>
        <v>30</v>
      </c>
      <c r="C35" s="21" t="str">
        <f>'LISTA DE COMPRAS'!C34</f>
        <v>2V2899515</v>
      </c>
      <c r="G35" s="62" t="str">
        <f>'LISTA DE COMPRAS'!D35</f>
        <v>8708-8000</v>
      </c>
      <c r="H35" s="1">
        <f>'LISTA DE COMPRAS'!J34</f>
        <v>100</v>
      </c>
      <c r="I35" s="63">
        <f>'LISTA DE COMPRAS'!P34</f>
        <v>0.0175438596491228</v>
      </c>
      <c r="J35" s="2">
        <f>'LISTA DE COMPRAS'!K34</f>
        <v>13.6</v>
      </c>
      <c r="K35" s="2">
        <f t="shared" si="5"/>
        <v>1360</v>
      </c>
      <c r="L35" s="3">
        <f t="shared" si="6"/>
        <v>7017.6</v>
      </c>
      <c r="M35" s="3">
        <f t="shared" si="7"/>
        <v>3508.8</v>
      </c>
      <c r="N35" s="4">
        <f t="shared" si="8"/>
        <v>0</v>
      </c>
      <c r="O35" s="3">
        <f>'Rateio Custos Fixos'!E41</f>
        <v>509.433333333333</v>
      </c>
      <c r="P35" s="3">
        <f t="shared" si="9"/>
        <v>7527.03333333333</v>
      </c>
      <c r="Q35" s="3">
        <f t="shared" si="10"/>
        <v>8881.89933333333</v>
      </c>
      <c r="R35" s="3">
        <f t="shared" si="3"/>
        <v>1354.866</v>
      </c>
      <c r="S35" s="3">
        <f t="shared" si="11"/>
        <v>271.7861196</v>
      </c>
      <c r="T35" s="3">
        <f t="shared" si="12"/>
        <v>277.1152592</v>
      </c>
      <c r="U35" s="3">
        <f t="shared" si="12"/>
        <v>1276.3289342</v>
      </c>
      <c r="V35" s="3">
        <f t="shared" si="22"/>
        <v>1354.866</v>
      </c>
      <c r="W35" s="3">
        <f t="shared" si="13"/>
        <v>4534.962313</v>
      </c>
      <c r="X35" s="3">
        <f t="shared" si="14"/>
        <v>3101.113934625</v>
      </c>
      <c r="Y35" s="3">
        <f>'Rateio Custos Fixos'!F41</f>
        <v>6.0775</v>
      </c>
      <c r="Z35" s="3">
        <f>'Rateio Custos Fixos'!G41</f>
        <v>13.8833333333333</v>
      </c>
      <c r="AA35" s="3">
        <f>'Rateio Custos Fixos'!H41</f>
        <v>43.8316666666667</v>
      </c>
      <c r="AB35" s="3">
        <f>'Rateio Custos Fixos'!I41</f>
        <v>1.36</v>
      </c>
      <c r="AC35" s="3">
        <f>'Rateio Custos Fixos'!J41</f>
        <v>3.45666666666667</v>
      </c>
      <c r="AD35" s="3">
        <f>'Rateio Custos Fixos'!K41</f>
        <v>30.3999666666667</v>
      </c>
      <c r="AE35" s="3">
        <f>'Rateio Custos Fixos'!L41</f>
        <v>21.9555</v>
      </c>
      <c r="AF35" s="3">
        <f>'Rateio Custos Fixos'!M41</f>
        <v>0.844333333333333</v>
      </c>
      <c r="AG35" s="3">
        <f>'Rateio Custos Fixos'!N41</f>
        <v>40.7546666666667</v>
      </c>
      <c r="AH35" s="3">
        <f>'Rateio Custos Fixos'!O41</f>
        <v>0</v>
      </c>
      <c r="AI35" s="3">
        <f>'Rateio Custos Fixos'!P41</f>
        <v>21.4469166666667</v>
      </c>
      <c r="AJ35" s="3">
        <f>'Rateio Custos Fixos'!Q41</f>
        <v>9.07601666666667</v>
      </c>
      <c r="AK35" s="3">
        <f>'Rateio Custos Fixos'!R41</f>
        <v>3.32775</v>
      </c>
      <c r="AL35" s="3">
        <f>'Rateio Custos Fixos'!S41</f>
        <v>8.10333333333333</v>
      </c>
      <c r="AM35" s="3">
        <f>'Rateio Custos Fixos'!T41</f>
        <v>170</v>
      </c>
      <c r="AN35" s="3">
        <f>'Rateio Custos Fixos'!U41</f>
        <v>68</v>
      </c>
      <c r="AO35" s="3">
        <f t="shared" si="15"/>
        <v>442.51765</v>
      </c>
      <c r="AP35" s="3">
        <f t="shared" si="16"/>
        <v>12504.5132963333</v>
      </c>
      <c r="AQ35" s="3">
        <v>2624.31661701474</v>
      </c>
      <c r="AR35" s="3">
        <f t="shared" si="17"/>
        <v>11070.6649179583</v>
      </c>
      <c r="AS35" s="3">
        <f t="shared" si="18"/>
        <v>125.045132963333</v>
      </c>
      <c r="AT35" s="3">
        <f t="shared" si="19"/>
        <v>110.706649179583</v>
      </c>
      <c r="AU35" s="3">
        <f t="shared" si="20"/>
        <v>125.045132963333</v>
      </c>
      <c r="AV35" s="3" t="e">
        <f>(AR35*#REF!)/'Est. Cust. Naci.'!H35</f>
        <v>#REF!</v>
      </c>
      <c r="AW35" s="3">
        <f t="shared" si="21"/>
        <v>122.4</v>
      </c>
    </row>
    <row r="36" spans="2:49">
      <c r="B36">
        <f>'LISTA DE COMPRAS'!A35</f>
        <v>31</v>
      </c>
      <c r="C36" s="21">
        <f>'LISTA DE COMPRAS'!C35</f>
        <v>938170519</v>
      </c>
      <c r="G36" s="62" t="str">
        <f>'LISTA DE COMPRAS'!D36</f>
        <v>8708-8000</v>
      </c>
      <c r="H36" s="1">
        <f>'LISTA DE COMPRAS'!J35</f>
        <v>0</v>
      </c>
      <c r="I36" s="63">
        <f>'LISTA DE COMPRAS'!P35</f>
        <v>0</v>
      </c>
      <c r="J36" s="2">
        <f>'LISTA DE COMPRAS'!K35</f>
        <v>0</v>
      </c>
      <c r="K36" s="2">
        <f t="shared" si="5"/>
        <v>0</v>
      </c>
      <c r="L36" s="3">
        <f t="shared" si="6"/>
        <v>0</v>
      </c>
      <c r="M36" s="3">
        <f t="shared" si="7"/>
        <v>0</v>
      </c>
      <c r="N36" s="4">
        <f t="shared" si="8"/>
        <v>0</v>
      </c>
      <c r="O36" s="3">
        <f>'Rateio Custos Fixos'!E42</f>
        <v>0</v>
      </c>
      <c r="P36" s="3">
        <f t="shared" si="9"/>
        <v>0</v>
      </c>
      <c r="Q36" s="3">
        <f t="shared" si="10"/>
        <v>0</v>
      </c>
      <c r="R36" s="3">
        <f t="shared" si="3"/>
        <v>0</v>
      </c>
      <c r="S36" s="3">
        <f t="shared" si="11"/>
        <v>0</v>
      </c>
      <c r="T36" s="3">
        <f t="shared" si="12"/>
        <v>0</v>
      </c>
      <c r="U36" s="3">
        <f t="shared" si="12"/>
        <v>0</v>
      </c>
      <c r="V36" s="3">
        <f t="shared" si="22"/>
        <v>0</v>
      </c>
      <c r="W36" s="3">
        <f t="shared" si="13"/>
        <v>0</v>
      </c>
      <c r="X36" s="3">
        <f t="shared" si="14"/>
        <v>0</v>
      </c>
      <c r="Y36" s="3">
        <f>'Rateio Custos Fixos'!F42</f>
        <v>0</v>
      </c>
      <c r="Z36" s="3">
        <f>'Rateio Custos Fixos'!G42</f>
        <v>0</v>
      </c>
      <c r="AA36" s="3">
        <f>'Rateio Custos Fixos'!H42</f>
        <v>0</v>
      </c>
      <c r="AB36" s="3">
        <f>'Rateio Custos Fixos'!I42</f>
        <v>0</v>
      </c>
      <c r="AC36" s="3">
        <f>'Rateio Custos Fixos'!J42</f>
        <v>0</v>
      </c>
      <c r="AD36" s="3">
        <f>'Rateio Custos Fixos'!K42</f>
        <v>0</v>
      </c>
      <c r="AE36" s="3">
        <f>'Rateio Custos Fixos'!L42</f>
        <v>0</v>
      </c>
      <c r="AF36" s="3">
        <f>'Rateio Custos Fixos'!M42</f>
        <v>0</v>
      </c>
      <c r="AG36" s="3">
        <f>'Rateio Custos Fixos'!N42</f>
        <v>0</v>
      </c>
      <c r="AH36" s="3">
        <f>'Rateio Custos Fixos'!O42</f>
        <v>0</v>
      </c>
      <c r="AI36" s="3">
        <f>'Rateio Custos Fixos'!P42</f>
        <v>0</v>
      </c>
      <c r="AJ36" s="3">
        <f>'Rateio Custos Fixos'!Q42</f>
        <v>0</v>
      </c>
      <c r="AK36" s="3">
        <f>'Rateio Custos Fixos'!R42</f>
        <v>0</v>
      </c>
      <c r="AL36" s="3">
        <f>'Rateio Custos Fixos'!S42</f>
        <v>0</v>
      </c>
      <c r="AM36" s="3">
        <f>'Rateio Custos Fixos'!T42</f>
        <v>0</v>
      </c>
      <c r="AN36" s="3">
        <f>'Rateio Custos Fixos'!U42</f>
        <v>0</v>
      </c>
      <c r="AO36" s="3">
        <f t="shared" si="15"/>
        <v>0</v>
      </c>
      <c r="AP36" s="3">
        <f t="shared" si="16"/>
        <v>0</v>
      </c>
      <c r="AQ36" s="3">
        <v>2625.31661701474</v>
      </c>
      <c r="AR36" s="3">
        <f t="shared" si="17"/>
        <v>0</v>
      </c>
      <c r="AS36" s="3" t="e">
        <f t="shared" si="18"/>
        <v>#DIV/0!</v>
      </c>
      <c r="AT36" s="3" t="e">
        <f t="shared" si="19"/>
        <v>#DIV/0!</v>
      </c>
      <c r="AU36" s="3" t="e">
        <f t="shared" si="20"/>
        <v>#DIV/0!</v>
      </c>
      <c r="AV36" s="3" t="e">
        <f>(AR36*#REF!)/'Est. Cust. Naci.'!H36</f>
        <v>#REF!</v>
      </c>
      <c r="AW36" s="3">
        <f t="shared" si="21"/>
        <v>0</v>
      </c>
    </row>
    <row r="37" spans="2:49">
      <c r="B37">
        <f>'LISTA DE COMPRAS'!A36</f>
        <v>32</v>
      </c>
      <c r="C37" s="21">
        <f>'LISTA DE COMPRAS'!C36</f>
        <v>938170119</v>
      </c>
      <c r="G37" s="62" t="str">
        <f>'LISTA DE COMPRAS'!D37</f>
        <v>8708-8000</v>
      </c>
      <c r="H37" s="1">
        <f>'LISTA DE COMPRAS'!J36</f>
        <v>0</v>
      </c>
      <c r="I37" s="63">
        <f>'LISTA DE COMPRAS'!P36</f>
        <v>0</v>
      </c>
      <c r="J37" s="2">
        <f>'LISTA DE COMPRAS'!K36</f>
        <v>0</v>
      </c>
      <c r="K37" s="2">
        <f t="shared" si="5"/>
        <v>0</v>
      </c>
      <c r="L37" s="3">
        <f t="shared" si="6"/>
        <v>0</v>
      </c>
      <c r="M37" s="3">
        <f t="shared" si="7"/>
        <v>0</v>
      </c>
      <c r="N37" s="4">
        <f t="shared" si="8"/>
        <v>0</v>
      </c>
      <c r="O37" s="3">
        <f>'Rateio Custos Fixos'!E43</f>
        <v>0</v>
      </c>
      <c r="P37" s="3">
        <f t="shared" si="9"/>
        <v>0</v>
      </c>
      <c r="Q37" s="3">
        <f t="shared" si="10"/>
        <v>0</v>
      </c>
      <c r="R37" s="3">
        <f t="shared" si="3"/>
        <v>0</v>
      </c>
      <c r="S37" s="3">
        <f t="shared" si="11"/>
        <v>0</v>
      </c>
      <c r="T37" s="3">
        <f t="shared" si="12"/>
        <v>0</v>
      </c>
      <c r="U37" s="3">
        <f t="shared" si="12"/>
        <v>0</v>
      </c>
      <c r="V37" s="3">
        <f t="shared" si="22"/>
        <v>0</v>
      </c>
      <c r="W37" s="3">
        <f t="shared" si="13"/>
        <v>0</v>
      </c>
      <c r="X37" s="3">
        <f t="shared" si="14"/>
        <v>1467.1936895</v>
      </c>
      <c r="Y37" s="3">
        <f>'Rateio Custos Fixos'!F43</f>
        <v>0</v>
      </c>
      <c r="Z37" s="3">
        <f>'Rateio Custos Fixos'!G43</f>
        <v>0</v>
      </c>
      <c r="AA37" s="3">
        <f>'Rateio Custos Fixos'!H43</f>
        <v>0</v>
      </c>
      <c r="AB37" s="3">
        <f>'Rateio Custos Fixos'!I43</f>
        <v>0</v>
      </c>
      <c r="AC37" s="3">
        <f>'Rateio Custos Fixos'!J43</f>
        <v>0</v>
      </c>
      <c r="AD37" s="3">
        <f>'Rateio Custos Fixos'!K43</f>
        <v>0</v>
      </c>
      <c r="AE37" s="3">
        <f>'Rateio Custos Fixos'!L43</f>
        <v>0</v>
      </c>
      <c r="AF37" s="3">
        <f>'Rateio Custos Fixos'!M43</f>
        <v>0</v>
      </c>
      <c r="AG37" s="3">
        <f>'Rateio Custos Fixos'!N43</f>
        <v>0</v>
      </c>
      <c r="AH37" s="3">
        <f>'Rateio Custos Fixos'!O43</f>
        <v>0</v>
      </c>
      <c r="AI37" s="3">
        <f>'Rateio Custos Fixos'!P43</f>
        <v>0</v>
      </c>
      <c r="AJ37" s="3">
        <f>'Rateio Custos Fixos'!Q43</f>
        <v>0</v>
      </c>
      <c r="AK37" s="3">
        <f>'Rateio Custos Fixos'!R43</f>
        <v>0</v>
      </c>
      <c r="AL37" s="3">
        <f>'Rateio Custos Fixos'!S43</f>
        <v>0</v>
      </c>
      <c r="AM37" s="3">
        <f>'Rateio Custos Fixos'!T43</f>
        <v>0</v>
      </c>
      <c r="AN37" s="3">
        <f>'Rateio Custos Fixos'!U43</f>
        <v>0</v>
      </c>
      <c r="AO37" s="3">
        <f t="shared" si="15"/>
        <v>0</v>
      </c>
      <c r="AP37" s="3">
        <f t="shared" si="16"/>
        <v>0</v>
      </c>
      <c r="AQ37" s="3">
        <v>2626.31661701474</v>
      </c>
      <c r="AR37" s="3">
        <f t="shared" si="17"/>
        <v>1467.1936895</v>
      </c>
      <c r="AS37" s="3" t="e">
        <f t="shared" si="18"/>
        <v>#DIV/0!</v>
      </c>
      <c r="AT37" s="3" t="e">
        <f t="shared" si="19"/>
        <v>#DIV/0!</v>
      </c>
      <c r="AU37" s="3" t="e">
        <f t="shared" si="20"/>
        <v>#DIV/0!</v>
      </c>
      <c r="AV37" s="3" t="e">
        <f>(AR37*#REF!)/'Est. Cust. Naci.'!H37</f>
        <v>#REF!</v>
      </c>
      <c r="AW37" s="3">
        <f t="shared" si="21"/>
        <v>0</v>
      </c>
    </row>
    <row r="38" spans="2:49">
      <c r="B38">
        <f>'LISTA DE COMPRAS'!A37</f>
        <v>33</v>
      </c>
      <c r="C38" s="21">
        <f>'LISTA DE COMPRAS'!C37</f>
        <v>9583172103</v>
      </c>
      <c r="G38" s="62" t="str">
        <f>'LISTA DE COMPRAS'!D38</f>
        <v>8708-8000</v>
      </c>
      <c r="H38" s="1">
        <f>'LISTA DE COMPRAS'!J37</f>
        <v>100</v>
      </c>
      <c r="I38" s="63">
        <f>'LISTA DE COMPRAS'!P37</f>
        <v>0.0175438596491228</v>
      </c>
      <c r="J38" s="2">
        <f>'LISTA DE COMPRAS'!K37</f>
        <v>5.4</v>
      </c>
      <c r="K38" s="2">
        <f t="shared" si="5"/>
        <v>540</v>
      </c>
      <c r="L38" s="3">
        <f t="shared" si="6"/>
        <v>2786.4</v>
      </c>
      <c r="M38" s="3">
        <f t="shared" si="7"/>
        <v>1393.2</v>
      </c>
      <c r="N38" s="4">
        <f t="shared" si="8"/>
        <v>0</v>
      </c>
      <c r="O38" s="3">
        <f>'Rateio Custos Fixos'!E44</f>
        <v>202.275</v>
      </c>
      <c r="P38" s="3">
        <f t="shared" si="9"/>
        <v>2988.675</v>
      </c>
      <c r="Q38" s="3">
        <f t="shared" si="10"/>
        <v>3526.6365</v>
      </c>
      <c r="R38" s="3">
        <f t="shared" ref="R38:R58" si="23">$P38*R$5</f>
        <v>537.9615</v>
      </c>
      <c r="S38" s="3">
        <f t="shared" si="11"/>
        <v>107.9150769</v>
      </c>
      <c r="T38" s="3">
        <f t="shared" si="12"/>
        <v>110.0310588</v>
      </c>
      <c r="U38" s="3">
        <f t="shared" si="12"/>
        <v>506.77766505</v>
      </c>
      <c r="V38" s="3">
        <f t="shared" si="22"/>
        <v>537.9615</v>
      </c>
      <c r="W38" s="3">
        <f t="shared" si="13"/>
        <v>1800.64680075</v>
      </c>
      <c r="X38" s="3">
        <f t="shared" si="14"/>
        <v>4501.617001875</v>
      </c>
      <c r="Y38" s="3">
        <f>'Rateio Custos Fixos'!F44</f>
        <v>2.413125</v>
      </c>
      <c r="Z38" s="3">
        <f>'Rateio Custos Fixos'!G44</f>
        <v>5.5125</v>
      </c>
      <c r="AA38" s="3">
        <f>'Rateio Custos Fixos'!H44</f>
        <v>17.40375</v>
      </c>
      <c r="AB38" s="3">
        <f>'Rateio Custos Fixos'!I44</f>
        <v>0.54</v>
      </c>
      <c r="AC38" s="3">
        <f>'Rateio Custos Fixos'!J44</f>
        <v>1.3725</v>
      </c>
      <c r="AD38" s="3">
        <f>'Rateio Custos Fixos'!K44</f>
        <v>12.070575</v>
      </c>
      <c r="AE38" s="3">
        <f>'Rateio Custos Fixos'!L44</f>
        <v>8.717625</v>
      </c>
      <c r="AF38" s="3">
        <f>'Rateio Custos Fixos'!M44</f>
        <v>0.33525</v>
      </c>
      <c r="AG38" s="3">
        <f>'Rateio Custos Fixos'!N44</f>
        <v>16.182</v>
      </c>
      <c r="AH38" s="3">
        <f>'Rateio Custos Fixos'!O44</f>
        <v>0</v>
      </c>
      <c r="AI38" s="3">
        <f>'Rateio Custos Fixos'!P44</f>
        <v>8.5156875</v>
      </c>
      <c r="AJ38" s="3">
        <f>'Rateio Custos Fixos'!Q44</f>
        <v>3.6037125</v>
      </c>
      <c r="AK38" s="3">
        <f>'Rateio Custos Fixos'!R44</f>
        <v>1.3213125</v>
      </c>
      <c r="AL38" s="3">
        <f>'Rateio Custos Fixos'!S44</f>
        <v>3.2175</v>
      </c>
      <c r="AM38" s="3">
        <f>'Rateio Custos Fixos'!T44</f>
        <v>67.5</v>
      </c>
      <c r="AN38" s="3">
        <f>'Rateio Custos Fixos'!U44</f>
        <v>27</v>
      </c>
      <c r="AO38" s="3">
        <f t="shared" si="15"/>
        <v>175.7055375</v>
      </c>
      <c r="AP38" s="3">
        <f t="shared" si="16"/>
        <v>4965.02733825</v>
      </c>
      <c r="AQ38" s="3">
        <v>2627.31661701474</v>
      </c>
      <c r="AR38" s="3">
        <f t="shared" si="17"/>
        <v>7665.997539375</v>
      </c>
      <c r="AS38" s="3">
        <f t="shared" si="18"/>
        <v>49.6502733825</v>
      </c>
      <c r="AT38" s="3">
        <f t="shared" si="19"/>
        <v>76.65997539375</v>
      </c>
      <c r="AU38" s="3">
        <f t="shared" si="20"/>
        <v>49.6502733825</v>
      </c>
      <c r="AV38" s="3" t="e">
        <f>(AR38*#REF!)/'Est. Cust. Naci.'!H38</f>
        <v>#REF!</v>
      </c>
      <c r="AW38" s="3">
        <f t="shared" si="21"/>
        <v>48.6</v>
      </c>
    </row>
    <row r="39" spans="2:49">
      <c r="B39">
        <f>'LISTA DE COMPRAS'!A38</f>
        <v>34</v>
      </c>
      <c r="C39" s="21">
        <f>'LISTA DE COMPRAS'!C38</f>
        <v>9583170003</v>
      </c>
      <c r="G39" s="62" t="str">
        <f>'LISTA DE COMPRAS'!D39</f>
        <v>8708-8000</v>
      </c>
      <c r="H39" s="1">
        <f>'LISTA DE COMPRAS'!J38</f>
        <v>100</v>
      </c>
      <c r="I39" s="63">
        <f>'LISTA DE COMPRAS'!P38</f>
        <v>0.0175438596491228</v>
      </c>
      <c r="J39" s="2">
        <f>'LISTA DE COMPRAS'!K38</f>
        <v>4.7</v>
      </c>
      <c r="K39" s="2">
        <f t="shared" si="5"/>
        <v>470</v>
      </c>
      <c r="L39" s="3">
        <f t="shared" si="6"/>
        <v>2425.2</v>
      </c>
      <c r="M39" s="3">
        <f t="shared" si="7"/>
        <v>1212.6</v>
      </c>
      <c r="N39" s="4">
        <f t="shared" si="8"/>
        <v>0</v>
      </c>
      <c r="O39" s="3">
        <f>'Rateio Custos Fixos'!E45</f>
        <v>176.054166666667</v>
      </c>
      <c r="P39" s="3">
        <f t="shared" si="9"/>
        <v>2601.25416666667</v>
      </c>
      <c r="Q39" s="3">
        <f t="shared" si="10"/>
        <v>3069.47991666667</v>
      </c>
      <c r="R39" s="3">
        <f t="shared" si="23"/>
        <v>468.22575</v>
      </c>
      <c r="S39" s="3">
        <f t="shared" si="11"/>
        <v>93.92608545</v>
      </c>
      <c r="T39" s="3">
        <f t="shared" ref="T39:U58" si="24">$Q39*T$5</f>
        <v>95.7677734</v>
      </c>
      <c r="U39" s="3">
        <f t="shared" si="24"/>
        <v>441.084264025</v>
      </c>
      <c r="V39" s="3">
        <f t="shared" si="22"/>
        <v>468.22575</v>
      </c>
      <c r="W39" s="3">
        <f t="shared" si="13"/>
        <v>1567.229622875</v>
      </c>
      <c r="X39" s="3">
        <f t="shared" si="14"/>
        <v>5068.487291</v>
      </c>
      <c r="Y39" s="3">
        <f>'Rateio Custos Fixos'!F45</f>
        <v>2.1003125</v>
      </c>
      <c r="Z39" s="3">
        <f>'Rateio Custos Fixos'!G45</f>
        <v>4.79791666666667</v>
      </c>
      <c r="AA39" s="3">
        <f>'Rateio Custos Fixos'!H45</f>
        <v>15.1477083333333</v>
      </c>
      <c r="AB39" s="3">
        <f>'Rateio Custos Fixos'!I45</f>
        <v>0.47</v>
      </c>
      <c r="AC39" s="3">
        <f>'Rateio Custos Fixos'!J45</f>
        <v>1.19458333333333</v>
      </c>
      <c r="AD39" s="3">
        <f>'Rateio Custos Fixos'!K45</f>
        <v>10.5058708333333</v>
      </c>
      <c r="AE39" s="3">
        <f>'Rateio Custos Fixos'!L45</f>
        <v>7.5875625</v>
      </c>
      <c r="AF39" s="3">
        <f>'Rateio Custos Fixos'!M45</f>
        <v>0.291791666666667</v>
      </c>
      <c r="AG39" s="3">
        <f>'Rateio Custos Fixos'!N45</f>
        <v>14.0843333333333</v>
      </c>
      <c r="AH39" s="3">
        <f>'Rateio Custos Fixos'!O45</f>
        <v>0</v>
      </c>
      <c r="AI39" s="3">
        <f>'Rateio Custos Fixos'!P45</f>
        <v>7.41180208333333</v>
      </c>
      <c r="AJ39" s="3">
        <f>'Rateio Custos Fixos'!Q45</f>
        <v>3.13656458333333</v>
      </c>
      <c r="AK39" s="3">
        <f>'Rateio Custos Fixos'!R45</f>
        <v>1.15003125</v>
      </c>
      <c r="AL39" s="3">
        <f>'Rateio Custos Fixos'!S45</f>
        <v>2.80041666666667</v>
      </c>
      <c r="AM39" s="3">
        <f>'Rateio Custos Fixos'!T45</f>
        <v>58.75</v>
      </c>
      <c r="AN39" s="3">
        <f>'Rateio Custos Fixos'!U45</f>
        <v>23.5</v>
      </c>
      <c r="AO39" s="3">
        <f t="shared" si="15"/>
        <v>152.92889375</v>
      </c>
      <c r="AP39" s="3">
        <f t="shared" si="16"/>
        <v>4321.41268329167</v>
      </c>
      <c r="AQ39" s="3">
        <v>2628.31661701474</v>
      </c>
      <c r="AR39" s="3">
        <f t="shared" si="17"/>
        <v>7822.67035141667</v>
      </c>
      <c r="AS39" s="3">
        <f t="shared" si="18"/>
        <v>43.2141268329167</v>
      </c>
      <c r="AT39" s="3">
        <f t="shared" si="19"/>
        <v>78.2267035141667</v>
      </c>
      <c r="AU39" s="3">
        <f t="shared" si="20"/>
        <v>43.2141268329167</v>
      </c>
      <c r="AV39" s="3" t="e">
        <f>(AR39*#REF!)/'Est. Cust. Naci.'!H39</f>
        <v>#REF!</v>
      </c>
      <c r="AW39" s="3">
        <f t="shared" si="21"/>
        <v>42.3</v>
      </c>
    </row>
    <row r="40" spans="2:49">
      <c r="B40">
        <f>'LISTA DE COMPRAS'!A39</f>
        <v>35</v>
      </c>
      <c r="C40" s="21">
        <f>'LISTA DE COMPRAS'!C39</f>
        <v>9583172703</v>
      </c>
      <c r="G40" s="62" t="str">
        <f>'LISTA DE COMPRAS'!D40</f>
        <v>8708-8000</v>
      </c>
      <c r="H40" s="1">
        <f>'LISTA DE COMPRAS'!J39</f>
        <v>100</v>
      </c>
      <c r="I40" s="63">
        <f>'LISTA DE COMPRAS'!P39</f>
        <v>0.0175438596491228</v>
      </c>
      <c r="J40" s="2">
        <f>'LISTA DE COMPRAS'!K39</f>
        <v>9.3</v>
      </c>
      <c r="K40" s="2">
        <f t="shared" si="5"/>
        <v>930</v>
      </c>
      <c r="L40" s="3">
        <f t="shared" si="6"/>
        <v>4798.8</v>
      </c>
      <c r="M40" s="3">
        <f t="shared" si="7"/>
        <v>2399.4</v>
      </c>
      <c r="N40" s="4">
        <f t="shared" si="8"/>
        <v>0</v>
      </c>
      <c r="O40" s="3">
        <f>'Rateio Custos Fixos'!E46</f>
        <v>348.3625</v>
      </c>
      <c r="P40" s="3">
        <f t="shared" si="9"/>
        <v>5147.1625</v>
      </c>
      <c r="Q40" s="3">
        <f t="shared" si="10"/>
        <v>6073.65175</v>
      </c>
      <c r="R40" s="3">
        <f t="shared" si="23"/>
        <v>926.48925</v>
      </c>
      <c r="S40" s="3">
        <f t="shared" si="11"/>
        <v>185.85374355</v>
      </c>
      <c r="T40" s="3">
        <f t="shared" si="24"/>
        <v>189.4979346</v>
      </c>
      <c r="U40" s="3">
        <f t="shared" si="24"/>
        <v>872.783756475</v>
      </c>
      <c r="V40" s="3">
        <f t="shared" si="22"/>
        <v>926.48925</v>
      </c>
      <c r="W40" s="3">
        <f t="shared" si="13"/>
        <v>3101.113934625</v>
      </c>
      <c r="X40" s="3">
        <f t="shared" si="14"/>
        <v>3834.710779375</v>
      </c>
      <c r="Y40" s="3">
        <f>'Rateio Custos Fixos'!F46</f>
        <v>4.1559375</v>
      </c>
      <c r="Z40" s="3">
        <f>'Rateio Custos Fixos'!G46</f>
        <v>9.49375</v>
      </c>
      <c r="AA40" s="3">
        <f>'Rateio Custos Fixos'!H46</f>
        <v>29.973125</v>
      </c>
      <c r="AB40" s="3">
        <f>'Rateio Custos Fixos'!I46</f>
        <v>0.93</v>
      </c>
      <c r="AC40" s="3">
        <f>'Rateio Custos Fixos'!J46</f>
        <v>2.36375</v>
      </c>
      <c r="AD40" s="3">
        <f>'Rateio Custos Fixos'!K46</f>
        <v>20.7882125</v>
      </c>
      <c r="AE40" s="3">
        <f>'Rateio Custos Fixos'!L46</f>
        <v>15.0136875</v>
      </c>
      <c r="AF40" s="3">
        <f>'Rateio Custos Fixos'!M46</f>
        <v>0.577375</v>
      </c>
      <c r="AG40" s="3">
        <f>'Rateio Custos Fixos'!N46</f>
        <v>27.869</v>
      </c>
      <c r="AH40" s="3">
        <f>'Rateio Custos Fixos'!O46</f>
        <v>0</v>
      </c>
      <c r="AI40" s="3">
        <f>'Rateio Custos Fixos'!P46</f>
        <v>14.66590625</v>
      </c>
      <c r="AJ40" s="3">
        <f>'Rateio Custos Fixos'!Q46</f>
        <v>6.20639375</v>
      </c>
      <c r="AK40" s="3">
        <f>'Rateio Custos Fixos'!R46</f>
        <v>2.27559375</v>
      </c>
      <c r="AL40" s="3">
        <f>'Rateio Custos Fixos'!S46</f>
        <v>5.54125</v>
      </c>
      <c r="AM40" s="3">
        <f>'Rateio Custos Fixos'!T46</f>
        <v>116.25</v>
      </c>
      <c r="AN40" s="3">
        <f>'Rateio Custos Fixos'!U46</f>
        <v>46.5</v>
      </c>
      <c r="AO40" s="3">
        <f t="shared" si="15"/>
        <v>302.60398125</v>
      </c>
      <c r="AP40" s="3">
        <f t="shared" si="16"/>
        <v>8550.880415875</v>
      </c>
      <c r="AQ40" s="3">
        <v>2629.31661701474</v>
      </c>
      <c r="AR40" s="3">
        <f t="shared" si="17"/>
        <v>9284.477260625</v>
      </c>
      <c r="AS40" s="3">
        <f t="shared" si="18"/>
        <v>85.50880415875</v>
      </c>
      <c r="AT40" s="3">
        <f t="shared" si="19"/>
        <v>92.84477260625</v>
      </c>
      <c r="AU40" s="3">
        <f t="shared" si="20"/>
        <v>85.50880415875</v>
      </c>
      <c r="AV40" s="3" t="e">
        <f>(AR40*#REF!)/'Est. Cust. Naci.'!H40</f>
        <v>#REF!</v>
      </c>
      <c r="AW40" s="3">
        <f t="shared" si="21"/>
        <v>83.7</v>
      </c>
    </row>
    <row r="41" spans="2:49">
      <c r="B41">
        <f>'LISTA DE COMPRAS'!A40</f>
        <v>36</v>
      </c>
      <c r="C41" s="21">
        <f>'LISTA DE COMPRAS'!C40</f>
        <v>583171103</v>
      </c>
      <c r="G41" s="62" t="str">
        <f>'LISTA DE COMPRAS'!D41</f>
        <v>8708-8000</v>
      </c>
      <c r="H41" s="1">
        <f>'LISTA DE COMPRAS'!J40</f>
        <v>0</v>
      </c>
      <c r="I41" s="63">
        <f>'LISTA DE COMPRAS'!P40</f>
        <v>0</v>
      </c>
      <c r="J41" s="2">
        <f>'LISTA DE COMPRAS'!K40</f>
        <v>0</v>
      </c>
      <c r="K41" s="2">
        <f t="shared" si="5"/>
        <v>0</v>
      </c>
      <c r="L41" s="3">
        <f t="shared" si="6"/>
        <v>0</v>
      </c>
      <c r="M41" s="3">
        <f t="shared" si="7"/>
        <v>0</v>
      </c>
      <c r="N41" s="4">
        <f t="shared" si="8"/>
        <v>0</v>
      </c>
      <c r="O41" s="3">
        <f>'Rateio Custos Fixos'!E47</f>
        <v>0</v>
      </c>
      <c r="P41" s="3">
        <f t="shared" si="9"/>
        <v>0</v>
      </c>
      <c r="Q41" s="3">
        <f t="shared" si="10"/>
        <v>0</v>
      </c>
      <c r="R41" s="3">
        <f t="shared" si="23"/>
        <v>0</v>
      </c>
      <c r="S41" s="3">
        <f t="shared" si="11"/>
        <v>0</v>
      </c>
      <c r="T41" s="3">
        <f t="shared" si="24"/>
        <v>0</v>
      </c>
      <c r="U41" s="3">
        <f t="shared" si="24"/>
        <v>0</v>
      </c>
      <c r="V41" s="3">
        <f t="shared" si="22"/>
        <v>0</v>
      </c>
      <c r="W41" s="3">
        <f t="shared" si="13"/>
        <v>0</v>
      </c>
      <c r="X41" s="3">
        <f t="shared" si="14"/>
        <v>2300.826467625</v>
      </c>
      <c r="Y41" s="3">
        <f>'Rateio Custos Fixos'!F47</f>
        <v>0</v>
      </c>
      <c r="Z41" s="3">
        <f>'Rateio Custos Fixos'!G47</f>
        <v>0</v>
      </c>
      <c r="AA41" s="3">
        <f>'Rateio Custos Fixos'!H47</f>
        <v>0</v>
      </c>
      <c r="AB41" s="3">
        <f>'Rateio Custos Fixos'!I47</f>
        <v>0</v>
      </c>
      <c r="AC41" s="3">
        <f>'Rateio Custos Fixos'!J47</f>
        <v>0</v>
      </c>
      <c r="AD41" s="3">
        <f>'Rateio Custos Fixos'!K47</f>
        <v>0</v>
      </c>
      <c r="AE41" s="3">
        <f>'Rateio Custos Fixos'!L47</f>
        <v>0</v>
      </c>
      <c r="AF41" s="3">
        <f>'Rateio Custos Fixos'!M47</f>
        <v>0</v>
      </c>
      <c r="AG41" s="3">
        <f>'Rateio Custos Fixos'!N47</f>
        <v>0</v>
      </c>
      <c r="AH41" s="3">
        <f>'Rateio Custos Fixos'!O47</f>
        <v>0</v>
      </c>
      <c r="AI41" s="3">
        <f>'Rateio Custos Fixos'!P47</f>
        <v>0</v>
      </c>
      <c r="AJ41" s="3">
        <f>'Rateio Custos Fixos'!Q47</f>
        <v>0</v>
      </c>
      <c r="AK41" s="3">
        <f>'Rateio Custos Fixos'!R47</f>
        <v>0</v>
      </c>
      <c r="AL41" s="3">
        <f>'Rateio Custos Fixos'!S47</f>
        <v>0</v>
      </c>
      <c r="AM41" s="3">
        <f>'Rateio Custos Fixos'!T47</f>
        <v>0</v>
      </c>
      <c r="AN41" s="3">
        <f>'Rateio Custos Fixos'!U47</f>
        <v>0</v>
      </c>
      <c r="AO41" s="3">
        <f t="shared" si="15"/>
        <v>0</v>
      </c>
      <c r="AP41" s="3">
        <f t="shared" si="16"/>
        <v>0</v>
      </c>
      <c r="AQ41" s="3">
        <v>2630.31661701474</v>
      </c>
      <c r="AR41" s="3">
        <f t="shared" si="17"/>
        <v>2300.826467625</v>
      </c>
      <c r="AS41" s="3" t="e">
        <f t="shared" si="18"/>
        <v>#DIV/0!</v>
      </c>
      <c r="AT41" s="3" t="e">
        <f t="shared" si="19"/>
        <v>#DIV/0!</v>
      </c>
      <c r="AU41" s="3" t="e">
        <f t="shared" si="20"/>
        <v>#DIV/0!</v>
      </c>
      <c r="AV41" s="3" t="e">
        <f>(AR41*#REF!)/'Est. Cust. Naci.'!H41</f>
        <v>#REF!</v>
      </c>
      <c r="AW41" s="3">
        <f t="shared" si="21"/>
        <v>0</v>
      </c>
    </row>
    <row r="42" spans="2:49">
      <c r="B42">
        <f>'LISTA DE COMPRAS'!A41</f>
        <v>37</v>
      </c>
      <c r="C42" s="21">
        <f>'LISTA DE COMPRAS'!C41</f>
        <v>9583170703</v>
      </c>
      <c r="G42" s="62" t="str">
        <f>'LISTA DE COMPRAS'!D42</f>
        <v>8708-8000</v>
      </c>
      <c r="H42" s="1">
        <f>'LISTA DE COMPRAS'!J41</f>
        <v>100</v>
      </c>
      <c r="I42" s="63">
        <f>'LISTA DE COMPRAS'!P41</f>
        <v>0.0175438596491228</v>
      </c>
      <c r="J42" s="2">
        <f>'LISTA DE COMPRAS'!K41</f>
        <v>4.4</v>
      </c>
      <c r="K42" s="2">
        <f t="shared" si="5"/>
        <v>440</v>
      </c>
      <c r="L42" s="3">
        <f t="shared" si="6"/>
        <v>2270.4</v>
      </c>
      <c r="M42" s="3">
        <f t="shared" si="7"/>
        <v>1135.2</v>
      </c>
      <c r="N42" s="4">
        <f t="shared" si="8"/>
        <v>0</v>
      </c>
      <c r="O42" s="3">
        <f>'Rateio Custos Fixos'!E48</f>
        <v>164.816666666667</v>
      </c>
      <c r="P42" s="3">
        <f t="shared" si="9"/>
        <v>2435.21666666667</v>
      </c>
      <c r="Q42" s="3">
        <f t="shared" si="10"/>
        <v>2873.55566666667</v>
      </c>
      <c r="R42" s="3">
        <f t="shared" si="23"/>
        <v>438.339</v>
      </c>
      <c r="S42" s="3">
        <f t="shared" si="11"/>
        <v>87.9308034</v>
      </c>
      <c r="T42" s="3">
        <f t="shared" si="24"/>
        <v>89.6549368</v>
      </c>
      <c r="U42" s="3">
        <f t="shared" si="24"/>
        <v>412.9299493</v>
      </c>
      <c r="V42" s="3">
        <f t="shared" si="22"/>
        <v>438.339</v>
      </c>
      <c r="W42" s="3">
        <f t="shared" si="13"/>
        <v>1467.1936895</v>
      </c>
      <c r="X42" s="3">
        <f t="shared" si="14"/>
        <v>3834.710779375</v>
      </c>
      <c r="Y42" s="3">
        <f>'Rateio Custos Fixos'!F48</f>
        <v>1.96625</v>
      </c>
      <c r="Z42" s="3">
        <f>'Rateio Custos Fixos'!G48</f>
        <v>4.49166666666667</v>
      </c>
      <c r="AA42" s="3">
        <f>'Rateio Custos Fixos'!H48</f>
        <v>14.1808333333333</v>
      </c>
      <c r="AB42" s="3">
        <f>'Rateio Custos Fixos'!I48</f>
        <v>0.44</v>
      </c>
      <c r="AC42" s="3">
        <f>'Rateio Custos Fixos'!J48</f>
        <v>1.11833333333333</v>
      </c>
      <c r="AD42" s="3">
        <f>'Rateio Custos Fixos'!K48</f>
        <v>9.83528333333333</v>
      </c>
      <c r="AE42" s="3">
        <f>'Rateio Custos Fixos'!L48</f>
        <v>7.10325</v>
      </c>
      <c r="AF42" s="3">
        <f>'Rateio Custos Fixos'!M48</f>
        <v>0.273166666666667</v>
      </c>
      <c r="AG42" s="3">
        <f>'Rateio Custos Fixos'!N48</f>
        <v>13.1853333333333</v>
      </c>
      <c r="AH42" s="3">
        <f>'Rateio Custos Fixos'!O48</f>
        <v>0</v>
      </c>
      <c r="AI42" s="3">
        <f>'Rateio Custos Fixos'!P48</f>
        <v>6.93870833333333</v>
      </c>
      <c r="AJ42" s="3">
        <f>'Rateio Custos Fixos'!Q48</f>
        <v>2.93635833333333</v>
      </c>
      <c r="AK42" s="3">
        <f>'Rateio Custos Fixos'!R48</f>
        <v>1.076625</v>
      </c>
      <c r="AL42" s="3">
        <f>'Rateio Custos Fixos'!S48</f>
        <v>2.62166666666667</v>
      </c>
      <c r="AM42" s="3">
        <f>'Rateio Custos Fixos'!T48</f>
        <v>55</v>
      </c>
      <c r="AN42" s="3">
        <f>'Rateio Custos Fixos'!U48</f>
        <v>22</v>
      </c>
      <c r="AO42" s="3">
        <f t="shared" si="15"/>
        <v>143.167475</v>
      </c>
      <c r="AP42" s="3">
        <f t="shared" si="16"/>
        <v>4045.57783116667</v>
      </c>
      <c r="AQ42" s="3">
        <v>2631.31661701474</v>
      </c>
      <c r="AR42" s="3">
        <f t="shared" si="17"/>
        <v>6413.09492104167</v>
      </c>
      <c r="AS42" s="3">
        <f t="shared" si="18"/>
        <v>40.4557783116667</v>
      </c>
      <c r="AT42" s="3">
        <f t="shared" si="19"/>
        <v>64.1309492104167</v>
      </c>
      <c r="AU42" s="3">
        <f t="shared" si="20"/>
        <v>40.4557783116667</v>
      </c>
      <c r="AV42" s="3" t="e">
        <f>(AR42*#REF!)/'Est. Cust. Naci.'!H42</f>
        <v>#REF!</v>
      </c>
      <c r="AW42" s="3">
        <f t="shared" si="21"/>
        <v>39.6</v>
      </c>
    </row>
    <row r="43" spans="2:49">
      <c r="B43">
        <f>'LISTA DE COMPRAS'!A42</f>
        <v>38</v>
      </c>
      <c r="C43" s="21">
        <f>'LISTA DE COMPRAS'!C42</f>
        <v>9408901819</v>
      </c>
      <c r="G43" s="62" t="str">
        <f>'LISTA DE COMPRAS'!D43</f>
        <v>8708-8000</v>
      </c>
      <c r="H43" s="1">
        <f>'LISTA DE COMPRAS'!J42</f>
        <v>100</v>
      </c>
      <c r="I43" s="63">
        <f>'LISTA DE COMPRAS'!P42</f>
        <v>0.0175438596491228</v>
      </c>
      <c r="J43" s="2">
        <f>'LISTA DE COMPRAS'!K42</f>
        <v>13.5</v>
      </c>
      <c r="K43" s="2">
        <f t="shared" si="5"/>
        <v>1350</v>
      </c>
      <c r="L43" s="3">
        <f t="shared" si="6"/>
        <v>6966</v>
      </c>
      <c r="M43" s="3">
        <f t="shared" si="7"/>
        <v>3483</v>
      </c>
      <c r="N43" s="4">
        <f t="shared" si="8"/>
        <v>0</v>
      </c>
      <c r="O43" s="3">
        <f>'Rateio Custos Fixos'!E49</f>
        <v>505.6875</v>
      </c>
      <c r="P43" s="3">
        <f t="shared" si="9"/>
        <v>7471.6875</v>
      </c>
      <c r="Q43" s="3">
        <f t="shared" si="10"/>
        <v>8816.59125</v>
      </c>
      <c r="R43" s="3">
        <f t="shared" si="23"/>
        <v>1344.90375</v>
      </c>
      <c r="S43" s="3">
        <f t="shared" si="11"/>
        <v>269.78769225</v>
      </c>
      <c r="T43" s="3">
        <f t="shared" si="24"/>
        <v>275.077647</v>
      </c>
      <c r="U43" s="3">
        <f t="shared" si="24"/>
        <v>1266.944162625</v>
      </c>
      <c r="V43" s="3">
        <f t="shared" si="22"/>
        <v>1344.90375</v>
      </c>
      <c r="W43" s="3">
        <f t="shared" si="13"/>
        <v>4501.617001875</v>
      </c>
      <c r="X43" s="3">
        <f t="shared" si="14"/>
        <v>6502.335669375</v>
      </c>
      <c r="Y43" s="3">
        <f>'Rateio Custos Fixos'!F49</f>
        <v>6.0328125</v>
      </c>
      <c r="Z43" s="3">
        <f>'Rateio Custos Fixos'!G49</f>
        <v>13.78125</v>
      </c>
      <c r="AA43" s="3">
        <f>'Rateio Custos Fixos'!H49</f>
        <v>43.509375</v>
      </c>
      <c r="AB43" s="3">
        <f>'Rateio Custos Fixos'!I49</f>
        <v>1.35</v>
      </c>
      <c r="AC43" s="3">
        <f>'Rateio Custos Fixos'!J49</f>
        <v>3.43125</v>
      </c>
      <c r="AD43" s="3">
        <f>'Rateio Custos Fixos'!K49</f>
        <v>30.1764375</v>
      </c>
      <c r="AE43" s="3">
        <f>'Rateio Custos Fixos'!L49</f>
        <v>21.7940625</v>
      </c>
      <c r="AF43" s="3">
        <f>'Rateio Custos Fixos'!M49</f>
        <v>0.838125</v>
      </c>
      <c r="AG43" s="3">
        <f>'Rateio Custos Fixos'!N49</f>
        <v>40.455</v>
      </c>
      <c r="AH43" s="3">
        <f>'Rateio Custos Fixos'!O49</f>
        <v>0</v>
      </c>
      <c r="AI43" s="3">
        <f>'Rateio Custos Fixos'!P49</f>
        <v>21.28921875</v>
      </c>
      <c r="AJ43" s="3">
        <f>'Rateio Custos Fixos'!Q49</f>
        <v>9.00928125</v>
      </c>
      <c r="AK43" s="3">
        <f>'Rateio Custos Fixos'!R49</f>
        <v>3.30328125</v>
      </c>
      <c r="AL43" s="3">
        <f>'Rateio Custos Fixos'!S49</f>
        <v>8.04375</v>
      </c>
      <c r="AM43" s="3">
        <f>'Rateio Custos Fixos'!T49</f>
        <v>168.75</v>
      </c>
      <c r="AN43" s="3">
        <f>'Rateio Custos Fixos'!U49</f>
        <v>67.5</v>
      </c>
      <c r="AO43" s="3">
        <f t="shared" si="15"/>
        <v>439.26384375</v>
      </c>
      <c r="AP43" s="3">
        <f t="shared" si="16"/>
        <v>12412.568345625</v>
      </c>
      <c r="AQ43" s="3">
        <v>2632.31661701474</v>
      </c>
      <c r="AR43" s="3">
        <f t="shared" si="17"/>
        <v>14413.287013125</v>
      </c>
      <c r="AS43" s="3">
        <f t="shared" si="18"/>
        <v>124.12568345625</v>
      </c>
      <c r="AT43" s="3">
        <f t="shared" si="19"/>
        <v>144.13287013125</v>
      </c>
      <c r="AU43" s="3">
        <f t="shared" si="20"/>
        <v>124.12568345625</v>
      </c>
      <c r="AV43" s="3" t="e">
        <f>(AR43*#REF!)/'Est. Cust. Naci.'!H43</f>
        <v>#REF!</v>
      </c>
      <c r="AW43" s="3">
        <f t="shared" si="21"/>
        <v>121.5</v>
      </c>
    </row>
    <row r="44" spans="2:49">
      <c r="B44">
        <f>'LISTA DE COMPRAS'!A43</f>
        <v>39</v>
      </c>
      <c r="C44" s="21">
        <f>'LISTA DE COMPRAS'!C43</f>
        <v>9793100055</v>
      </c>
      <c r="G44" s="62" t="str">
        <f>'LISTA DE COMPRAS'!D44</f>
        <v>8708-8000</v>
      </c>
      <c r="H44" s="1">
        <f>'LISTA DE COMPRAS'!J43</f>
        <v>100</v>
      </c>
      <c r="I44" s="63">
        <f>'LISTA DE COMPRAS'!P43</f>
        <v>0.0175438596491228</v>
      </c>
      <c r="J44" s="2">
        <f>'LISTA DE COMPRAS'!K43</f>
        <v>15.2</v>
      </c>
      <c r="K44" s="2">
        <f t="shared" si="5"/>
        <v>1520</v>
      </c>
      <c r="L44" s="3">
        <f t="shared" si="6"/>
        <v>7843.2</v>
      </c>
      <c r="M44" s="3">
        <f t="shared" si="7"/>
        <v>3921.6</v>
      </c>
      <c r="N44" s="4">
        <f t="shared" si="8"/>
        <v>0</v>
      </c>
      <c r="O44" s="3">
        <f>'Rateio Custos Fixos'!E50</f>
        <v>569.366666666667</v>
      </c>
      <c r="P44" s="3">
        <f t="shared" si="9"/>
        <v>8412.56666666667</v>
      </c>
      <c r="Q44" s="3">
        <f t="shared" si="10"/>
        <v>9926.82866666666</v>
      </c>
      <c r="R44" s="3">
        <f t="shared" si="23"/>
        <v>1514.262</v>
      </c>
      <c r="S44" s="3">
        <f t="shared" si="11"/>
        <v>303.7609572</v>
      </c>
      <c r="T44" s="3">
        <f t="shared" si="24"/>
        <v>309.7170544</v>
      </c>
      <c r="U44" s="3">
        <f t="shared" si="24"/>
        <v>1426.4852794</v>
      </c>
      <c r="V44" s="3">
        <f t="shared" si="22"/>
        <v>1514.262</v>
      </c>
      <c r="W44" s="3">
        <f t="shared" si="13"/>
        <v>5068.487291</v>
      </c>
      <c r="X44" s="3">
        <f t="shared" si="14"/>
        <v>2534.2436455</v>
      </c>
      <c r="Y44" s="3">
        <f>'Rateio Custos Fixos'!F50</f>
        <v>6.7925</v>
      </c>
      <c r="Z44" s="3">
        <f>'Rateio Custos Fixos'!G50</f>
        <v>15.5166666666667</v>
      </c>
      <c r="AA44" s="3">
        <f>'Rateio Custos Fixos'!H50</f>
        <v>48.9883333333333</v>
      </c>
      <c r="AB44" s="3">
        <f>'Rateio Custos Fixos'!I50</f>
        <v>1.52</v>
      </c>
      <c r="AC44" s="3">
        <f>'Rateio Custos Fixos'!J50</f>
        <v>3.86333333333333</v>
      </c>
      <c r="AD44" s="3">
        <f>'Rateio Custos Fixos'!K50</f>
        <v>33.9764333333333</v>
      </c>
      <c r="AE44" s="3">
        <f>'Rateio Custos Fixos'!L50</f>
        <v>24.5385</v>
      </c>
      <c r="AF44" s="3">
        <f>'Rateio Custos Fixos'!M50</f>
        <v>0.943666666666667</v>
      </c>
      <c r="AG44" s="3">
        <f>'Rateio Custos Fixos'!N50</f>
        <v>45.5493333333333</v>
      </c>
      <c r="AH44" s="3">
        <f>'Rateio Custos Fixos'!O50</f>
        <v>0</v>
      </c>
      <c r="AI44" s="3">
        <f>'Rateio Custos Fixos'!P50</f>
        <v>23.9700833333333</v>
      </c>
      <c r="AJ44" s="3">
        <f>'Rateio Custos Fixos'!Q50</f>
        <v>10.1437833333333</v>
      </c>
      <c r="AK44" s="3">
        <f>'Rateio Custos Fixos'!R50</f>
        <v>3.71925</v>
      </c>
      <c r="AL44" s="3">
        <f>'Rateio Custos Fixos'!S50</f>
        <v>9.05666666666666</v>
      </c>
      <c r="AM44" s="3">
        <f>'Rateio Custos Fixos'!T50</f>
        <v>190</v>
      </c>
      <c r="AN44" s="3">
        <f>'Rateio Custos Fixos'!U50</f>
        <v>76</v>
      </c>
      <c r="AO44" s="3">
        <f t="shared" si="15"/>
        <v>494.57855</v>
      </c>
      <c r="AP44" s="3">
        <f t="shared" si="16"/>
        <v>13975.6325076667</v>
      </c>
      <c r="AQ44" s="3">
        <v>2633.31661701474</v>
      </c>
      <c r="AR44" s="3">
        <f t="shared" si="17"/>
        <v>11441.3888621667</v>
      </c>
      <c r="AS44" s="3">
        <f t="shared" si="18"/>
        <v>139.756325076667</v>
      </c>
      <c r="AT44" s="3">
        <f t="shared" si="19"/>
        <v>114.413888621667</v>
      </c>
      <c r="AU44" s="3">
        <f t="shared" si="20"/>
        <v>139.756325076667</v>
      </c>
      <c r="AV44" s="3" t="e">
        <f>(AR44*#REF!)/'Est. Cust. Naci.'!H44</f>
        <v>#REF!</v>
      </c>
      <c r="AW44" s="3">
        <f t="shared" si="21"/>
        <v>136.8</v>
      </c>
    </row>
    <row r="45" spans="2:49">
      <c r="B45">
        <f>'LISTA DE COMPRAS'!A44</f>
        <v>40</v>
      </c>
      <c r="C45" s="21" t="str">
        <f>'LISTA DE COMPRAS'!C44</f>
        <v>3198836-4</v>
      </c>
      <c r="G45" s="62" t="str">
        <f>'LISTA DE COMPRAS'!D45</f>
        <v>8708-8000</v>
      </c>
      <c r="H45" s="1">
        <f>'LISTA DE COMPRAS'!J44</f>
        <v>100</v>
      </c>
      <c r="I45" s="63">
        <f>'LISTA DE COMPRAS'!P44</f>
        <v>0.0175438596491228</v>
      </c>
      <c r="J45" s="2">
        <f>'LISTA DE COMPRAS'!K44</f>
        <v>11.5</v>
      </c>
      <c r="K45" s="2">
        <f t="shared" si="5"/>
        <v>1150</v>
      </c>
      <c r="L45" s="3">
        <f t="shared" si="6"/>
        <v>5934</v>
      </c>
      <c r="M45" s="3">
        <f t="shared" si="7"/>
        <v>2967</v>
      </c>
      <c r="N45" s="4">
        <f t="shared" si="8"/>
        <v>0</v>
      </c>
      <c r="O45" s="3">
        <f>'Rateio Custos Fixos'!E51</f>
        <v>430.770833333333</v>
      </c>
      <c r="P45" s="3">
        <f t="shared" si="9"/>
        <v>6364.77083333333</v>
      </c>
      <c r="Q45" s="3">
        <f t="shared" si="10"/>
        <v>7510.42958333333</v>
      </c>
      <c r="R45" s="3">
        <f t="shared" si="23"/>
        <v>1145.65875</v>
      </c>
      <c r="S45" s="3">
        <f t="shared" si="11"/>
        <v>229.81914525</v>
      </c>
      <c r="T45" s="3">
        <f t="shared" si="24"/>
        <v>234.325403</v>
      </c>
      <c r="U45" s="3">
        <f t="shared" si="24"/>
        <v>1079.248731125</v>
      </c>
      <c r="V45" s="3">
        <f t="shared" si="22"/>
        <v>1145.65875</v>
      </c>
      <c r="W45" s="3">
        <f t="shared" si="13"/>
        <v>3834.710779375</v>
      </c>
      <c r="X45" s="3">
        <f t="shared" si="14"/>
        <v>3834.710779375</v>
      </c>
      <c r="Y45" s="3">
        <f>'Rateio Custos Fixos'!F51</f>
        <v>5.1390625</v>
      </c>
      <c r="Z45" s="3">
        <f>'Rateio Custos Fixos'!G51</f>
        <v>11.7395833333333</v>
      </c>
      <c r="AA45" s="3">
        <f>'Rateio Custos Fixos'!H51</f>
        <v>37.0635416666667</v>
      </c>
      <c r="AB45" s="3">
        <f>'Rateio Custos Fixos'!I51</f>
        <v>1.15</v>
      </c>
      <c r="AC45" s="3">
        <f>'Rateio Custos Fixos'!J51</f>
        <v>2.92291666666667</v>
      </c>
      <c r="AD45" s="3">
        <f>'Rateio Custos Fixos'!K51</f>
        <v>25.7058541666667</v>
      </c>
      <c r="AE45" s="3">
        <f>'Rateio Custos Fixos'!L51</f>
        <v>18.5653125</v>
      </c>
      <c r="AF45" s="3">
        <f>'Rateio Custos Fixos'!M51</f>
        <v>0.713958333333333</v>
      </c>
      <c r="AG45" s="3">
        <f>'Rateio Custos Fixos'!N51</f>
        <v>34.4616666666667</v>
      </c>
      <c r="AH45" s="3">
        <f>'Rateio Custos Fixos'!O51</f>
        <v>0</v>
      </c>
      <c r="AI45" s="3">
        <f>'Rateio Custos Fixos'!P51</f>
        <v>18.1352604166667</v>
      </c>
      <c r="AJ45" s="3">
        <f>'Rateio Custos Fixos'!Q51</f>
        <v>7.67457291666667</v>
      </c>
      <c r="AK45" s="3">
        <f>'Rateio Custos Fixos'!R51</f>
        <v>2.81390625</v>
      </c>
      <c r="AL45" s="3">
        <f>'Rateio Custos Fixos'!S51</f>
        <v>6.85208333333333</v>
      </c>
      <c r="AM45" s="3">
        <f>'Rateio Custos Fixos'!T51</f>
        <v>143.75</v>
      </c>
      <c r="AN45" s="3">
        <f>'Rateio Custos Fixos'!U51</f>
        <v>57.5</v>
      </c>
      <c r="AO45" s="3">
        <f t="shared" si="15"/>
        <v>374.18771875</v>
      </c>
      <c r="AP45" s="3">
        <f t="shared" si="16"/>
        <v>10573.6693314583</v>
      </c>
      <c r="AQ45" s="3">
        <v>2634.31661701474</v>
      </c>
      <c r="AR45" s="3">
        <f t="shared" si="17"/>
        <v>10573.6693314583</v>
      </c>
      <c r="AS45" s="3">
        <f t="shared" si="18"/>
        <v>105.736693314583</v>
      </c>
      <c r="AT45" s="3">
        <f t="shared" si="19"/>
        <v>105.736693314583</v>
      </c>
      <c r="AU45" s="3">
        <f t="shared" si="20"/>
        <v>105.736693314583</v>
      </c>
      <c r="AV45" s="3" t="e">
        <f>(AR45*#REF!)/'Est. Cust. Naci.'!H45</f>
        <v>#REF!</v>
      </c>
      <c r="AW45" s="3">
        <f t="shared" si="21"/>
        <v>103.5</v>
      </c>
    </row>
    <row r="46" spans="2:49">
      <c r="B46">
        <f>'LISTA DE COMPRAS'!A45</f>
        <v>41</v>
      </c>
      <c r="C46" s="21">
        <f>'LISTA DE COMPRAS'!C45</f>
        <v>1629722</v>
      </c>
      <c r="G46" s="62" t="str">
        <f>'LISTA DE COMPRAS'!D46</f>
        <v>8708-8000</v>
      </c>
      <c r="H46" s="1">
        <f>'LISTA DE COMPRAS'!J45</f>
        <v>100</v>
      </c>
      <c r="I46" s="63">
        <f>'LISTA DE COMPRAS'!P45</f>
        <v>0.0175438596491228</v>
      </c>
      <c r="J46" s="2">
        <f>'LISTA DE COMPRAS'!K45</f>
        <v>6.9</v>
      </c>
      <c r="K46" s="2">
        <f t="shared" si="5"/>
        <v>690</v>
      </c>
      <c r="L46" s="3">
        <f t="shared" si="6"/>
        <v>3560.4</v>
      </c>
      <c r="M46" s="3">
        <f t="shared" si="7"/>
        <v>1780.2</v>
      </c>
      <c r="N46" s="4">
        <f t="shared" si="8"/>
        <v>0</v>
      </c>
      <c r="O46" s="3">
        <f>'Rateio Custos Fixos'!E52</f>
        <v>258.4625</v>
      </c>
      <c r="P46" s="3">
        <f t="shared" si="9"/>
        <v>3818.8625</v>
      </c>
      <c r="Q46" s="3">
        <f t="shared" si="10"/>
        <v>4506.25775</v>
      </c>
      <c r="R46" s="3">
        <f t="shared" si="23"/>
        <v>687.39525</v>
      </c>
      <c r="S46" s="3">
        <f t="shared" si="11"/>
        <v>137.89148715</v>
      </c>
      <c r="T46" s="3">
        <f t="shared" si="24"/>
        <v>140.5952418</v>
      </c>
      <c r="U46" s="3">
        <f t="shared" si="24"/>
        <v>647.549238675</v>
      </c>
      <c r="V46" s="3">
        <f t="shared" si="22"/>
        <v>687.39525</v>
      </c>
      <c r="W46" s="3">
        <f t="shared" si="13"/>
        <v>2300.826467625</v>
      </c>
      <c r="X46" s="3">
        <f t="shared" si="14"/>
        <v>12513.418565375</v>
      </c>
      <c r="Y46" s="3">
        <f>'Rateio Custos Fixos'!F52</f>
        <v>3.0834375</v>
      </c>
      <c r="Z46" s="3">
        <f>'Rateio Custos Fixos'!G52</f>
        <v>7.04375</v>
      </c>
      <c r="AA46" s="3">
        <f>'Rateio Custos Fixos'!H52</f>
        <v>22.238125</v>
      </c>
      <c r="AB46" s="3">
        <f>'Rateio Custos Fixos'!I52</f>
        <v>0.69</v>
      </c>
      <c r="AC46" s="3">
        <f>'Rateio Custos Fixos'!J52</f>
        <v>1.75375</v>
      </c>
      <c r="AD46" s="3">
        <f>'Rateio Custos Fixos'!K52</f>
        <v>15.4235125</v>
      </c>
      <c r="AE46" s="3">
        <f>'Rateio Custos Fixos'!L52</f>
        <v>11.1391875</v>
      </c>
      <c r="AF46" s="3">
        <f>'Rateio Custos Fixos'!M52</f>
        <v>0.428375</v>
      </c>
      <c r="AG46" s="3">
        <f>'Rateio Custos Fixos'!N52</f>
        <v>20.677</v>
      </c>
      <c r="AH46" s="3">
        <f>'Rateio Custos Fixos'!O52</f>
        <v>0</v>
      </c>
      <c r="AI46" s="3">
        <f>'Rateio Custos Fixos'!P52</f>
        <v>10.88115625</v>
      </c>
      <c r="AJ46" s="3">
        <f>'Rateio Custos Fixos'!Q52</f>
        <v>4.60474375</v>
      </c>
      <c r="AK46" s="3">
        <f>'Rateio Custos Fixos'!R52</f>
        <v>1.68834375</v>
      </c>
      <c r="AL46" s="3">
        <f>'Rateio Custos Fixos'!S52</f>
        <v>4.11125</v>
      </c>
      <c r="AM46" s="3">
        <f>'Rateio Custos Fixos'!T52</f>
        <v>86.25</v>
      </c>
      <c r="AN46" s="3">
        <f>'Rateio Custos Fixos'!U52</f>
        <v>34.5</v>
      </c>
      <c r="AO46" s="3">
        <f t="shared" si="15"/>
        <v>224.51263125</v>
      </c>
      <c r="AP46" s="3">
        <f t="shared" si="16"/>
        <v>6344.201598875</v>
      </c>
      <c r="AQ46" s="3">
        <v>2635.31661701474</v>
      </c>
      <c r="AR46" s="3">
        <f t="shared" si="17"/>
        <v>16556.793696625</v>
      </c>
      <c r="AS46" s="3">
        <f t="shared" si="18"/>
        <v>63.44201598875</v>
      </c>
      <c r="AT46" s="3">
        <f t="shared" si="19"/>
        <v>165.56793696625</v>
      </c>
      <c r="AU46" s="3">
        <f t="shared" si="20"/>
        <v>63.44201598875</v>
      </c>
      <c r="AV46" s="3" t="e">
        <f>(AR46*#REF!)/'Est. Cust. Naci.'!H46</f>
        <v>#REF!</v>
      </c>
      <c r="AW46" s="3">
        <f t="shared" si="21"/>
        <v>62.1</v>
      </c>
    </row>
    <row r="47" spans="2:49">
      <c r="B47">
        <f>'LISTA DE COMPRAS'!A46</f>
        <v>42</v>
      </c>
      <c r="C47" s="21">
        <f>'LISTA DE COMPRAS'!C46</f>
        <v>3198836</v>
      </c>
      <c r="G47" s="62" t="str">
        <f>'LISTA DE COMPRAS'!D47</f>
        <v>8708-8000</v>
      </c>
      <c r="H47" s="1">
        <f>'LISTA DE COMPRAS'!J46</f>
        <v>100</v>
      </c>
      <c r="I47" s="63">
        <f>'LISTA DE COMPRAS'!P46</f>
        <v>0.0175438596491228</v>
      </c>
      <c r="J47" s="2">
        <f>'LISTA DE COMPRAS'!K46</f>
        <v>11.5</v>
      </c>
      <c r="K47" s="2">
        <f t="shared" si="5"/>
        <v>1150</v>
      </c>
      <c r="L47" s="3">
        <f t="shared" si="6"/>
        <v>5934</v>
      </c>
      <c r="M47" s="3">
        <f t="shared" si="7"/>
        <v>2967</v>
      </c>
      <c r="N47" s="4">
        <f t="shared" si="8"/>
        <v>0</v>
      </c>
      <c r="O47" s="3">
        <f>'Rateio Custos Fixos'!E53</f>
        <v>430.770833333333</v>
      </c>
      <c r="P47" s="3">
        <f t="shared" si="9"/>
        <v>6364.77083333333</v>
      </c>
      <c r="Q47" s="3">
        <f t="shared" si="10"/>
        <v>7510.42958333333</v>
      </c>
      <c r="R47" s="3">
        <f t="shared" si="23"/>
        <v>1145.65875</v>
      </c>
      <c r="S47" s="3">
        <f t="shared" si="11"/>
        <v>229.81914525</v>
      </c>
      <c r="T47" s="3">
        <f t="shared" si="24"/>
        <v>234.325403</v>
      </c>
      <c r="U47" s="3">
        <f t="shared" si="24"/>
        <v>1079.248731125</v>
      </c>
      <c r="V47" s="3">
        <f t="shared" si="22"/>
        <v>1145.65875</v>
      </c>
      <c r="W47" s="3">
        <f t="shared" si="13"/>
        <v>3834.710779375</v>
      </c>
      <c r="X47" s="3">
        <f t="shared" si="14"/>
        <v>3834.710779375</v>
      </c>
      <c r="Y47" s="3">
        <f>'Rateio Custos Fixos'!F53</f>
        <v>5.1390625</v>
      </c>
      <c r="Z47" s="3">
        <f>'Rateio Custos Fixos'!G53</f>
        <v>11.7395833333333</v>
      </c>
      <c r="AA47" s="3">
        <f>'Rateio Custos Fixos'!H53</f>
        <v>37.0635416666667</v>
      </c>
      <c r="AB47" s="3">
        <f>'Rateio Custos Fixos'!I53</f>
        <v>1.15</v>
      </c>
      <c r="AC47" s="3">
        <f>'Rateio Custos Fixos'!J53</f>
        <v>2.92291666666667</v>
      </c>
      <c r="AD47" s="3">
        <f>'Rateio Custos Fixos'!K53</f>
        <v>25.7058541666667</v>
      </c>
      <c r="AE47" s="3">
        <f>'Rateio Custos Fixos'!L53</f>
        <v>18.5653125</v>
      </c>
      <c r="AF47" s="3">
        <f>'Rateio Custos Fixos'!M53</f>
        <v>0.713958333333333</v>
      </c>
      <c r="AG47" s="3">
        <f>'Rateio Custos Fixos'!N53</f>
        <v>34.4616666666667</v>
      </c>
      <c r="AH47" s="3">
        <f>'Rateio Custos Fixos'!O53</f>
        <v>0</v>
      </c>
      <c r="AI47" s="3">
        <f>'Rateio Custos Fixos'!P53</f>
        <v>18.1352604166667</v>
      </c>
      <c r="AJ47" s="3">
        <f>'Rateio Custos Fixos'!Q53</f>
        <v>7.67457291666667</v>
      </c>
      <c r="AK47" s="3">
        <f>'Rateio Custos Fixos'!R53</f>
        <v>2.81390625</v>
      </c>
      <c r="AL47" s="3">
        <f>'Rateio Custos Fixos'!S53</f>
        <v>6.85208333333333</v>
      </c>
      <c r="AM47" s="3">
        <f>'Rateio Custos Fixos'!T53</f>
        <v>143.75</v>
      </c>
      <c r="AN47" s="3">
        <f>'Rateio Custos Fixos'!U53</f>
        <v>57.5</v>
      </c>
      <c r="AO47" s="3">
        <f t="shared" si="15"/>
        <v>374.18771875</v>
      </c>
      <c r="AP47" s="3">
        <f t="shared" si="16"/>
        <v>10573.6693314583</v>
      </c>
      <c r="AQ47" s="3">
        <v>2636.31661701474</v>
      </c>
      <c r="AR47" s="3">
        <f t="shared" si="17"/>
        <v>10573.6693314583</v>
      </c>
      <c r="AS47" s="3">
        <f t="shared" si="18"/>
        <v>105.736693314583</v>
      </c>
      <c r="AT47" s="3">
        <f t="shared" si="19"/>
        <v>105.736693314583</v>
      </c>
      <c r="AU47" s="3">
        <f t="shared" si="20"/>
        <v>105.736693314583</v>
      </c>
      <c r="AV47" s="3" t="e">
        <f>(AR47*#REF!)/'Est. Cust. Naci.'!H47</f>
        <v>#REF!</v>
      </c>
      <c r="AW47" s="3">
        <f t="shared" si="21"/>
        <v>103.5</v>
      </c>
    </row>
    <row r="48" spans="2:49">
      <c r="B48">
        <f>'LISTA DE COMPRAS'!A47</f>
        <v>43</v>
      </c>
      <c r="C48" s="21" t="str">
        <f>'LISTA DE COMPRAS'!C47</f>
        <v>20453256; 20889132; 21111932; 20453258; 20889136; 21111942</v>
      </c>
      <c r="G48" s="62" t="str">
        <f>'LISTA DE COMPRAS'!D48</f>
        <v>8708-8000</v>
      </c>
      <c r="H48" s="1">
        <f>'LISTA DE COMPRAS'!J47</f>
        <v>100</v>
      </c>
      <c r="I48" s="63">
        <f>'LISTA DE COMPRAS'!P47</f>
        <v>0.0175438596491228</v>
      </c>
      <c r="J48" s="2">
        <f>'LISTA DE COMPRAS'!K47</f>
        <v>19.5</v>
      </c>
      <c r="K48" s="2">
        <f t="shared" si="5"/>
        <v>1950</v>
      </c>
      <c r="L48" s="3">
        <f t="shared" si="6"/>
        <v>10062</v>
      </c>
      <c r="M48" s="3">
        <f t="shared" si="7"/>
        <v>5031</v>
      </c>
      <c r="N48" s="4">
        <f t="shared" si="8"/>
        <v>0</v>
      </c>
      <c r="O48" s="3">
        <f>'Rateio Custos Fixos'!E54</f>
        <v>730.4375</v>
      </c>
      <c r="P48" s="3">
        <f t="shared" si="9"/>
        <v>10792.4375</v>
      </c>
      <c r="Q48" s="3">
        <f t="shared" si="10"/>
        <v>12735.07625</v>
      </c>
      <c r="R48" s="3">
        <f t="shared" si="23"/>
        <v>1942.63875</v>
      </c>
      <c r="S48" s="3">
        <f t="shared" si="11"/>
        <v>389.69333325</v>
      </c>
      <c r="T48" s="3">
        <f t="shared" si="24"/>
        <v>397.334379</v>
      </c>
      <c r="U48" s="3">
        <f t="shared" si="24"/>
        <v>1830.030457125</v>
      </c>
      <c r="V48" s="3">
        <f t="shared" si="22"/>
        <v>1942.63875</v>
      </c>
      <c r="W48" s="3">
        <f t="shared" si="13"/>
        <v>6502.335669375</v>
      </c>
      <c r="X48" s="3">
        <f t="shared" si="14"/>
        <v>1467.1936895</v>
      </c>
      <c r="Y48" s="3">
        <f>'Rateio Custos Fixos'!F54</f>
        <v>8.7140625</v>
      </c>
      <c r="Z48" s="3">
        <f>'Rateio Custos Fixos'!G54</f>
        <v>19.90625</v>
      </c>
      <c r="AA48" s="3">
        <f>'Rateio Custos Fixos'!H54</f>
        <v>62.846875</v>
      </c>
      <c r="AB48" s="3">
        <f>'Rateio Custos Fixos'!I54</f>
        <v>1.95</v>
      </c>
      <c r="AC48" s="3">
        <f>'Rateio Custos Fixos'!J54</f>
        <v>4.95625</v>
      </c>
      <c r="AD48" s="3">
        <f>'Rateio Custos Fixos'!K54</f>
        <v>43.5881875</v>
      </c>
      <c r="AE48" s="3">
        <f>'Rateio Custos Fixos'!L54</f>
        <v>31.4803125</v>
      </c>
      <c r="AF48" s="3">
        <f>'Rateio Custos Fixos'!M54</f>
        <v>1.210625</v>
      </c>
      <c r="AG48" s="3">
        <f>'Rateio Custos Fixos'!N54</f>
        <v>58.435</v>
      </c>
      <c r="AH48" s="3">
        <f>'Rateio Custos Fixos'!O54</f>
        <v>0</v>
      </c>
      <c r="AI48" s="3">
        <f>'Rateio Custos Fixos'!P54</f>
        <v>30.75109375</v>
      </c>
      <c r="AJ48" s="3">
        <f>'Rateio Custos Fixos'!Q54</f>
        <v>13.01340625</v>
      </c>
      <c r="AK48" s="3">
        <f>'Rateio Custos Fixos'!R54</f>
        <v>4.77140625</v>
      </c>
      <c r="AL48" s="3">
        <f>'Rateio Custos Fixos'!S54</f>
        <v>11.61875</v>
      </c>
      <c r="AM48" s="3">
        <f>'Rateio Custos Fixos'!T54</f>
        <v>243.75</v>
      </c>
      <c r="AN48" s="3">
        <f>'Rateio Custos Fixos'!U54</f>
        <v>97.5</v>
      </c>
      <c r="AO48" s="3">
        <f t="shared" si="15"/>
        <v>634.49221875</v>
      </c>
      <c r="AP48" s="3">
        <f t="shared" si="16"/>
        <v>17929.265388125</v>
      </c>
      <c r="AQ48" s="3">
        <v>2637.31661701474</v>
      </c>
      <c r="AR48" s="3">
        <f t="shared" si="17"/>
        <v>12894.12340825</v>
      </c>
      <c r="AS48" s="3">
        <f t="shared" si="18"/>
        <v>179.29265388125</v>
      </c>
      <c r="AT48" s="3">
        <f t="shared" si="19"/>
        <v>128.9412340825</v>
      </c>
      <c r="AU48" s="3">
        <f t="shared" si="20"/>
        <v>179.29265388125</v>
      </c>
      <c r="AV48" s="3" t="e">
        <f>(AR48*#REF!)/'Est. Cust. Naci.'!H48</f>
        <v>#REF!</v>
      </c>
      <c r="AW48" s="3">
        <f t="shared" si="21"/>
        <v>175.5</v>
      </c>
    </row>
    <row r="49" spans="2:49">
      <c r="B49">
        <f>'LISTA DE COMPRAS'!A48</f>
        <v>44</v>
      </c>
      <c r="C49" s="21">
        <f>'LISTA DE COMPRAS'!C48</f>
        <v>1075478</v>
      </c>
      <c r="G49" s="62" t="str">
        <f>'LISTA DE COMPRAS'!D49</f>
        <v>8708-8000</v>
      </c>
      <c r="H49" s="1">
        <f>'LISTA DE COMPRAS'!J48</f>
        <v>100</v>
      </c>
      <c r="I49" s="63">
        <f>'LISTA DE COMPRAS'!P48</f>
        <v>0.0175438596491228</v>
      </c>
      <c r="J49" s="2">
        <f>'LISTA DE COMPRAS'!K48</f>
        <v>7.6</v>
      </c>
      <c r="K49" s="2">
        <f t="shared" si="5"/>
        <v>760</v>
      </c>
      <c r="L49" s="3">
        <f t="shared" si="6"/>
        <v>3921.6</v>
      </c>
      <c r="M49" s="3">
        <f t="shared" si="7"/>
        <v>1960.8</v>
      </c>
      <c r="N49" s="4">
        <f t="shared" si="8"/>
        <v>0</v>
      </c>
      <c r="O49" s="3">
        <f>'Rateio Custos Fixos'!E55</f>
        <v>284.683333333333</v>
      </c>
      <c r="P49" s="3">
        <f t="shared" si="9"/>
        <v>4206.28333333333</v>
      </c>
      <c r="Q49" s="3">
        <f t="shared" si="10"/>
        <v>4963.41433333333</v>
      </c>
      <c r="R49" s="3">
        <f t="shared" si="23"/>
        <v>757.131</v>
      </c>
      <c r="S49" s="3">
        <f t="shared" si="11"/>
        <v>151.8804786</v>
      </c>
      <c r="T49" s="3">
        <f t="shared" si="24"/>
        <v>154.8585272</v>
      </c>
      <c r="U49" s="3">
        <f t="shared" si="24"/>
        <v>713.2426397</v>
      </c>
      <c r="V49" s="3">
        <f t="shared" si="22"/>
        <v>757.131</v>
      </c>
      <c r="W49" s="3">
        <f t="shared" si="13"/>
        <v>2534.2436455</v>
      </c>
      <c r="X49" s="3">
        <f t="shared" si="14"/>
        <v>0</v>
      </c>
      <c r="Y49" s="3">
        <f>'Rateio Custos Fixos'!F55</f>
        <v>3.39625</v>
      </c>
      <c r="Z49" s="3">
        <f>'Rateio Custos Fixos'!G55</f>
        <v>7.75833333333333</v>
      </c>
      <c r="AA49" s="3">
        <f>'Rateio Custos Fixos'!H55</f>
        <v>24.4941666666667</v>
      </c>
      <c r="AB49" s="3">
        <f>'Rateio Custos Fixos'!I55</f>
        <v>0.76</v>
      </c>
      <c r="AC49" s="3">
        <f>'Rateio Custos Fixos'!J55</f>
        <v>1.93166666666667</v>
      </c>
      <c r="AD49" s="3">
        <f>'Rateio Custos Fixos'!K55</f>
        <v>16.9882166666667</v>
      </c>
      <c r="AE49" s="3">
        <f>'Rateio Custos Fixos'!L55</f>
        <v>12.26925</v>
      </c>
      <c r="AF49" s="3">
        <f>'Rateio Custos Fixos'!M55</f>
        <v>0.471833333333333</v>
      </c>
      <c r="AG49" s="3">
        <f>'Rateio Custos Fixos'!N55</f>
        <v>22.7746666666667</v>
      </c>
      <c r="AH49" s="3">
        <f>'Rateio Custos Fixos'!O55</f>
        <v>0</v>
      </c>
      <c r="AI49" s="3">
        <f>'Rateio Custos Fixos'!P55</f>
        <v>11.9850416666667</v>
      </c>
      <c r="AJ49" s="3">
        <f>'Rateio Custos Fixos'!Q55</f>
        <v>5.07189166666667</v>
      </c>
      <c r="AK49" s="3">
        <f>'Rateio Custos Fixos'!R55</f>
        <v>1.859625</v>
      </c>
      <c r="AL49" s="3">
        <f>'Rateio Custos Fixos'!S55</f>
        <v>4.52833333333333</v>
      </c>
      <c r="AM49" s="3">
        <f>'Rateio Custos Fixos'!T55</f>
        <v>95</v>
      </c>
      <c r="AN49" s="3">
        <f>'Rateio Custos Fixos'!U55</f>
        <v>38</v>
      </c>
      <c r="AO49" s="3">
        <f t="shared" si="15"/>
        <v>247.289275</v>
      </c>
      <c r="AP49" s="3">
        <f t="shared" si="16"/>
        <v>6987.81625383333</v>
      </c>
      <c r="AQ49" s="3">
        <v>2638.31661701474</v>
      </c>
      <c r="AR49" s="3">
        <f t="shared" si="17"/>
        <v>4453.57260833333</v>
      </c>
      <c r="AS49" s="3">
        <f t="shared" si="18"/>
        <v>69.8781625383333</v>
      </c>
      <c r="AT49" s="3">
        <f t="shared" si="19"/>
        <v>44.5357260833333</v>
      </c>
      <c r="AU49" s="3">
        <f t="shared" si="20"/>
        <v>69.8781625383333</v>
      </c>
      <c r="AV49" s="3" t="e">
        <f>(AR49*#REF!)/'Est. Cust. Naci.'!H49</f>
        <v>#REF!</v>
      </c>
      <c r="AW49" s="3">
        <f t="shared" si="21"/>
        <v>68.4</v>
      </c>
    </row>
    <row r="50" spans="2:49">
      <c r="B50">
        <f>'LISTA DE COMPRAS'!A49</f>
        <v>45</v>
      </c>
      <c r="C50" s="21">
        <f>'LISTA DE COMPRAS'!C49</f>
        <v>3198859</v>
      </c>
      <c r="G50" s="62" t="str">
        <f>'LISTA DE COMPRAS'!D50</f>
        <v>8708-8000</v>
      </c>
      <c r="H50" s="1">
        <f>'LISTA DE COMPRAS'!J49</f>
        <v>100</v>
      </c>
      <c r="I50" s="63">
        <f>'LISTA DE COMPRAS'!P49</f>
        <v>0.0175438596491228</v>
      </c>
      <c r="J50" s="2">
        <f>'LISTA DE COMPRAS'!K49</f>
        <v>11.5</v>
      </c>
      <c r="K50" s="2">
        <f t="shared" si="5"/>
        <v>1150</v>
      </c>
      <c r="L50" s="3">
        <f t="shared" si="6"/>
        <v>5934</v>
      </c>
      <c r="M50" s="3">
        <f t="shared" si="7"/>
        <v>2967</v>
      </c>
      <c r="N50" s="4">
        <f t="shared" si="8"/>
        <v>0</v>
      </c>
      <c r="O50" s="3">
        <f>'Rateio Custos Fixos'!E56</f>
        <v>430.770833333333</v>
      </c>
      <c r="P50" s="3">
        <f t="shared" si="9"/>
        <v>6364.77083333333</v>
      </c>
      <c r="Q50" s="3">
        <f t="shared" si="10"/>
        <v>7510.42958333333</v>
      </c>
      <c r="R50" s="3">
        <f t="shared" si="23"/>
        <v>1145.65875</v>
      </c>
      <c r="S50" s="3">
        <f t="shared" si="11"/>
        <v>229.81914525</v>
      </c>
      <c r="T50" s="3">
        <f t="shared" si="24"/>
        <v>234.325403</v>
      </c>
      <c r="U50" s="3">
        <f t="shared" si="24"/>
        <v>1079.248731125</v>
      </c>
      <c r="V50" s="3">
        <f t="shared" si="22"/>
        <v>1145.65875</v>
      </c>
      <c r="W50" s="3">
        <f t="shared" si="13"/>
        <v>3834.710779375</v>
      </c>
      <c r="X50" s="3">
        <f t="shared" si="14"/>
        <v>2067.40928975</v>
      </c>
      <c r="Y50" s="3">
        <f>'Rateio Custos Fixos'!F56</f>
        <v>5.1390625</v>
      </c>
      <c r="Z50" s="3">
        <f>'Rateio Custos Fixos'!G56</f>
        <v>11.7395833333333</v>
      </c>
      <c r="AA50" s="3">
        <f>'Rateio Custos Fixos'!H56</f>
        <v>37.0635416666667</v>
      </c>
      <c r="AB50" s="3">
        <f>'Rateio Custos Fixos'!I56</f>
        <v>1.15</v>
      </c>
      <c r="AC50" s="3">
        <f>'Rateio Custos Fixos'!J56</f>
        <v>2.92291666666667</v>
      </c>
      <c r="AD50" s="3">
        <f>'Rateio Custos Fixos'!K56</f>
        <v>25.7058541666667</v>
      </c>
      <c r="AE50" s="3">
        <f>'Rateio Custos Fixos'!L56</f>
        <v>18.5653125</v>
      </c>
      <c r="AF50" s="3">
        <f>'Rateio Custos Fixos'!M56</f>
        <v>0.713958333333333</v>
      </c>
      <c r="AG50" s="3">
        <f>'Rateio Custos Fixos'!N56</f>
        <v>34.4616666666667</v>
      </c>
      <c r="AH50" s="3">
        <f>'Rateio Custos Fixos'!O56</f>
        <v>0</v>
      </c>
      <c r="AI50" s="3">
        <f>'Rateio Custos Fixos'!P56</f>
        <v>18.1352604166667</v>
      </c>
      <c r="AJ50" s="3">
        <f>'Rateio Custos Fixos'!Q56</f>
        <v>7.67457291666667</v>
      </c>
      <c r="AK50" s="3">
        <f>'Rateio Custos Fixos'!R56</f>
        <v>2.81390625</v>
      </c>
      <c r="AL50" s="3">
        <f>'Rateio Custos Fixos'!S56</f>
        <v>6.85208333333333</v>
      </c>
      <c r="AM50" s="3">
        <f>'Rateio Custos Fixos'!T56</f>
        <v>143.75</v>
      </c>
      <c r="AN50" s="3">
        <f>'Rateio Custos Fixos'!U56</f>
        <v>57.5</v>
      </c>
      <c r="AO50" s="3">
        <f t="shared" si="15"/>
        <v>374.18771875</v>
      </c>
      <c r="AP50" s="3">
        <f t="shared" si="16"/>
        <v>10573.6693314583</v>
      </c>
      <c r="AQ50" s="3">
        <v>2639.31661701474</v>
      </c>
      <c r="AR50" s="3">
        <f t="shared" si="17"/>
        <v>8806.36784183333</v>
      </c>
      <c r="AS50" s="3">
        <f t="shared" si="18"/>
        <v>105.736693314583</v>
      </c>
      <c r="AT50" s="3">
        <f t="shared" si="19"/>
        <v>88.0636784183333</v>
      </c>
      <c r="AU50" s="3">
        <f t="shared" si="20"/>
        <v>105.736693314583</v>
      </c>
      <c r="AV50" s="3" t="e">
        <f>(AR50*#REF!)/'Est. Cust. Naci.'!H50</f>
        <v>#REF!</v>
      </c>
      <c r="AW50" s="3">
        <f t="shared" si="21"/>
        <v>103.5</v>
      </c>
    </row>
    <row r="51" spans="2:49">
      <c r="B51">
        <f>'LISTA DE COMPRAS'!A50</f>
        <v>46</v>
      </c>
      <c r="C51" s="21">
        <f>'LISTA DE COMPRAS'!C50</f>
        <v>1629668</v>
      </c>
      <c r="G51" s="62" t="str">
        <f>'LISTA DE COMPRAS'!D51</f>
        <v>8708-8000</v>
      </c>
      <c r="H51" s="1">
        <f>'LISTA DE COMPRAS'!J50</f>
        <v>300</v>
      </c>
      <c r="I51" s="63">
        <f>'LISTA DE COMPRAS'!P50</f>
        <v>0.0526315789473684</v>
      </c>
      <c r="J51" s="2">
        <f>'LISTA DE COMPRAS'!K50</f>
        <v>13.1</v>
      </c>
      <c r="K51" s="2">
        <f t="shared" si="5"/>
        <v>3930</v>
      </c>
      <c r="L51" s="3">
        <f t="shared" si="6"/>
        <v>20278.8</v>
      </c>
      <c r="M51" s="3">
        <f t="shared" si="7"/>
        <v>10139.4</v>
      </c>
      <c r="N51" s="4">
        <f t="shared" si="8"/>
        <v>0</v>
      </c>
      <c r="O51" s="3">
        <f>'Rateio Custos Fixos'!E57</f>
        <v>490.704166666667</v>
      </c>
      <c r="P51" s="3">
        <f t="shared" si="9"/>
        <v>20769.5041666667</v>
      </c>
      <c r="Q51" s="3">
        <f t="shared" si="10"/>
        <v>24508.0149166667</v>
      </c>
      <c r="R51" s="3">
        <f t="shared" si="23"/>
        <v>3738.51075</v>
      </c>
      <c r="S51" s="3">
        <f t="shared" si="11"/>
        <v>749.94525645</v>
      </c>
      <c r="T51" s="3">
        <f t="shared" si="24"/>
        <v>764.6500654</v>
      </c>
      <c r="U51" s="3">
        <f t="shared" si="24"/>
        <v>3521.801743525</v>
      </c>
      <c r="V51" s="3">
        <f t="shared" si="22"/>
        <v>3738.51075</v>
      </c>
      <c r="W51" s="3">
        <f t="shared" si="13"/>
        <v>12513.418565375</v>
      </c>
      <c r="X51" s="3">
        <f t="shared" si="14"/>
        <v>5935.46538025</v>
      </c>
      <c r="Y51" s="3">
        <f>'Rateio Custos Fixos'!F57</f>
        <v>5.8540625</v>
      </c>
      <c r="Z51" s="3">
        <f>'Rateio Custos Fixos'!G57</f>
        <v>13.3729166666667</v>
      </c>
      <c r="AA51" s="3">
        <f>'Rateio Custos Fixos'!H57</f>
        <v>42.2202083333333</v>
      </c>
      <c r="AB51" s="3">
        <f>'Rateio Custos Fixos'!I57</f>
        <v>1.31</v>
      </c>
      <c r="AC51" s="3">
        <f>'Rateio Custos Fixos'!J57</f>
        <v>3.32958333333333</v>
      </c>
      <c r="AD51" s="3">
        <f>'Rateio Custos Fixos'!K57</f>
        <v>29.2823208333333</v>
      </c>
      <c r="AE51" s="3">
        <f>'Rateio Custos Fixos'!L57</f>
        <v>21.1483125</v>
      </c>
      <c r="AF51" s="3">
        <f>'Rateio Custos Fixos'!M57</f>
        <v>0.813291666666667</v>
      </c>
      <c r="AG51" s="3">
        <f>'Rateio Custos Fixos'!N57</f>
        <v>39.2563333333333</v>
      </c>
      <c r="AH51" s="3">
        <f>'Rateio Custos Fixos'!O57</f>
        <v>0</v>
      </c>
      <c r="AI51" s="3">
        <f>'Rateio Custos Fixos'!P57</f>
        <v>20.6584270833333</v>
      </c>
      <c r="AJ51" s="3">
        <f>'Rateio Custos Fixos'!Q57</f>
        <v>8.74233958333333</v>
      </c>
      <c r="AK51" s="3">
        <f>'Rateio Custos Fixos'!R57</f>
        <v>3.20540625</v>
      </c>
      <c r="AL51" s="3">
        <f>'Rateio Custos Fixos'!S57</f>
        <v>7.80541666666667</v>
      </c>
      <c r="AM51" s="3">
        <f>'Rateio Custos Fixos'!T57</f>
        <v>163.75</v>
      </c>
      <c r="AN51" s="3">
        <f>'Rateio Custos Fixos'!U57</f>
        <v>65.5</v>
      </c>
      <c r="AO51" s="3">
        <f t="shared" si="15"/>
        <v>426.24861875</v>
      </c>
      <c r="AP51" s="3">
        <f t="shared" si="16"/>
        <v>33709.1713507917</v>
      </c>
      <c r="AQ51" s="3">
        <v>2640.31661701474</v>
      </c>
      <c r="AR51" s="3">
        <f t="shared" si="17"/>
        <v>27131.2181656667</v>
      </c>
      <c r="AS51" s="3">
        <f t="shared" si="18"/>
        <v>112.363904502639</v>
      </c>
      <c r="AT51" s="3">
        <f t="shared" si="19"/>
        <v>90.4373938855556</v>
      </c>
      <c r="AU51" s="3">
        <f t="shared" si="20"/>
        <v>112.363904502639</v>
      </c>
      <c r="AV51" s="3" t="e">
        <f>(AR51*#REF!)/'Est. Cust. Naci.'!H51</f>
        <v>#REF!</v>
      </c>
      <c r="AW51" s="3">
        <f t="shared" si="21"/>
        <v>117.9</v>
      </c>
    </row>
    <row r="52" spans="2:49">
      <c r="B52">
        <f>'LISTA DE COMPRAS'!A51</f>
        <v>47</v>
      </c>
      <c r="C52" s="21" t="str">
        <f>'LISTA DE COMPRAS'!C51</f>
        <v>3198859-3</v>
      </c>
      <c r="G52" s="62" t="str">
        <f>'LISTA DE COMPRAS'!D52</f>
        <v>8708-8000</v>
      </c>
      <c r="H52" s="1">
        <f>'LISTA DE COMPRAS'!J51</f>
        <v>100</v>
      </c>
      <c r="I52" s="63">
        <f>'LISTA DE COMPRAS'!P51</f>
        <v>0.0175438596491228</v>
      </c>
      <c r="J52" s="2">
        <f>'LISTA DE COMPRAS'!K51</f>
        <v>11.5</v>
      </c>
      <c r="K52" s="2">
        <f t="shared" si="5"/>
        <v>1150</v>
      </c>
      <c r="L52" s="3">
        <f t="shared" si="6"/>
        <v>5934</v>
      </c>
      <c r="M52" s="3">
        <f t="shared" si="7"/>
        <v>2967</v>
      </c>
      <c r="N52" s="4">
        <f t="shared" si="8"/>
        <v>0</v>
      </c>
      <c r="O52" s="3">
        <f>'Rateio Custos Fixos'!E58</f>
        <v>430.770833333333</v>
      </c>
      <c r="P52" s="3">
        <f t="shared" si="9"/>
        <v>6364.77083333333</v>
      </c>
      <c r="Q52" s="3">
        <f t="shared" si="10"/>
        <v>7510.42958333333</v>
      </c>
      <c r="R52" s="3">
        <f t="shared" si="23"/>
        <v>1145.65875</v>
      </c>
      <c r="S52" s="3">
        <f t="shared" si="11"/>
        <v>229.81914525</v>
      </c>
      <c r="T52" s="3">
        <f t="shared" si="24"/>
        <v>234.325403</v>
      </c>
      <c r="U52" s="3">
        <f t="shared" si="24"/>
        <v>1079.248731125</v>
      </c>
      <c r="V52" s="3">
        <f t="shared" si="22"/>
        <v>1145.65875</v>
      </c>
      <c r="W52" s="3">
        <f t="shared" si="13"/>
        <v>3834.710779375</v>
      </c>
      <c r="X52" s="3">
        <f t="shared" si="14"/>
        <v>3401.22173475</v>
      </c>
      <c r="Y52" s="3">
        <f>'Rateio Custos Fixos'!F58</f>
        <v>5.1390625</v>
      </c>
      <c r="Z52" s="3">
        <f>'Rateio Custos Fixos'!G58</f>
        <v>11.7395833333333</v>
      </c>
      <c r="AA52" s="3">
        <f>'Rateio Custos Fixos'!H58</f>
        <v>37.0635416666667</v>
      </c>
      <c r="AB52" s="3">
        <f>'Rateio Custos Fixos'!I58</f>
        <v>1.15</v>
      </c>
      <c r="AC52" s="3">
        <f>'Rateio Custos Fixos'!J58</f>
        <v>2.92291666666667</v>
      </c>
      <c r="AD52" s="3">
        <f>'Rateio Custos Fixos'!K58</f>
        <v>25.7058541666667</v>
      </c>
      <c r="AE52" s="3">
        <f>'Rateio Custos Fixos'!L58</f>
        <v>18.5653125</v>
      </c>
      <c r="AF52" s="3">
        <f>'Rateio Custos Fixos'!M58</f>
        <v>0.713958333333333</v>
      </c>
      <c r="AG52" s="3">
        <f>'Rateio Custos Fixos'!N58</f>
        <v>34.4616666666667</v>
      </c>
      <c r="AH52" s="3">
        <f>'Rateio Custos Fixos'!O58</f>
        <v>0</v>
      </c>
      <c r="AI52" s="3">
        <f>'Rateio Custos Fixos'!P58</f>
        <v>18.1352604166667</v>
      </c>
      <c r="AJ52" s="3">
        <f>'Rateio Custos Fixos'!Q58</f>
        <v>7.67457291666667</v>
      </c>
      <c r="AK52" s="3">
        <f>'Rateio Custos Fixos'!R58</f>
        <v>2.81390625</v>
      </c>
      <c r="AL52" s="3">
        <f>'Rateio Custos Fixos'!S58</f>
        <v>6.85208333333333</v>
      </c>
      <c r="AM52" s="3">
        <f>'Rateio Custos Fixos'!T58</f>
        <v>143.75</v>
      </c>
      <c r="AN52" s="3">
        <f>'Rateio Custos Fixos'!U58</f>
        <v>57.5</v>
      </c>
      <c r="AO52" s="3">
        <f t="shared" si="15"/>
        <v>374.18771875</v>
      </c>
      <c r="AP52" s="3">
        <f t="shared" si="16"/>
        <v>10573.6693314583</v>
      </c>
      <c r="AQ52" s="3">
        <v>2641.31661701474</v>
      </c>
      <c r="AR52" s="3">
        <f t="shared" si="17"/>
        <v>10140.1802868333</v>
      </c>
      <c r="AS52" s="3">
        <f t="shared" si="18"/>
        <v>105.736693314583</v>
      </c>
      <c r="AT52" s="3">
        <f t="shared" si="19"/>
        <v>101.401802868333</v>
      </c>
      <c r="AU52" s="3">
        <f t="shared" si="20"/>
        <v>105.736693314583</v>
      </c>
      <c r="AV52" s="3" t="e">
        <f>(AR52*#REF!)/'Est. Cust. Naci.'!H52</f>
        <v>#REF!</v>
      </c>
      <c r="AW52" s="3">
        <f t="shared" si="21"/>
        <v>103.5</v>
      </c>
    </row>
    <row r="53" spans="2:49">
      <c r="B53">
        <f>'LISTA DE COMPRAS'!A52</f>
        <v>48</v>
      </c>
      <c r="C53" s="21">
        <f>'LISTA DE COMPRAS'!C52</f>
        <v>500348789</v>
      </c>
      <c r="G53" s="62" t="str">
        <f>'LISTA DE COMPRAS'!D53</f>
        <v>8708-8000</v>
      </c>
      <c r="H53" s="1">
        <f>'LISTA DE COMPRAS'!J52</f>
        <v>100</v>
      </c>
      <c r="I53" s="63">
        <f>'LISTA DE COMPRAS'!P52</f>
        <v>0.0175438596491228</v>
      </c>
      <c r="J53" s="2">
        <f>'LISTA DE COMPRAS'!K52</f>
        <v>4.4</v>
      </c>
      <c r="K53" s="2">
        <f t="shared" si="5"/>
        <v>440</v>
      </c>
      <c r="L53" s="3">
        <f t="shared" si="6"/>
        <v>2270.4</v>
      </c>
      <c r="M53" s="3">
        <f t="shared" si="7"/>
        <v>1135.2</v>
      </c>
      <c r="N53" s="4">
        <f t="shared" si="8"/>
        <v>0</v>
      </c>
      <c r="O53" s="3">
        <f>'Rateio Custos Fixos'!E59</f>
        <v>164.816666666667</v>
      </c>
      <c r="P53" s="3">
        <f t="shared" si="9"/>
        <v>2435.21666666667</v>
      </c>
      <c r="Q53" s="3">
        <f t="shared" si="10"/>
        <v>2873.55566666667</v>
      </c>
      <c r="R53" s="3">
        <f t="shared" si="23"/>
        <v>438.339</v>
      </c>
      <c r="S53" s="3">
        <f t="shared" si="11"/>
        <v>87.9308034</v>
      </c>
      <c r="T53" s="3">
        <f t="shared" si="24"/>
        <v>89.6549368</v>
      </c>
      <c r="U53" s="3">
        <f t="shared" si="24"/>
        <v>412.9299493</v>
      </c>
      <c r="V53" s="3">
        <f t="shared" si="22"/>
        <v>438.339</v>
      </c>
      <c r="W53" s="3">
        <f t="shared" si="13"/>
        <v>1467.1936895</v>
      </c>
      <c r="X53" s="3">
        <f t="shared" si="14"/>
        <v>5935.46538025</v>
      </c>
      <c r="Y53" s="3">
        <f>'Rateio Custos Fixos'!F59</f>
        <v>1.96625</v>
      </c>
      <c r="Z53" s="3">
        <f>'Rateio Custos Fixos'!G59</f>
        <v>4.49166666666667</v>
      </c>
      <c r="AA53" s="3">
        <f>'Rateio Custos Fixos'!H59</f>
        <v>14.1808333333333</v>
      </c>
      <c r="AB53" s="3">
        <f>'Rateio Custos Fixos'!I59</f>
        <v>0.44</v>
      </c>
      <c r="AC53" s="3">
        <f>'Rateio Custos Fixos'!J59</f>
        <v>1.11833333333333</v>
      </c>
      <c r="AD53" s="3">
        <f>'Rateio Custos Fixos'!K59</f>
        <v>9.83528333333333</v>
      </c>
      <c r="AE53" s="3">
        <f>'Rateio Custos Fixos'!L59</f>
        <v>7.10325</v>
      </c>
      <c r="AF53" s="3">
        <f>'Rateio Custos Fixos'!M59</f>
        <v>0.273166666666667</v>
      </c>
      <c r="AG53" s="3">
        <f>'Rateio Custos Fixos'!N59</f>
        <v>13.1853333333333</v>
      </c>
      <c r="AH53" s="3">
        <f>'Rateio Custos Fixos'!O59</f>
        <v>0</v>
      </c>
      <c r="AI53" s="3">
        <f>'Rateio Custos Fixos'!P59</f>
        <v>6.93870833333333</v>
      </c>
      <c r="AJ53" s="3">
        <f>'Rateio Custos Fixos'!Q59</f>
        <v>2.93635833333333</v>
      </c>
      <c r="AK53" s="3">
        <f>'Rateio Custos Fixos'!R59</f>
        <v>1.076625</v>
      </c>
      <c r="AL53" s="3">
        <f>'Rateio Custos Fixos'!S59</f>
        <v>2.62166666666667</v>
      </c>
      <c r="AM53" s="3">
        <f>'Rateio Custos Fixos'!T59</f>
        <v>55</v>
      </c>
      <c r="AN53" s="3">
        <f>'Rateio Custos Fixos'!U59</f>
        <v>22</v>
      </c>
      <c r="AO53" s="3">
        <f t="shared" si="15"/>
        <v>143.167475</v>
      </c>
      <c r="AP53" s="3">
        <f t="shared" si="16"/>
        <v>4045.57783116667</v>
      </c>
      <c r="AQ53" s="3">
        <v>2642.31661701474</v>
      </c>
      <c r="AR53" s="3">
        <f t="shared" si="17"/>
        <v>8513.84952191667</v>
      </c>
      <c r="AS53" s="3">
        <f t="shared" si="18"/>
        <v>40.4557783116667</v>
      </c>
      <c r="AT53" s="3">
        <f t="shared" si="19"/>
        <v>85.1384952191667</v>
      </c>
      <c r="AU53" s="3">
        <f t="shared" si="20"/>
        <v>40.4557783116667</v>
      </c>
      <c r="AV53" s="3" t="e">
        <f>(AR53*#REF!)/'Est. Cust. Naci.'!H53</f>
        <v>#REF!</v>
      </c>
      <c r="AW53" s="3">
        <f t="shared" si="21"/>
        <v>39.6</v>
      </c>
    </row>
    <row r="54" spans="2:49">
      <c r="B54">
        <f>'LISTA DE COMPRAS'!A53</f>
        <v>49</v>
      </c>
      <c r="C54" s="21">
        <f>'LISTA DE COMPRAS'!C53</f>
        <v>410228762</v>
      </c>
      <c r="G54" s="62" t="str">
        <f>'LISTA DE COMPRAS'!D54</f>
        <v>8708-8000</v>
      </c>
      <c r="H54" s="1">
        <f>'LISTA DE COMPRAS'!J53</f>
        <v>0</v>
      </c>
      <c r="I54" s="63">
        <f>'LISTA DE COMPRAS'!P53</f>
        <v>0</v>
      </c>
      <c r="J54" s="2">
        <f>'LISTA DE COMPRAS'!K53</f>
        <v>0</v>
      </c>
      <c r="K54" s="2">
        <f t="shared" si="5"/>
        <v>0</v>
      </c>
      <c r="L54" s="3">
        <f t="shared" si="6"/>
        <v>0</v>
      </c>
      <c r="M54" s="3">
        <f t="shared" si="7"/>
        <v>0</v>
      </c>
      <c r="N54" s="4">
        <f t="shared" si="8"/>
        <v>0</v>
      </c>
      <c r="O54" s="3">
        <f>'Rateio Custos Fixos'!E60</f>
        <v>0</v>
      </c>
      <c r="P54" s="3">
        <f t="shared" si="9"/>
        <v>0</v>
      </c>
      <c r="Q54" s="3">
        <f t="shared" si="10"/>
        <v>0</v>
      </c>
      <c r="R54" s="3">
        <f t="shared" si="23"/>
        <v>0</v>
      </c>
      <c r="S54" s="3">
        <f t="shared" si="11"/>
        <v>0</v>
      </c>
      <c r="T54" s="3">
        <f t="shared" si="24"/>
        <v>0</v>
      </c>
      <c r="U54" s="3">
        <f t="shared" si="24"/>
        <v>0</v>
      </c>
      <c r="V54" s="3">
        <f t="shared" si="22"/>
        <v>0</v>
      </c>
      <c r="W54" s="3">
        <f t="shared" si="13"/>
        <v>0</v>
      </c>
      <c r="X54" s="3" t="e">
        <f>SUM(#REF!)</f>
        <v>#REF!</v>
      </c>
      <c r="Y54" s="3">
        <f>'Rateio Custos Fixos'!F60</f>
        <v>0</v>
      </c>
      <c r="Z54" s="3">
        <f>'Rateio Custos Fixos'!G60</f>
        <v>0</v>
      </c>
      <c r="AA54" s="3">
        <f>'Rateio Custos Fixos'!H60</f>
        <v>0</v>
      </c>
      <c r="AB54" s="3">
        <f>'Rateio Custos Fixos'!I60</f>
        <v>0</v>
      </c>
      <c r="AC54" s="3">
        <f>'Rateio Custos Fixos'!J60</f>
        <v>0</v>
      </c>
      <c r="AD54" s="3">
        <f>'Rateio Custos Fixos'!K60</f>
        <v>0</v>
      </c>
      <c r="AE54" s="3">
        <f>'Rateio Custos Fixos'!L60</f>
        <v>0</v>
      </c>
      <c r="AF54" s="3">
        <f>'Rateio Custos Fixos'!M60</f>
        <v>0</v>
      </c>
      <c r="AG54" s="3">
        <f>'Rateio Custos Fixos'!N60</f>
        <v>0</v>
      </c>
      <c r="AH54" s="3">
        <f>'Rateio Custos Fixos'!O60</f>
        <v>0</v>
      </c>
      <c r="AI54" s="3">
        <f>'Rateio Custos Fixos'!P60</f>
        <v>0</v>
      </c>
      <c r="AJ54" s="3">
        <f>'Rateio Custos Fixos'!Q60</f>
        <v>0</v>
      </c>
      <c r="AK54" s="3">
        <f>'Rateio Custos Fixos'!R60</f>
        <v>0</v>
      </c>
      <c r="AL54" s="3">
        <f>'Rateio Custos Fixos'!S60</f>
        <v>0</v>
      </c>
      <c r="AM54" s="3">
        <f>'Rateio Custos Fixos'!T60</f>
        <v>0</v>
      </c>
      <c r="AN54" s="3">
        <f>'Rateio Custos Fixos'!U60</f>
        <v>0</v>
      </c>
      <c r="AO54" s="3">
        <f t="shared" si="15"/>
        <v>0</v>
      </c>
      <c r="AP54" s="3">
        <f t="shared" si="16"/>
        <v>0</v>
      </c>
      <c r="AQ54" s="3">
        <v>2643.31661701474</v>
      </c>
      <c r="AR54" s="3" t="e">
        <f t="shared" si="17"/>
        <v>#REF!</v>
      </c>
      <c r="AS54" s="3" t="e">
        <f t="shared" si="18"/>
        <v>#DIV/0!</v>
      </c>
      <c r="AT54" s="3" t="e">
        <f t="shared" si="19"/>
        <v>#REF!</v>
      </c>
      <c r="AU54" s="3" t="e">
        <f t="shared" si="20"/>
        <v>#DIV/0!</v>
      </c>
      <c r="AV54" s="3" t="e">
        <f>(AR54*#REF!)/'Est. Cust. Naci.'!H54</f>
        <v>#REF!</v>
      </c>
      <c r="AW54" s="3">
        <f t="shared" si="21"/>
        <v>0</v>
      </c>
    </row>
    <row r="55" spans="2:49">
      <c r="B55">
        <f>'LISTA DE COMPRAS'!A54</f>
        <v>50</v>
      </c>
      <c r="C55" s="21">
        <f>'LISTA DE COMPRAS'!C54</f>
        <v>41005911</v>
      </c>
      <c r="G55" s="62" t="str">
        <f>'LISTA DE COMPRAS'!D55</f>
        <v>8708-8000</v>
      </c>
      <c r="H55" s="1">
        <f>'LISTA DE COMPRAS'!J54</f>
        <v>100</v>
      </c>
      <c r="I55" s="63">
        <f>'LISTA DE COMPRAS'!P54</f>
        <v>0.0175438596491228</v>
      </c>
      <c r="J55" s="2">
        <f>'LISTA DE COMPRAS'!K54</f>
        <v>6.2</v>
      </c>
      <c r="K55" s="2">
        <f t="shared" si="5"/>
        <v>620</v>
      </c>
      <c r="L55" s="3">
        <f t="shared" si="6"/>
        <v>3199.2</v>
      </c>
      <c r="M55" s="3">
        <f t="shared" si="7"/>
        <v>1599.6</v>
      </c>
      <c r="N55" s="4">
        <f t="shared" si="8"/>
        <v>0</v>
      </c>
      <c r="O55" s="3">
        <f>'Rateio Custos Fixos'!E61</f>
        <v>232.241666666667</v>
      </c>
      <c r="P55" s="3">
        <f t="shared" si="9"/>
        <v>3431.44166666667</v>
      </c>
      <c r="Q55" s="3">
        <f t="shared" si="10"/>
        <v>4049.10116666667</v>
      </c>
      <c r="R55" s="3">
        <f t="shared" si="23"/>
        <v>617.6595</v>
      </c>
      <c r="S55" s="3">
        <f t="shared" si="11"/>
        <v>123.9024957</v>
      </c>
      <c r="T55" s="3">
        <f t="shared" si="24"/>
        <v>126.3319564</v>
      </c>
      <c r="U55" s="3">
        <f t="shared" si="24"/>
        <v>581.85583765</v>
      </c>
      <c r="V55" s="3">
        <f t="shared" si="22"/>
        <v>617.6595</v>
      </c>
      <c r="W55" s="3">
        <f t="shared" si="13"/>
        <v>2067.40928975</v>
      </c>
      <c r="X55" s="3" t="e">
        <f>SUM(#REF!)</f>
        <v>#REF!</v>
      </c>
      <c r="Y55" s="3">
        <f>'Rateio Custos Fixos'!F61</f>
        <v>2.770625</v>
      </c>
      <c r="Z55" s="3">
        <f>'Rateio Custos Fixos'!G61</f>
        <v>6.32916666666667</v>
      </c>
      <c r="AA55" s="3">
        <f>'Rateio Custos Fixos'!H61</f>
        <v>19.9820833333333</v>
      </c>
      <c r="AB55" s="3">
        <f>'Rateio Custos Fixos'!I61</f>
        <v>0.62</v>
      </c>
      <c r="AC55" s="3">
        <f>'Rateio Custos Fixos'!J61</f>
        <v>1.57583333333333</v>
      </c>
      <c r="AD55" s="3">
        <f>'Rateio Custos Fixos'!K61</f>
        <v>13.8588083333333</v>
      </c>
      <c r="AE55" s="3">
        <f>'Rateio Custos Fixos'!L61</f>
        <v>10.009125</v>
      </c>
      <c r="AF55" s="3">
        <f>'Rateio Custos Fixos'!M61</f>
        <v>0.384916666666667</v>
      </c>
      <c r="AG55" s="3">
        <f>'Rateio Custos Fixos'!N61</f>
        <v>18.5793333333333</v>
      </c>
      <c r="AH55" s="3">
        <f>'Rateio Custos Fixos'!O61</f>
        <v>0</v>
      </c>
      <c r="AI55" s="3">
        <f>'Rateio Custos Fixos'!P61</f>
        <v>9.77727083333333</v>
      </c>
      <c r="AJ55" s="3">
        <f>'Rateio Custos Fixos'!Q61</f>
        <v>4.13759583333333</v>
      </c>
      <c r="AK55" s="3">
        <f>'Rateio Custos Fixos'!R61</f>
        <v>1.5170625</v>
      </c>
      <c r="AL55" s="3">
        <f>'Rateio Custos Fixos'!S61</f>
        <v>3.69416666666667</v>
      </c>
      <c r="AM55" s="3">
        <f>'Rateio Custos Fixos'!T61</f>
        <v>77.5</v>
      </c>
      <c r="AN55" s="3">
        <f>'Rateio Custos Fixos'!U61</f>
        <v>31</v>
      </c>
      <c r="AO55" s="3">
        <f t="shared" si="15"/>
        <v>201.7359875</v>
      </c>
      <c r="AP55" s="3">
        <f t="shared" si="16"/>
        <v>5700.58694391667</v>
      </c>
      <c r="AQ55" s="3">
        <v>2644.31661701474</v>
      </c>
      <c r="AR55" s="3" t="e">
        <f t="shared" si="17"/>
        <v>#REF!</v>
      </c>
      <c r="AS55" s="3">
        <f t="shared" si="18"/>
        <v>57.0058694391667</v>
      </c>
      <c r="AT55" s="3" t="e">
        <f t="shared" si="19"/>
        <v>#REF!</v>
      </c>
      <c r="AU55" s="3">
        <f t="shared" si="20"/>
        <v>57.0058694391667</v>
      </c>
      <c r="AV55" s="3" t="e">
        <f>(AR55*#REF!)/'Est. Cust. Naci.'!H55</f>
        <v>#REF!</v>
      </c>
      <c r="AW55" s="3">
        <f t="shared" si="21"/>
        <v>55.8</v>
      </c>
    </row>
    <row r="56" spans="2:49">
      <c r="B56">
        <f>'LISTA DE COMPRAS'!A55</f>
        <v>51</v>
      </c>
      <c r="C56" s="21">
        <f>'LISTA DE COMPRAS'!C55</f>
        <v>97383885</v>
      </c>
      <c r="G56" s="62" t="str">
        <f>'LISTA DE COMPRAS'!D56</f>
        <v>8708-8000</v>
      </c>
      <c r="H56" s="1">
        <f>'LISTA DE COMPRAS'!J55</f>
        <v>100</v>
      </c>
      <c r="I56" s="63">
        <f>'LISTA DE COMPRAS'!P55</f>
        <v>0.0175438596491228</v>
      </c>
      <c r="J56" s="2">
        <f>'LISTA DE COMPRAS'!K55</f>
        <v>17.8</v>
      </c>
      <c r="K56" s="2">
        <f t="shared" si="5"/>
        <v>1780</v>
      </c>
      <c r="L56" s="3">
        <f t="shared" si="6"/>
        <v>9184.8</v>
      </c>
      <c r="M56" s="3">
        <f t="shared" si="7"/>
        <v>4592.4</v>
      </c>
      <c r="N56" s="4">
        <f t="shared" si="8"/>
        <v>0</v>
      </c>
      <c r="O56" s="3">
        <f>'Rateio Custos Fixos'!E62</f>
        <v>666.758333333333</v>
      </c>
      <c r="P56" s="3">
        <f t="shared" si="9"/>
        <v>9851.55833333333</v>
      </c>
      <c r="Q56" s="3">
        <f t="shared" si="10"/>
        <v>11624.8388333333</v>
      </c>
      <c r="R56" s="3">
        <f t="shared" si="23"/>
        <v>1773.2805</v>
      </c>
      <c r="S56" s="3">
        <f t="shared" si="11"/>
        <v>355.7200683</v>
      </c>
      <c r="T56" s="3">
        <f t="shared" si="24"/>
        <v>362.6949716</v>
      </c>
      <c r="U56" s="3">
        <f t="shared" si="24"/>
        <v>1670.48934035</v>
      </c>
      <c r="V56" s="3">
        <f t="shared" si="22"/>
        <v>1773.2805</v>
      </c>
      <c r="W56" s="3">
        <f t="shared" si="13"/>
        <v>5935.46538025</v>
      </c>
      <c r="X56" s="3">
        <f>SUM(R59:V59)</f>
        <v>0</v>
      </c>
      <c r="Y56" s="3">
        <f>'Rateio Custos Fixos'!F62</f>
        <v>7.954375</v>
      </c>
      <c r="Z56" s="3">
        <f>'Rateio Custos Fixos'!G62</f>
        <v>18.1708333333333</v>
      </c>
      <c r="AA56" s="3">
        <f>'Rateio Custos Fixos'!H62</f>
        <v>57.3679166666667</v>
      </c>
      <c r="AB56" s="3">
        <f>'Rateio Custos Fixos'!I62</f>
        <v>1.78</v>
      </c>
      <c r="AC56" s="3">
        <f>'Rateio Custos Fixos'!J62</f>
        <v>4.52416666666667</v>
      </c>
      <c r="AD56" s="3">
        <f>'Rateio Custos Fixos'!K62</f>
        <v>39.7881916666667</v>
      </c>
      <c r="AE56" s="3">
        <f>'Rateio Custos Fixos'!L62</f>
        <v>28.735875</v>
      </c>
      <c r="AF56" s="3">
        <f>'Rateio Custos Fixos'!M62</f>
        <v>1.10508333333333</v>
      </c>
      <c r="AG56" s="3">
        <f>'Rateio Custos Fixos'!N62</f>
        <v>53.3406666666667</v>
      </c>
      <c r="AH56" s="3">
        <f>'Rateio Custos Fixos'!O62</f>
        <v>0</v>
      </c>
      <c r="AI56" s="3">
        <f>'Rateio Custos Fixos'!P62</f>
        <v>28.0702291666667</v>
      </c>
      <c r="AJ56" s="3">
        <f>'Rateio Custos Fixos'!Q62</f>
        <v>11.8789041666667</v>
      </c>
      <c r="AK56" s="3">
        <f>'Rateio Custos Fixos'!R62</f>
        <v>4.3554375</v>
      </c>
      <c r="AL56" s="3">
        <f>'Rateio Custos Fixos'!S62</f>
        <v>10.6058333333333</v>
      </c>
      <c r="AM56" s="3">
        <f>'Rateio Custos Fixos'!T62</f>
        <v>222.5</v>
      </c>
      <c r="AN56" s="3">
        <f>'Rateio Custos Fixos'!U62</f>
        <v>89</v>
      </c>
      <c r="AO56" s="3">
        <f t="shared" si="15"/>
        <v>579.1775125</v>
      </c>
      <c r="AP56" s="3">
        <f t="shared" si="16"/>
        <v>16366.2012260833</v>
      </c>
      <c r="AQ56" s="3">
        <v>2645.31661701474</v>
      </c>
      <c r="AR56" s="3">
        <f t="shared" si="17"/>
        <v>10430.7358458333</v>
      </c>
      <c r="AS56" s="3">
        <f t="shared" si="18"/>
        <v>163.662012260833</v>
      </c>
      <c r="AT56" s="3">
        <f t="shared" si="19"/>
        <v>104.307358458333</v>
      </c>
      <c r="AU56" s="3">
        <f t="shared" si="20"/>
        <v>163.662012260833</v>
      </c>
      <c r="AV56" s="3" t="e">
        <f>(AR56*#REF!)/'Est. Cust. Naci.'!H56</f>
        <v>#REF!</v>
      </c>
      <c r="AW56" s="3">
        <f t="shared" si="21"/>
        <v>160.2</v>
      </c>
    </row>
    <row r="57" spans="2:49">
      <c r="B57">
        <f>'LISTA DE COMPRAS'!A56</f>
        <v>52</v>
      </c>
      <c r="C57" s="21">
        <f>'LISTA DE COMPRAS'!C56</f>
        <v>500387621</v>
      </c>
      <c r="G57" s="62" t="str">
        <f>'LISTA DE COMPRAS'!D57</f>
        <v>8708-8000</v>
      </c>
      <c r="H57" s="1">
        <f>'LISTA DE COMPRAS'!J56</f>
        <v>100</v>
      </c>
      <c r="I57" s="63">
        <f>'LISTA DE COMPRAS'!P56</f>
        <v>0.0175438596491228</v>
      </c>
      <c r="J57" s="2">
        <f>'LISTA DE COMPRAS'!K56</f>
        <v>10.2</v>
      </c>
      <c r="K57" s="2">
        <f t="shared" si="5"/>
        <v>1020</v>
      </c>
      <c r="L57" s="3">
        <f t="shared" si="6"/>
        <v>5263.2</v>
      </c>
      <c r="M57" s="3">
        <f t="shared" si="7"/>
        <v>2631.6</v>
      </c>
      <c r="N57" s="4">
        <f t="shared" si="8"/>
        <v>0</v>
      </c>
      <c r="O57" s="3">
        <f>'Rateio Custos Fixos'!E63</f>
        <v>382.075</v>
      </c>
      <c r="P57" s="3">
        <f t="shared" si="9"/>
        <v>5645.275</v>
      </c>
      <c r="Q57" s="3">
        <f t="shared" si="10"/>
        <v>6661.4245</v>
      </c>
      <c r="R57" s="3">
        <f t="shared" si="23"/>
        <v>1016.1495</v>
      </c>
      <c r="S57" s="3">
        <f t="shared" si="11"/>
        <v>203.8395897</v>
      </c>
      <c r="T57" s="3">
        <f t="shared" si="24"/>
        <v>207.8364444</v>
      </c>
      <c r="U57" s="3">
        <f t="shared" si="24"/>
        <v>957.24670065</v>
      </c>
      <c r="V57" s="3">
        <f t="shared" si="22"/>
        <v>1016.1495</v>
      </c>
      <c r="W57" s="3">
        <f t="shared" si="13"/>
        <v>3401.22173475</v>
      </c>
      <c r="X57" s="3">
        <f>SUM(R60:V60)</f>
        <v>0</v>
      </c>
      <c r="Y57" s="3">
        <f>'Rateio Custos Fixos'!F63</f>
        <v>4.558125</v>
      </c>
      <c r="Z57" s="3">
        <f>'Rateio Custos Fixos'!G63</f>
        <v>10.4125</v>
      </c>
      <c r="AA57" s="3">
        <f>'Rateio Custos Fixos'!H63</f>
        <v>32.87375</v>
      </c>
      <c r="AB57" s="3">
        <f>'Rateio Custos Fixos'!I63</f>
        <v>1.02</v>
      </c>
      <c r="AC57" s="3">
        <f>'Rateio Custos Fixos'!J63</f>
        <v>2.5925</v>
      </c>
      <c r="AD57" s="3">
        <f>'Rateio Custos Fixos'!K63</f>
        <v>22.799975</v>
      </c>
      <c r="AE57" s="3">
        <f>'Rateio Custos Fixos'!L63</f>
        <v>16.466625</v>
      </c>
      <c r="AF57" s="3">
        <f>'Rateio Custos Fixos'!M63</f>
        <v>0.63325</v>
      </c>
      <c r="AG57" s="3">
        <f>'Rateio Custos Fixos'!N63</f>
        <v>30.566</v>
      </c>
      <c r="AH57" s="3">
        <f>'Rateio Custos Fixos'!O63</f>
        <v>0</v>
      </c>
      <c r="AI57" s="3">
        <f>'Rateio Custos Fixos'!P63</f>
        <v>16.0851875</v>
      </c>
      <c r="AJ57" s="3">
        <f>'Rateio Custos Fixos'!Q63</f>
        <v>6.8070125</v>
      </c>
      <c r="AK57" s="3">
        <f>'Rateio Custos Fixos'!R63</f>
        <v>2.4958125</v>
      </c>
      <c r="AL57" s="3">
        <f>'Rateio Custos Fixos'!S63</f>
        <v>6.0775</v>
      </c>
      <c r="AM57" s="3">
        <f>'Rateio Custos Fixos'!T63</f>
        <v>127.5</v>
      </c>
      <c r="AN57" s="3">
        <f>'Rateio Custos Fixos'!U63</f>
        <v>51</v>
      </c>
      <c r="AO57" s="3">
        <f t="shared" si="15"/>
        <v>331.8882375</v>
      </c>
      <c r="AP57" s="3">
        <f t="shared" si="16"/>
        <v>9378.38497225</v>
      </c>
      <c r="AQ57" s="3">
        <v>2646.31661701474</v>
      </c>
      <c r="AR57" s="3">
        <f t="shared" si="17"/>
        <v>5977.1632375</v>
      </c>
      <c r="AS57" s="3">
        <f t="shared" si="18"/>
        <v>93.7838497225</v>
      </c>
      <c r="AT57" s="3">
        <f t="shared" si="19"/>
        <v>59.771632375</v>
      </c>
      <c r="AU57" s="3">
        <f t="shared" si="20"/>
        <v>93.7838497225</v>
      </c>
      <c r="AV57" s="3" t="e">
        <f>(AR57*#REF!)/'Est. Cust. Naci.'!H57</f>
        <v>#REF!</v>
      </c>
      <c r="AW57" s="3">
        <f t="shared" si="21"/>
        <v>91.8</v>
      </c>
    </row>
    <row r="58" spans="2:49">
      <c r="B58">
        <f>'LISTA DE COMPRAS'!A57</f>
        <v>53</v>
      </c>
      <c r="C58" s="21">
        <f>'LISTA DE COMPRAS'!C57</f>
        <v>504060241</v>
      </c>
      <c r="G58" s="62" t="e">
        <f>'LISTA DE COMPRAS'!#REF!</f>
        <v>#REF!</v>
      </c>
      <c r="H58" s="1">
        <f>'LISTA DE COMPRAS'!J57</f>
        <v>100</v>
      </c>
      <c r="I58" s="63">
        <f>'LISTA DE COMPRAS'!P57</f>
        <v>0.0175438596491228</v>
      </c>
      <c r="J58" s="2">
        <f>'LISTA DE COMPRAS'!K57</f>
        <v>17.8</v>
      </c>
      <c r="K58" s="2">
        <f t="shared" si="5"/>
        <v>1780</v>
      </c>
      <c r="L58" s="3">
        <f t="shared" si="6"/>
        <v>9184.8</v>
      </c>
      <c r="M58" s="3">
        <f t="shared" si="7"/>
        <v>4592.4</v>
      </c>
      <c r="N58" s="4">
        <f t="shared" si="8"/>
        <v>0</v>
      </c>
      <c r="O58" s="3">
        <f>'Rateio Custos Fixos'!E64</f>
        <v>666.758333333333</v>
      </c>
      <c r="P58" s="3">
        <f t="shared" si="9"/>
        <v>9851.55833333333</v>
      </c>
      <c r="Q58" s="3">
        <f t="shared" si="10"/>
        <v>11624.8388333333</v>
      </c>
      <c r="R58" s="3">
        <f t="shared" si="23"/>
        <v>1773.2805</v>
      </c>
      <c r="S58" s="3">
        <f t="shared" si="11"/>
        <v>355.7200683</v>
      </c>
      <c r="T58" s="3">
        <f t="shared" si="24"/>
        <v>362.6949716</v>
      </c>
      <c r="U58" s="3">
        <f t="shared" si="24"/>
        <v>1670.48934035</v>
      </c>
      <c r="V58" s="3">
        <f t="shared" si="22"/>
        <v>1773.2805</v>
      </c>
      <c r="W58" s="3">
        <f t="shared" si="13"/>
        <v>5935.46538025</v>
      </c>
      <c r="X58" s="3">
        <f>SUM(R61:V61)</f>
        <v>0</v>
      </c>
      <c r="Y58" s="3">
        <f>'Rateio Custos Fixos'!F64</f>
        <v>7.954375</v>
      </c>
      <c r="Z58" s="3">
        <f>'Rateio Custos Fixos'!G64</f>
        <v>18.1708333333333</v>
      </c>
      <c r="AA58" s="3">
        <f>'Rateio Custos Fixos'!H64</f>
        <v>57.3679166666667</v>
      </c>
      <c r="AB58" s="3">
        <f>'Rateio Custos Fixos'!I64</f>
        <v>1.78</v>
      </c>
      <c r="AC58" s="3">
        <f>'Rateio Custos Fixos'!J64</f>
        <v>4.52416666666667</v>
      </c>
      <c r="AD58" s="3">
        <f>'Rateio Custos Fixos'!K64</f>
        <v>39.7881916666667</v>
      </c>
      <c r="AE58" s="3">
        <f>'Rateio Custos Fixos'!L64</f>
        <v>28.735875</v>
      </c>
      <c r="AF58" s="3">
        <f>'Rateio Custos Fixos'!M64</f>
        <v>1.10508333333333</v>
      </c>
      <c r="AG58" s="3">
        <f>'Rateio Custos Fixos'!N64</f>
        <v>53.3406666666667</v>
      </c>
      <c r="AH58" s="3">
        <f>'Rateio Custos Fixos'!O64</f>
        <v>0</v>
      </c>
      <c r="AI58" s="3">
        <f>'Rateio Custos Fixos'!P64</f>
        <v>28.0702291666667</v>
      </c>
      <c r="AJ58" s="3">
        <f>'Rateio Custos Fixos'!Q64</f>
        <v>11.8789041666667</v>
      </c>
      <c r="AK58" s="3">
        <f>'Rateio Custos Fixos'!R64</f>
        <v>4.3554375</v>
      </c>
      <c r="AL58" s="3">
        <f>'Rateio Custos Fixos'!S64</f>
        <v>10.6058333333333</v>
      </c>
      <c r="AM58" s="3">
        <f>'Rateio Custos Fixos'!T64</f>
        <v>222.5</v>
      </c>
      <c r="AN58" s="3">
        <f>'Rateio Custos Fixos'!U64</f>
        <v>89</v>
      </c>
      <c r="AO58" s="3">
        <f t="shared" si="15"/>
        <v>579.1775125</v>
      </c>
      <c r="AP58" s="3">
        <f t="shared" si="16"/>
        <v>16366.2012260833</v>
      </c>
      <c r="AQ58" s="3">
        <v>2647.31661701474</v>
      </c>
      <c r="AR58" s="3">
        <f t="shared" si="17"/>
        <v>10430.7358458333</v>
      </c>
      <c r="AS58" s="3">
        <f t="shared" si="18"/>
        <v>163.662012260833</v>
      </c>
      <c r="AT58" s="3">
        <f t="shared" si="19"/>
        <v>104.307358458333</v>
      </c>
      <c r="AU58" s="3">
        <f t="shared" si="20"/>
        <v>163.662012260833</v>
      </c>
      <c r="AV58" s="3" t="e">
        <f>(AR58*#REF!)/'Est. Cust. Naci.'!H58</f>
        <v>#REF!</v>
      </c>
      <c r="AW58" s="3">
        <f t="shared" si="21"/>
        <v>160.2</v>
      </c>
    </row>
    <row r="59" spans="2:49">
      <c r="B59">
        <f>'LISTA DE COMPRAS'!A58</f>
        <v>0</v>
      </c>
    </row>
    <row r="62" spans="2:49">
      <c r="L62" t="e">
        <v>#VALUE!</v>
      </c>
      <c r="N62" s="3">
        <v>5.16</v>
      </c>
    </row>
  </sheetData>
  <autoFilter xmlns:etc="http://www.wps.cn/officeDocument/2017/etCustomData" ref="A4:AZ59" etc:filterBottomFollowUsedRange="0">
    <extLst/>
  </autoFilter>
  <pageMargins left="0.511811024" right="0.511811024" top="0.787401575" bottom="0.787401575" header="0.31496062" footer="0.31496062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6"/>
  <sheetViews>
    <sheetView zoomScale="110" zoomScaleNormal="110" workbookViewId="0">
      <selection activeCell="H5" sqref="H5"/>
    </sheetView>
  </sheetViews>
  <sheetFormatPr defaultColWidth="9" defaultRowHeight="14.4"/>
  <cols>
    <col min="1" max="1" width="10.5740740740741" customWidth="1"/>
    <col min="2" max="2" width="12.5740740740741" customWidth="1"/>
    <col min="3" max="3" width="14.287037037037" customWidth="1"/>
    <col min="4" max="4" width="9.13888888888889" customWidth="1"/>
    <col min="5" max="5" width="16.287037037037" customWidth="1"/>
    <col min="6" max="10" width="15.712962962963" customWidth="1"/>
    <col min="11" max="11" width="19.712962962963" customWidth="1"/>
    <col min="12" max="21" width="15.712962962963" customWidth="1"/>
    <col min="22" max="22" width="15.4259259259259" customWidth="1"/>
  </cols>
  <sheetData>
    <row r="1" spans="1:22">
      <c r="A1" t="s">
        <v>125</v>
      </c>
      <c r="F1" t="s">
        <v>126</v>
      </c>
      <c r="G1" s="1" t="s">
        <v>22</v>
      </c>
    </row>
    <row r="2" spans="1:22">
      <c r="F2" s="2">
        <v>3000</v>
      </c>
      <c r="G2" s="3">
        <f>F2*B3</f>
        <v>15480</v>
      </c>
    </row>
    <row r="3" spans="1:22">
      <c r="A3" t="e">
        <v>#VALUE!</v>
      </c>
      <c r="B3" s="3">
        <v>5.16</v>
      </c>
      <c r="F3" s="3">
        <v>2500</v>
      </c>
      <c r="G3" s="3">
        <f>F3</f>
        <v>2500</v>
      </c>
    </row>
    <row r="4" spans="1:22">
      <c r="A4" t="e">
        <v>#VALUE!</v>
      </c>
      <c r="B4" s="3" t="e" cm="1">
        <f t="array" ref="B4">_FV(A4,"Preço")</f>
        <v>#NAME?</v>
      </c>
      <c r="F4" t="s">
        <v>58</v>
      </c>
      <c r="G4" s="3">
        <f>SUM(G2:G3)</f>
        <v>17980</v>
      </c>
    </row>
    <row r="5" spans="1:22">
      <c r="G5" s="2">
        <f>G4/B3</f>
        <v>3484.49612403101</v>
      </c>
    </row>
    <row r="8" spans="1:22">
      <c r="U8" s="4" t="e">
        <f>'Rateio Custos Fixos'!#REF!</f>
        <v>#REF!</v>
      </c>
    </row>
    <row r="10" s="1" customFormat="1" ht="43.2" spans="1:22">
      <c r="A10" s="5" t="s">
        <v>64</v>
      </c>
      <c r="B10" s="5" t="s">
        <v>127</v>
      </c>
      <c r="C10" s="5" t="str">
        <f>'[2]Lista de Compra'!Q2</f>
        <v>% Rateio Preço</v>
      </c>
      <c r="E10" s="6" t="s">
        <v>126</v>
      </c>
      <c r="F10" s="6" t="s">
        <v>39</v>
      </c>
      <c r="G10" s="6" t="s">
        <v>40</v>
      </c>
      <c r="H10" s="6" t="s">
        <v>113</v>
      </c>
      <c r="I10" s="6" t="s">
        <v>42</v>
      </c>
      <c r="J10" s="6" t="s">
        <v>43</v>
      </c>
      <c r="K10" s="6" t="s">
        <v>44</v>
      </c>
      <c r="L10" s="6" t="s">
        <v>45</v>
      </c>
      <c r="M10" s="6" t="s">
        <v>46</v>
      </c>
      <c r="N10" s="6" t="s">
        <v>47</v>
      </c>
      <c r="O10" s="6" t="s">
        <v>48</v>
      </c>
      <c r="P10" s="6" t="s">
        <v>50</v>
      </c>
      <c r="Q10" s="6" t="s">
        <v>51</v>
      </c>
      <c r="R10" s="6" t="s">
        <v>52</v>
      </c>
      <c r="S10" s="6" t="s">
        <v>53</v>
      </c>
      <c r="T10" s="6" t="s">
        <v>54</v>
      </c>
      <c r="U10" s="6" t="s">
        <v>55</v>
      </c>
    </row>
    <row r="11" spans="1:22">
      <c r="B11">
        <f>SUM(B12:B64)</f>
        <v>5700</v>
      </c>
      <c r="C11" s="7">
        <f>SUM(C12:C64)</f>
        <v>1</v>
      </c>
      <c r="E11" s="8">
        <f>G4</f>
        <v>17980</v>
      </c>
      <c r="F11" s="8">
        <v>214.5</v>
      </c>
      <c r="G11" s="8">
        <v>490</v>
      </c>
      <c r="H11" s="8">
        <f>1547</f>
        <v>1547</v>
      </c>
      <c r="I11" s="8">
        <v>48</v>
      </c>
      <c r="J11" s="8">
        <v>122</v>
      </c>
      <c r="K11" s="8">
        <f>1072.94</f>
        <v>1072.94</v>
      </c>
      <c r="L11" s="8">
        <f>774.9</f>
        <v>774.9</v>
      </c>
      <c r="M11" s="8">
        <v>29.8</v>
      </c>
      <c r="N11" s="9">
        <v>0.08</v>
      </c>
      <c r="O11" s="8">
        <v>0</v>
      </c>
      <c r="P11" s="8">
        <f>756.95</f>
        <v>756.95</v>
      </c>
      <c r="Q11" s="8">
        <f>320.33</f>
        <v>320.33</v>
      </c>
      <c r="R11" s="8">
        <f>117.45</f>
        <v>117.45</v>
      </c>
      <c r="S11" s="8">
        <v>286</v>
      </c>
      <c r="T11" s="8">
        <f>6000</f>
        <v>6000</v>
      </c>
      <c r="U11" s="8">
        <v>2400</v>
      </c>
      <c r="V11" s="3">
        <f>SUM(E11:U11)</f>
        <v>32159.95</v>
      </c>
    </row>
    <row r="12" spans="1:22">
      <c r="A12" s="1">
        <f>'LISTA DE COMPRAS'!A5</f>
        <v>1</v>
      </c>
      <c r="B12" s="1">
        <f>'LISTA DE COMPRAS'!J5</f>
        <v>100</v>
      </c>
      <c r="C12" s="10">
        <f>'LISTA DE COMPRAS'!Q5</f>
        <v>0.0120833333333333</v>
      </c>
      <c r="E12" s="11">
        <f t="shared" ref="E12:H26" si="0">E$11*$C12</f>
        <v>217.258333333333</v>
      </c>
      <c r="F12" s="11">
        <f t="shared" si="0"/>
        <v>2.591875</v>
      </c>
      <c r="G12" s="11">
        <f t="shared" si="0"/>
        <v>5.92083333333333</v>
      </c>
      <c r="H12" s="11">
        <f t="shared" si="0"/>
        <v>18.6929166666667</v>
      </c>
      <c r="I12" s="11">
        <f t="shared" ref="I12:U26" si="1">I$11*$C12</f>
        <v>0.58</v>
      </c>
      <c r="J12" s="11">
        <f t="shared" si="1"/>
        <v>1.47416666666667</v>
      </c>
      <c r="K12" s="11">
        <f t="shared" si="1"/>
        <v>12.9646916666667</v>
      </c>
      <c r="L12" s="11">
        <f t="shared" si="1"/>
        <v>9.363375</v>
      </c>
      <c r="M12" s="11">
        <f t="shared" si="1"/>
        <v>0.360083333333333</v>
      </c>
      <c r="N12" s="11">
        <f t="shared" ref="N12" si="2">$N$11*E12</f>
        <v>17.3806666666667</v>
      </c>
      <c r="O12" s="11">
        <f t="shared" si="1"/>
        <v>0</v>
      </c>
      <c r="P12" s="11">
        <f t="shared" si="1"/>
        <v>9.14647916666667</v>
      </c>
      <c r="Q12" s="11">
        <f t="shared" si="1"/>
        <v>3.87065416666667</v>
      </c>
      <c r="R12" s="11">
        <f t="shared" si="1"/>
        <v>1.4191875</v>
      </c>
      <c r="S12" s="11">
        <f t="shared" si="1"/>
        <v>3.45583333333333</v>
      </c>
      <c r="T12" s="11">
        <f t="shared" si="1"/>
        <v>72.5</v>
      </c>
      <c r="U12" s="11">
        <f t="shared" si="1"/>
        <v>29</v>
      </c>
      <c r="V12" s="3"/>
    </row>
    <row r="13" spans="1:22">
      <c r="A13" s="1">
        <f>'LISTA DE COMPRAS'!A6</f>
        <v>2</v>
      </c>
      <c r="B13" s="1">
        <f>'LISTA DE COMPRAS'!J6</f>
        <v>300</v>
      </c>
      <c r="C13" s="10">
        <f>'LISTA DE COMPRAS'!Q6</f>
        <v>0.004375</v>
      </c>
      <c r="E13" s="11">
        <f t="shared" si="0"/>
        <v>78.6625</v>
      </c>
      <c r="F13" s="11">
        <f t="shared" si="0"/>
        <v>0.9384375</v>
      </c>
      <c r="G13" s="11">
        <f t="shared" si="0"/>
        <v>2.14375</v>
      </c>
      <c r="H13" s="11">
        <f t="shared" si="0"/>
        <v>6.768125</v>
      </c>
      <c r="I13" s="11">
        <f t="shared" si="1"/>
        <v>0.21</v>
      </c>
      <c r="J13" s="11">
        <f t="shared" si="1"/>
        <v>0.53375</v>
      </c>
      <c r="K13" s="11">
        <f t="shared" si="1"/>
        <v>4.6941125</v>
      </c>
      <c r="L13" s="11">
        <f t="shared" si="1"/>
        <v>3.3901875</v>
      </c>
      <c r="M13" s="11">
        <f t="shared" si="1"/>
        <v>0.130375</v>
      </c>
      <c r="N13" s="11">
        <f t="shared" ref="N13:N62" si="3">$N$11*E13</f>
        <v>6.293</v>
      </c>
      <c r="O13" s="11">
        <f t="shared" si="1"/>
        <v>0</v>
      </c>
      <c r="P13" s="11">
        <f t="shared" si="1"/>
        <v>3.31165625</v>
      </c>
      <c r="Q13" s="11">
        <f t="shared" si="1"/>
        <v>1.40144375</v>
      </c>
      <c r="R13" s="11">
        <f t="shared" si="1"/>
        <v>0.51384375</v>
      </c>
      <c r="S13" s="11">
        <f t="shared" si="1"/>
        <v>1.25125</v>
      </c>
      <c r="T13" s="11">
        <f t="shared" si="1"/>
        <v>26.25</v>
      </c>
      <c r="U13" s="11">
        <f t="shared" si="1"/>
        <v>10.5</v>
      </c>
      <c r="V13" s="3">
        <f>SUM(F13:U13)</f>
        <v>68.32993125</v>
      </c>
    </row>
    <row r="14" spans="1:22">
      <c r="A14" s="1">
        <f>'LISTA DE COMPRAS'!A7</f>
        <v>3</v>
      </c>
      <c r="B14" s="1">
        <f>'LISTA DE COMPRAS'!J7</f>
        <v>300</v>
      </c>
      <c r="C14" s="10">
        <f>'LISTA DE COMPRAS'!Q7</f>
        <v>0.0208333333333333</v>
      </c>
      <c r="E14" s="11">
        <f t="shared" si="0"/>
        <v>374.583333333333</v>
      </c>
      <c r="F14" s="11">
        <f t="shared" si="0"/>
        <v>4.46875</v>
      </c>
      <c r="G14" s="11">
        <f t="shared" si="0"/>
        <v>10.2083333333333</v>
      </c>
      <c r="H14" s="11">
        <f t="shared" si="0"/>
        <v>32.2291666666667</v>
      </c>
      <c r="I14" s="11">
        <f t="shared" si="1"/>
        <v>1</v>
      </c>
      <c r="J14" s="11">
        <f t="shared" si="1"/>
        <v>2.54166666666667</v>
      </c>
      <c r="K14" s="11">
        <f t="shared" si="1"/>
        <v>22.3529166666667</v>
      </c>
      <c r="L14" s="11">
        <f t="shared" si="1"/>
        <v>16.14375</v>
      </c>
      <c r="M14" s="11">
        <f t="shared" si="1"/>
        <v>0.620833333333333</v>
      </c>
      <c r="N14" s="11">
        <f t="shared" si="3"/>
        <v>29.9666666666667</v>
      </c>
      <c r="O14" s="11">
        <f t="shared" si="1"/>
        <v>0</v>
      </c>
      <c r="P14" s="11">
        <f t="shared" si="1"/>
        <v>15.7697916666667</v>
      </c>
      <c r="Q14" s="11">
        <f t="shared" si="1"/>
        <v>6.67354166666667</v>
      </c>
      <c r="R14" s="11">
        <f t="shared" si="1"/>
        <v>2.446875</v>
      </c>
      <c r="S14" s="11">
        <f t="shared" si="1"/>
        <v>5.95833333333333</v>
      </c>
      <c r="T14" s="11">
        <f t="shared" si="1"/>
        <v>125</v>
      </c>
      <c r="U14" s="11">
        <f t="shared" si="1"/>
        <v>50</v>
      </c>
      <c r="V14" s="3">
        <f>SUM(F14:U14)</f>
        <v>325.380625</v>
      </c>
    </row>
    <row r="15" spans="1:22">
      <c r="A15" s="1">
        <f>'LISTA DE COMPRAS'!A8</f>
        <v>4</v>
      </c>
      <c r="B15" s="1">
        <f>'LISTA DE COMPRAS'!J8</f>
        <v>300</v>
      </c>
      <c r="C15" s="10">
        <f>'LISTA DE COMPRAS'!Q8</f>
        <v>0.0208333333333333</v>
      </c>
      <c r="E15" s="11">
        <f t="shared" si="0"/>
        <v>374.583333333333</v>
      </c>
      <c r="F15" s="11">
        <f t="shared" si="0"/>
        <v>4.46875</v>
      </c>
      <c r="G15" s="11">
        <f t="shared" si="0"/>
        <v>10.2083333333333</v>
      </c>
      <c r="H15" s="11">
        <f t="shared" si="0"/>
        <v>32.2291666666667</v>
      </c>
      <c r="I15" s="11">
        <f t="shared" si="1"/>
        <v>1</v>
      </c>
      <c r="J15" s="11">
        <f t="shared" si="1"/>
        <v>2.54166666666667</v>
      </c>
      <c r="K15" s="11">
        <f t="shared" si="1"/>
        <v>22.3529166666667</v>
      </c>
      <c r="L15" s="11">
        <f t="shared" si="1"/>
        <v>16.14375</v>
      </c>
      <c r="M15" s="11">
        <f t="shared" si="1"/>
        <v>0.620833333333333</v>
      </c>
      <c r="N15" s="11">
        <f t="shared" si="3"/>
        <v>29.9666666666667</v>
      </c>
      <c r="O15" s="11">
        <f t="shared" si="1"/>
        <v>0</v>
      </c>
      <c r="P15" s="11">
        <f t="shared" si="1"/>
        <v>15.7697916666667</v>
      </c>
      <c r="Q15" s="11">
        <f t="shared" si="1"/>
        <v>6.67354166666667</v>
      </c>
      <c r="R15" s="11">
        <f t="shared" si="1"/>
        <v>2.446875</v>
      </c>
      <c r="S15" s="11">
        <f t="shared" si="1"/>
        <v>5.95833333333333</v>
      </c>
      <c r="T15" s="11">
        <f t="shared" si="1"/>
        <v>125</v>
      </c>
      <c r="U15" s="11">
        <f t="shared" si="1"/>
        <v>50</v>
      </c>
      <c r="V15" s="3">
        <f>SUM(F15:U15)</f>
        <v>325.380625</v>
      </c>
    </row>
    <row r="16" spans="1:22">
      <c r="A16" s="1">
        <f>'LISTA DE COMPRAS'!A9</f>
        <v>5</v>
      </c>
      <c r="B16" s="1">
        <f>'LISTA DE COMPRAS'!J9</f>
        <v>300</v>
      </c>
      <c r="C16" s="10">
        <f>'LISTA DE COMPRAS'!Q9</f>
        <v>0.0208333333333333</v>
      </c>
      <c r="E16" s="11">
        <f t="shared" si="0"/>
        <v>374.583333333333</v>
      </c>
      <c r="F16" s="11">
        <f t="shared" si="0"/>
        <v>4.46875</v>
      </c>
      <c r="G16" s="11">
        <f t="shared" si="0"/>
        <v>10.2083333333333</v>
      </c>
      <c r="H16" s="11">
        <f t="shared" si="0"/>
        <v>32.2291666666667</v>
      </c>
      <c r="I16" s="11">
        <f t="shared" si="1"/>
        <v>1</v>
      </c>
      <c r="J16" s="11">
        <f t="shared" si="1"/>
        <v>2.54166666666667</v>
      </c>
      <c r="K16" s="11">
        <f t="shared" si="1"/>
        <v>22.3529166666667</v>
      </c>
      <c r="L16" s="11">
        <f t="shared" si="1"/>
        <v>16.14375</v>
      </c>
      <c r="M16" s="11">
        <f t="shared" si="1"/>
        <v>0.620833333333333</v>
      </c>
      <c r="N16" s="11">
        <f t="shared" si="3"/>
        <v>29.9666666666667</v>
      </c>
      <c r="O16" s="11">
        <f t="shared" si="1"/>
        <v>0</v>
      </c>
      <c r="P16" s="11">
        <f t="shared" si="1"/>
        <v>15.7697916666667</v>
      </c>
      <c r="Q16" s="11">
        <f t="shared" si="1"/>
        <v>6.67354166666667</v>
      </c>
      <c r="R16" s="11">
        <f t="shared" si="1"/>
        <v>2.446875</v>
      </c>
      <c r="S16" s="11">
        <f t="shared" si="1"/>
        <v>5.95833333333333</v>
      </c>
      <c r="T16" s="11">
        <f t="shared" si="1"/>
        <v>125</v>
      </c>
      <c r="U16" s="11">
        <f t="shared" si="1"/>
        <v>50</v>
      </c>
    </row>
    <row r="17" spans="1:21">
      <c r="A17" s="1">
        <f>'LISTA DE COMPRAS'!A10</f>
        <v>6</v>
      </c>
      <c r="B17" s="1">
        <f>'LISTA DE COMPRAS'!J10</f>
        <v>100</v>
      </c>
      <c r="C17" s="10">
        <f>'LISTA DE COMPRAS'!Q10</f>
        <v>0.0239583333333333</v>
      </c>
      <c r="E17" s="11">
        <f t="shared" si="0"/>
        <v>430.770833333333</v>
      </c>
      <c r="F17" s="11">
        <f t="shared" si="0"/>
        <v>5.1390625</v>
      </c>
      <c r="G17" s="11">
        <f t="shared" si="0"/>
        <v>11.7395833333333</v>
      </c>
      <c r="H17" s="11">
        <f t="shared" si="0"/>
        <v>37.0635416666667</v>
      </c>
      <c r="I17" s="11">
        <f t="shared" si="1"/>
        <v>1.15</v>
      </c>
      <c r="J17" s="11">
        <f t="shared" si="1"/>
        <v>2.92291666666667</v>
      </c>
      <c r="K17" s="11">
        <f t="shared" si="1"/>
        <v>25.7058541666667</v>
      </c>
      <c r="L17" s="11">
        <f t="shared" si="1"/>
        <v>18.5653125</v>
      </c>
      <c r="M17" s="11">
        <f t="shared" si="1"/>
        <v>0.713958333333333</v>
      </c>
      <c r="N17" s="11">
        <f t="shared" si="3"/>
        <v>34.4616666666667</v>
      </c>
      <c r="O17" s="11">
        <f t="shared" si="1"/>
        <v>0</v>
      </c>
      <c r="P17" s="11">
        <f t="shared" si="1"/>
        <v>18.1352604166667</v>
      </c>
      <c r="Q17" s="11">
        <f t="shared" si="1"/>
        <v>7.67457291666667</v>
      </c>
      <c r="R17" s="11">
        <f t="shared" si="1"/>
        <v>2.81390625</v>
      </c>
      <c r="S17" s="11">
        <f t="shared" si="1"/>
        <v>6.85208333333333</v>
      </c>
      <c r="T17" s="11">
        <f t="shared" si="1"/>
        <v>143.75</v>
      </c>
      <c r="U17" s="11">
        <f t="shared" si="1"/>
        <v>57.5</v>
      </c>
    </row>
    <row r="18" spans="1:21">
      <c r="A18" s="1">
        <f>'LISTA DE COMPRAS'!A11</f>
        <v>7</v>
      </c>
      <c r="B18" s="1">
        <f>'LISTA DE COMPRAS'!J11</f>
        <v>100</v>
      </c>
      <c r="C18" s="10">
        <f>'LISTA DE COMPRAS'!Q11</f>
        <v>0.0239583333333333</v>
      </c>
      <c r="E18" s="11">
        <f t="shared" si="0"/>
        <v>430.770833333333</v>
      </c>
      <c r="F18" s="11">
        <f t="shared" si="0"/>
        <v>5.1390625</v>
      </c>
      <c r="G18" s="11">
        <f t="shared" si="0"/>
        <v>11.7395833333333</v>
      </c>
      <c r="H18" s="11">
        <f t="shared" si="0"/>
        <v>37.0635416666667</v>
      </c>
      <c r="I18" s="11">
        <f t="shared" si="1"/>
        <v>1.15</v>
      </c>
      <c r="J18" s="11">
        <f t="shared" si="1"/>
        <v>2.92291666666667</v>
      </c>
      <c r="K18" s="11">
        <f t="shared" si="1"/>
        <v>25.7058541666667</v>
      </c>
      <c r="L18" s="11">
        <f t="shared" si="1"/>
        <v>18.5653125</v>
      </c>
      <c r="M18" s="11">
        <f t="shared" si="1"/>
        <v>0.713958333333333</v>
      </c>
      <c r="N18" s="11">
        <f t="shared" si="3"/>
        <v>34.4616666666667</v>
      </c>
      <c r="O18" s="11">
        <f t="shared" si="1"/>
        <v>0</v>
      </c>
      <c r="P18" s="11">
        <f t="shared" si="1"/>
        <v>18.1352604166667</v>
      </c>
      <c r="Q18" s="11">
        <f t="shared" si="1"/>
        <v>7.67457291666667</v>
      </c>
      <c r="R18" s="11">
        <f t="shared" si="1"/>
        <v>2.81390625</v>
      </c>
      <c r="S18" s="11">
        <f t="shared" si="1"/>
        <v>6.85208333333333</v>
      </c>
      <c r="T18" s="11">
        <f t="shared" si="1"/>
        <v>143.75</v>
      </c>
      <c r="U18" s="11">
        <f t="shared" si="1"/>
        <v>57.5</v>
      </c>
    </row>
    <row r="19" spans="1:21">
      <c r="A19" s="1">
        <f>'LISTA DE COMPRAS'!A12</f>
        <v>8</v>
      </c>
      <c r="B19" s="1">
        <f>'LISTA DE COMPRAS'!J12</f>
        <v>0</v>
      </c>
      <c r="C19" s="10">
        <f>'LISTA DE COMPRAS'!Q12</f>
        <v>0</v>
      </c>
      <c r="E19" s="11">
        <f t="shared" si="0"/>
        <v>0</v>
      </c>
      <c r="F19" s="11">
        <f t="shared" si="0"/>
        <v>0</v>
      </c>
      <c r="G19" s="11">
        <f t="shared" si="0"/>
        <v>0</v>
      </c>
      <c r="H19" s="11">
        <f t="shared" si="0"/>
        <v>0</v>
      </c>
      <c r="I19" s="11">
        <f t="shared" si="1"/>
        <v>0</v>
      </c>
      <c r="J19" s="11">
        <f t="shared" si="1"/>
        <v>0</v>
      </c>
      <c r="K19" s="11">
        <f t="shared" si="1"/>
        <v>0</v>
      </c>
      <c r="L19" s="11">
        <f t="shared" si="1"/>
        <v>0</v>
      </c>
      <c r="M19" s="11">
        <f t="shared" si="1"/>
        <v>0</v>
      </c>
      <c r="N19" s="11">
        <f t="shared" si="3"/>
        <v>0</v>
      </c>
      <c r="O19" s="11">
        <f t="shared" si="1"/>
        <v>0</v>
      </c>
      <c r="P19" s="11">
        <f t="shared" si="1"/>
        <v>0</v>
      </c>
      <c r="Q19" s="11">
        <f t="shared" si="1"/>
        <v>0</v>
      </c>
      <c r="R19" s="11">
        <f t="shared" si="1"/>
        <v>0</v>
      </c>
      <c r="S19" s="11">
        <f t="shared" si="1"/>
        <v>0</v>
      </c>
      <c r="T19" s="11">
        <f t="shared" si="1"/>
        <v>0</v>
      </c>
      <c r="U19" s="11">
        <f t="shared" si="1"/>
        <v>0</v>
      </c>
    </row>
    <row r="20" spans="1:21">
      <c r="A20" s="1">
        <f>'LISTA DE COMPRAS'!A13</f>
        <v>9</v>
      </c>
      <c r="B20" s="1">
        <f>'LISTA DE COMPRAS'!J13</f>
        <v>100</v>
      </c>
      <c r="C20" s="10">
        <f>'LISTA DE COMPRAS'!Q13</f>
        <v>0.0225</v>
      </c>
      <c r="E20" s="11">
        <f t="shared" si="0"/>
        <v>404.55</v>
      </c>
      <c r="F20" s="11">
        <f t="shared" si="0"/>
        <v>4.82625</v>
      </c>
      <c r="G20" s="11">
        <f t="shared" si="0"/>
        <v>11.025</v>
      </c>
      <c r="H20" s="11">
        <f t="shared" si="0"/>
        <v>34.8075</v>
      </c>
      <c r="I20" s="11">
        <f t="shared" si="1"/>
        <v>1.08</v>
      </c>
      <c r="J20" s="11">
        <f t="shared" si="1"/>
        <v>2.745</v>
      </c>
      <c r="K20" s="11">
        <f t="shared" si="1"/>
        <v>24.14115</v>
      </c>
      <c r="L20" s="11">
        <f t="shared" si="1"/>
        <v>17.43525</v>
      </c>
      <c r="M20" s="11">
        <f t="shared" si="1"/>
        <v>0.6705</v>
      </c>
      <c r="N20" s="11">
        <f t="shared" si="3"/>
        <v>32.364</v>
      </c>
      <c r="O20" s="11">
        <f t="shared" si="1"/>
        <v>0</v>
      </c>
      <c r="P20" s="11">
        <f t="shared" si="1"/>
        <v>17.031375</v>
      </c>
      <c r="Q20" s="11">
        <f t="shared" si="1"/>
        <v>7.207425</v>
      </c>
      <c r="R20" s="11">
        <f t="shared" si="1"/>
        <v>2.642625</v>
      </c>
      <c r="S20" s="11">
        <f t="shared" si="1"/>
        <v>6.435</v>
      </c>
      <c r="T20" s="11">
        <f t="shared" si="1"/>
        <v>135</v>
      </c>
      <c r="U20" s="11">
        <f t="shared" si="1"/>
        <v>54</v>
      </c>
    </row>
    <row r="21" spans="1:21">
      <c r="A21" s="1">
        <f>'LISTA DE COMPRAS'!A14</f>
        <v>10</v>
      </c>
      <c r="B21" s="1">
        <f>'LISTA DE COMPRAS'!J14</f>
        <v>100</v>
      </c>
      <c r="C21" s="10">
        <f>'LISTA DE COMPRAS'!Q14</f>
        <v>0.0225</v>
      </c>
      <c r="E21" s="11">
        <f t="shared" si="0"/>
        <v>404.55</v>
      </c>
      <c r="F21" s="11">
        <f t="shared" si="0"/>
        <v>4.82625</v>
      </c>
      <c r="G21" s="11">
        <f t="shared" si="0"/>
        <v>11.025</v>
      </c>
      <c r="H21" s="11">
        <f t="shared" si="0"/>
        <v>34.8075</v>
      </c>
      <c r="I21" s="11">
        <f t="shared" si="1"/>
        <v>1.08</v>
      </c>
      <c r="J21" s="11">
        <f t="shared" si="1"/>
        <v>2.745</v>
      </c>
      <c r="K21" s="11">
        <f t="shared" si="1"/>
        <v>24.14115</v>
      </c>
      <c r="L21" s="11">
        <f t="shared" si="1"/>
        <v>17.43525</v>
      </c>
      <c r="M21" s="11">
        <f t="shared" si="1"/>
        <v>0.6705</v>
      </c>
      <c r="N21" s="11">
        <f t="shared" si="3"/>
        <v>32.364</v>
      </c>
      <c r="O21" s="11">
        <f t="shared" si="1"/>
        <v>0</v>
      </c>
      <c r="P21" s="11">
        <f t="shared" si="1"/>
        <v>17.031375</v>
      </c>
      <c r="Q21" s="11">
        <f t="shared" si="1"/>
        <v>7.207425</v>
      </c>
      <c r="R21" s="11">
        <f t="shared" si="1"/>
        <v>2.642625</v>
      </c>
      <c r="S21" s="11">
        <f t="shared" si="1"/>
        <v>6.435</v>
      </c>
      <c r="T21" s="11">
        <f t="shared" si="1"/>
        <v>135</v>
      </c>
      <c r="U21" s="11">
        <f t="shared" si="1"/>
        <v>54</v>
      </c>
    </row>
    <row r="22" spans="1:21">
      <c r="A22" s="1">
        <f>'LISTA DE COMPRAS'!A15</f>
        <v>11</v>
      </c>
      <c r="B22" s="1">
        <f>'LISTA DE COMPRAS'!J15</f>
        <v>100</v>
      </c>
      <c r="C22" s="10">
        <f>'LISTA DE COMPRAS'!Q15</f>
        <v>0.0158333333333333</v>
      </c>
      <c r="E22" s="11">
        <f t="shared" si="0"/>
        <v>284.683333333333</v>
      </c>
      <c r="F22" s="11">
        <f t="shared" si="0"/>
        <v>3.39625</v>
      </c>
      <c r="G22" s="11">
        <f t="shared" si="0"/>
        <v>7.75833333333333</v>
      </c>
      <c r="H22" s="11">
        <f t="shared" si="0"/>
        <v>24.4941666666667</v>
      </c>
      <c r="I22" s="11">
        <f t="shared" si="1"/>
        <v>0.76</v>
      </c>
      <c r="J22" s="11">
        <f t="shared" si="1"/>
        <v>1.93166666666667</v>
      </c>
      <c r="K22" s="11">
        <f t="shared" si="1"/>
        <v>16.9882166666667</v>
      </c>
      <c r="L22" s="11">
        <f t="shared" si="1"/>
        <v>12.26925</v>
      </c>
      <c r="M22" s="11">
        <f t="shared" si="1"/>
        <v>0.471833333333333</v>
      </c>
      <c r="N22" s="11">
        <f t="shared" si="3"/>
        <v>22.7746666666667</v>
      </c>
      <c r="O22" s="11">
        <f t="shared" si="1"/>
        <v>0</v>
      </c>
      <c r="P22" s="11">
        <f t="shared" si="1"/>
        <v>11.9850416666667</v>
      </c>
      <c r="Q22" s="11">
        <f t="shared" si="1"/>
        <v>5.07189166666667</v>
      </c>
      <c r="R22" s="11">
        <f t="shared" si="1"/>
        <v>1.859625</v>
      </c>
      <c r="S22" s="11">
        <f t="shared" si="1"/>
        <v>4.52833333333333</v>
      </c>
      <c r="T22" s="11">
        <f t="shared" si="1"/>
        <v>95</v>
      </c>
      <c r="U22" s="11">
        <f t="shared" si="1"/>
        <v>38</v>
      </c>
    </row>
    <row r="23" spans="1:21">
      <c r="A23" s="1">
        <f>'LISTA DE COMPRAS'!A16</f>
        <v>12</v>
      </c>
      <c r="B23" s="1">
        <f>'LISTA DE COMPRAS'!J16</f>
        <v>100</v>
      </c>
      <c r="C23" s="10">
        <f>'LISTA DE COMPRAS'!Q16</f>
        <v>0.03</v>
      </c>
      <c r="E23" s="11">
        <f t="shared" si="0"/>
        <v>539.4</v>
      </c>
      <c r="F23" s="11">
        <f t="shared" si="0"/>
        <v>6.435</v>
      </c>
      <c r="G23" s="11">
        <f t="shared" si="0"/>
        <v>14.7</v>
      </c>
      <c r="H23" s="11">
        <f t="shared" si="0"/>
        <v>46.41</v>
      </c>
      <c r="I23" s="11">
        <f t="shared" si="1"/>
        <v>1.44</v>
      </c>
      <c r="J23" s="11">
        <f t="shared" si="1"/>
        <v>3.66</v>
      </c>
      <c r="K23" s="11">
        <f t="shared" si="1"/>
        <v>32.1882</v>
      </c>
      <c r="L23" s="11">
        <f t="shared" si="1"/>
        <v>23.247</v>
      </c>
      <c r="M23" s="11">
        <f t="shared" si="1"/>
        <v>0.894</v>
      </c>
      <c r="N23" s="11">
        <f t="shared" si="3"/>
        <v>43.152</v>
      </c>
      <c r="O23" s="11">
        <f t="shared" si="1"/>
        <v>0</v>
      </c>
      <c r="P23" s="11">
        <f t="shared" si="1"/>
        <v>22.7085</v>
      </c>
      <c r="Q23" s="11">
        <f t="shared" si="1"/>
        <v>9.6099</v>
      </c>
      <c r="R23" s="11">
        <f t="shared" si="1"/>
        <v>3.5235</v>
      </c>
      <c r="S23" s="11">
        <f t="shared" si="1"/>
        <v>8.58</v>
      </c>
      <c r="T23" s="11">
        <f t="shared" si="1"/>
        <v>180</v>
      </c>
      <c r="U23" s="11">
        <f t="shared" si="1"/>
        <v>72</v>
      </c>
    </row>
    <row r="24" spans="1:21">
      <c r="A24" s="1">
        <f>'LISTA DE COMPRAS'!A17</f>
        <v>13</v>
      </c>
      <c r="B24" s="1">
        <f>'LISTA DE COMPRAS'!J17</f>
        <v>100</v>
      </c>
      <c r="C24" s="10">
        <f>'LISTA DE COMPRAS'!Q17</f>
        <v>0.0158333333333333</v>
      </c>
      <c r="E24" s="11">
        <f t="shared" si="0"/>
        <v>284.683333333333</v>
      </c>
      <c r="F24" s="11">
        <f t="shared" si="0"/>
        <v>3.39625</v>
      </c>
      <c r="G24" s="11">
        <f t="shared" si="0"/>
        <v>7.75833333333333</v>
      </c>
      <c r="H24" s="11">
        <f t="shared" si="0"/>
        <v>24.4941666666667</v>
      </c>
      <c r="I24" s="11">
        <f t="shared" si="1"/>
        <v>0.76</v>
      </c>
      <c r="J24" s="11">
        <f t="shared" si="1"/>
        <v>1.93166666666667</v>
      </c>
      <c r="K24" s="11">
        <f t="shared" si="1"/>
        <v>16.9882166666667</v>
      </c>
      <c r="L24" s="11">
        <f t="shared" si="1"/>
        <v>12.26925</v>
      </c>
      <c r="M24" s="11">
        <f t="shared" si="1"/>
        <v>0.471833333333333</v>
      </c>
      <c r="N24" s="11">
        <f t="shared" si="3"/>
        <v>22.7746666666667</v>
      </c>
      <c r="O24" s="11">
        <f t="shared" si="1"/>
        <v>0</v>
      </c>
      <c r="P24" s="11">
        <f t="shared" si="1"/>
        <v>11.9850416666667</v>
      </c>
      <c r="Q24" s="11">
        <f t="shared" si="1"/>
        <v>5.07189166666667</v>
      </c>
      <c r="R24" s="11">
        <f t="shared" si="1"/>
        <v>1.859625</v>
      </c>
      <c r="S24" s="11">
        <f t="shared" si="1"/>
        <v>4.52833333333333</v>
      </c>
      <c r="T24" s="11">
        <f t="shared" si="1"/>
        <v>95</v>
      </c>
      <c r="U24" s="11">
        <f t="shared" si="1"/>
        <v>38</v>
      </c>
    </row>
    <row r="25" spans="1:21">
      <c r="A25" s="1">
        <f>'LISTA DE COMPRAS'!A18</f>
        <v>14</v>
      </c>
      <c r="B25" s="1">
        <f>'LISTA DE COMPRAS'!J18</f>
        <v>100</v>
      </c>
      <c r="C25" s="10">
        <f>'LISTA DE COMPRAS'!Q18</f>
        <v>0.03</v>
      </c>
      <c r="E25" s="11">
        <f t="shared" si="0"/>
        <v>539.4</v>
      </c>
      <c r="F25" s="11">
        <f t="shared" si="0"/>
        <v>6.435</v>
      </c>
      <c r="G25" s="11">
        <f t="shared" si="0"/>
        <v>14.7</v>
      </c>
      <c r="H25" s="11">
        <f t="shared" si="0"/>
        <v>46.41</v>
      </c>
      <c r="I25" s="11">
        <f t="shared" si="1"/>
        <v>1.44</v>
      </c>
      <c r="J25" s="11">
        <f t="shared" si="1"/>
        <v>3.66</v>
      </c>
      <c r="K25" s="11">
        <f t="shared" si="1"/>
        <v>32.1882</v>
      </c>
      <c r="L25" s="11">
        <f t="shared" si="1"/>
        <v>23.247</v>
      </c>
      <c r="M25" s="11">
        <f t="shared" si="1"/>
        <v>0.894</v>
      </c>
      <c r="N25" s="11">
        <f t="shared" si="3"/>
        <v>43.152</v>
      </c>
      <c r="O25" s="11">
        <f t="shared" si="1"/>
        <v>0</v>
      </c>
      <c r="P25" s="11">
        <f t="shared" si="1"/>
        <v>22.7085</v>
      </c>
      <c r="Q25" s="11">
        <f t="shared" si="1"/>
        <v>9.6099</v>
      </c>
      <c r="R25" s="11">
        <f t="shared" si="1"/>
        <v>3.5235</v>
      </c>
      <c r="S25" s="11">
        <f t="shared" si="1"/>
        <v>8.58</v>
      </c>
      <c r="T25" s="11">
        <f t="shared" si="1"/>
        <v>180</v>
      </c>
      <c r="U25" s="11">
        <f t="shared" si="1"/>
        <v>72</v>
      </c>
    </row>
    <row r="26" spans="1:21">
      <c r="A26" s="1">
        <f>'LISTA DE COMPRAS'!A19</f>
        <v>15</v>
      </c>
      <c r="B26" s="1">
        <f>'LISTA DE COMPRAS'!J19</f>
        <v>100</v>
      </c>
      <c r="C26" s="10">
        <f>'LISTA DE COMPRAS'!Q19</f>
        <v>0.0370833333333333</v>
      </c>
      <c r="E26" s="11">
        <f t="shared" si="0"/>
        <v>666.758333333333</v>
      </c>
      <c r="F26" s="11">
        <f t="shared" si="0"/>
        <v>7.954375</v>
      </c>
      <c r="G26" s="11">
        <f t="shared" si="0"/>
        <v>18.1708333333333</v>
      </c>
      <c r="H26" s="11">
        <f t="shared" si="0"/>
        <v>57.3679166666667</v>
      </c>
      <c r="I26" s="11">
        <f t="shared" si="1"/>
        <v>1.78</v>
      </c>
      <c r="J26" s="11">
        <f t="shared" si="1"/>
        <v>4.52416666666667</v>
      </c>
      <c r="K26" s="11">
        <f t="shared" si="1"/>
        <v>39.7881916666667</v>
      </c>
      <c r="L26" s="11">
        <f t="shared" si="1"/>
        <v>28.735875</v>
      </c>
      <c r="M26" s="11">
        <f t="shared" si="1"/>
        <v>1.10508333333333</v>
      </c>
      <c r="N26" s="11">
        <f t="shared" si="3"/>
        <v>53.3406666666667</v>
      </c>
      <c r="O26" s="11">
        <f t="shared" si="1"/>
        <v>0</v>
      </c>
      <c r="P26" s="11">
        <f t="shared" si="1"/>
        <v>28.0702291666667</v>
      </c>
      <c r="Q26" s="11">
        <f t="shared" si="1"/>
        <v>11.8789041666667</v>
      </c>
      <c r="R26" s="11">
        <f t="shared" si="1"/>
        <v>4.3554375</v>
      </c>
      <c r="S26" s="11">
        <f t="shared" si="1"/>
        <v>10.6058333333333</v>
      </c>
      <c r="T26" s="11">
        <f t="shared" si="1"/>
        <v>222.5</v>
      </c>
      <c r="U26" s="11">
        <f t="shared" si="1"/>
        <v>89</v>
      </c>
    </row>
    <row r="27" spans="1:21">
      <c r="A27" s="1">
        <f>'LISTA DE COMPRAS'!A20</f>
        <v>16</v>
      </c>
      <c r="B27" s="1">
        <f>'LISTA DE COMPRAS'!J20</f>
        <v>100</v>
      </c>
      <c r="C27" s="10">
        <f>'LISTA DE COMPRAS'!Q20</f>
        <v>0.0370833333333333</v>
      </c>
      <c r="E27" s="11">
        <f t="shared" ref="E27:T61" si="4">E$11*$C27</f>
        <v>666.758333333333</v>
      </c>
      <c r="F27" s="11">
        <f t="shared" si="4"/>
        <v>7.954375</v>
      </c>
      <c r="G27" s="11">
        <f t="shared" si="4"/>
        <v>18.1708333333333</v>
      </c>
      <c r="H27" s="11">
        <f t="shared" si="4"/>
        <v>57.3679166666667</v>
      </c>
      <c r="I27" s="11">
        <f t="shared" si="4"/>
        <v>1.78</v>
      </c>
      <c r="J27" s="11">
        <f t="shared" si="4"/>
        <v>4.52416666666667</v>
      </c>
      <c r="K27" s="11">
        <f t="shared" si="4"/>
        <v>39.7881916666667</v>
      </c>
      <c r="L27" s="11">
        <f t="shared" si="4"/>
        <v>28.735875</v>
      </c>
      <c r="M27" s="11">
        <f t="shared" si="4"/>
        <v>1.10508333333333</v>
      </c>
      <c r="N27" s="11">
        <f t="shared" si="3"/>
        <v>53.3406666666667</v>
      </c>
      <c r="O27" s="11">
        <f t="shared" si="4"/>
        <v>0</v>
      </c>
      <c r="P27" s="11">
        <f t="shared" si="4"/>
        <v>28.0702291666667</v>
      </c>
      <c r="Q27" s="11">
        <f t="shared" si="4"/>
        <v>11.8789041666667</v>
      </c>
      <c r="R27" s="11">
        <f t="shared" si="4"/>
        <v>4.3554375</v>
      </c>
      <c r="S27" s="11">
        <f t="shared" si="4"/>
        <v>10.6058333333333</v>
      </c>
      <c r="T27" s="11">
        <f t="shared" si="4"/>
        <v>222.5</v>
      </c>
      <c r="U27" s="11">
        <f t="shared" ref="I27:U49" si="5">U$11*$C27</f>
        <v>89</v>
      </c>
    </row>
    <row r="28" spans="1:21">
      <c r="A28" s="1">
        <f>'LISTA DE COMPRAS'!A21</f>
        <v>17</v>
      </c>
      <c r="B28" s="1">
        <f>'LISTA DE COMPRAS'!J21</f>
        <v>100</v>
      </c>
      <c r="C28" s="10">
        <f>'LISTA DE COMPRAS'!Q21</f>
        <v>0.00916666666666667</v>
      </c>
      <c r="E28" s="11">
        <f t="shared" si="4"/>
        <v>164.816666666667</v>
      </c>
      <c r="F28" s="11">
        <f t="shared" si="4"/>
        <v>1.96625</v>
      </c>
      <c r="G28" s="11">
        <f t="shared" si="4"/>
        <v>4.49166666666667</v>
      </c>
      <c r="H28" s="11">
        <f t="shared" si="4"/>
        <v>14.1808333333333</v>
      </c>
      <c r="I28" s="11">
        <f t="shared" si="5"/>
        <v>0.44</v>
      </c>
      <c r="J28" s="11">
        <f t="shared" si="5"/>
        <v>1.11833333333333</v>
      </c>
      <c r="K28" s="11">
        <f t="shared" si="5"/>
        <v>9.83528333333333</v>
      </c>
      <c r="L28" s="11">
        <f t="shared" si="5"/>
        <v>7.10325</v>
      </c>
      <c r="M28" s="11">
        <f t="shared" si="5"/>
        <v>0.273166666666667</v>
      </c>
      <c r="N28" s="11">
        <f t="shared" si="3"/>
        <v>13.1853333333333</v>
      </c>
      <c r="O28" s="11">
        <f t="shared" si="5"/>
        <v>0</v>
      </c>
      <c r="P28" s="11">
        <f t="shared" si="5"/>
        <v>6.93870833333333</v>
      </c>
      <c r="Q28" s="11">
        <f t="shared" si="5"/>
        <v>2.93635833333333</v>
      </c>
      <c r="R28" s="11">
        <f t="shared" si="5"/>
        <v>1.076625</v>
      </c>
      <c r="S28" s="11">
        <f t="shared" si="5"/>
        <v>2.62166666666667</v>
      </c>
      <c r="T28" s="11">
        <f t="shared" si="5"/>
        <v>55</v>
      </c>
      <c r="U28" s="11">
        <f t="shared" si="5"/>
        <v>22</v>
      </c>
    </row>
    <row r="29" spans="1:21">
      <c r="A29" s="1">
        <f>'LISTA DE COMPRAS'!A22</f>
        <v>18</v>
      </c>
      <c r="B29" s="1">
        <f>'LISTA DE COMPRAS'!J22</f>
        <v>100</v>
      </c>
      <c r="C29" s="10">
        <f>'LISTA DE COMPRAS'!Q22</f>
        <v>0.0133333333333333</v>
      </c>
      <c r="E29" s="11">
        <f t="shared" si="4"/>
        <v>239.733333333333</v>
      </c>
      <c r="F29" s="11">
        <f t="shared" si="4"/>
        <v>2.86</v>
      </c>
      <c r="G29" s="11">
        <f t="shared" si="4"/>
        <v>6.53333333333333</v>
      </c>
      <c r="H29" s="11">
        <f t="shared" si="4"/>
        <v>20.6266666666667</v>
      </c>
      <c r="I29" s="11">
        <f t="shared" si="5"/>
        <v>0.64</v>
      </c>
      <c r="J29" s="11">
        <f t="shared" si="5"/>
        <v>1.62666666666667</v>
      </c>
      <c r="K29" s="11">
        <f t="shared" si="5"/>
        <v>14.3058666666667</v>
      </c>
      <c r="L29" s="11">
        <f t="shared" si="5"/>
        <v>10.332</v>
      </c>
      <c r="M29" s="11">
        <f t="shared" si="5"/>
        <v>0.397333333333333</v>
      </c>
      <c r="N29" s="11">
        <f t="shared" si="3"/>
        <v>19.1786666666667</v>
      </c>
      <c r="O29" s="11">
        <f t="shared" si="5"/>
        <v>0</v>
      </c>
      <c r="P29" s="11">
        <f t="shared" si="5"/>
        <v>10.0926666666667</v>
      </c>
      <c r="Q29" s="11">
        <f t="shared" si="5"/>
        <v>4.27106666666667</v>
      </c>
      <c r="R29" s="11">
        <f t="shared" si="5"/>
        <v>1.566</v>
      </c>
      <c r="S29" s="11">
        <f t="shared" si="5"/>
        <v>3.81333333333333</v>
      </c>
      <c r="T29" s="11">
        <f t="shared" si="5"/>
        <v>80</v>
      </c>
      <c r="U29" s="11">
        <f t="shared" si="5"/>
        <v>32</v>
      </c>
    </row>
    <row r="30" spans="1:21">
      <c r="A30" s="1">
        <f>'LISTA DE COMPRAS'!A23</f>
        <v>19</v>
      </c>
      <c r="B30" s="1">
        <f>'LISTA DE COMPRAS'!J23</f>
        <v>100</v>
      </c>
      <c r="C30" s="10">
        <f>'LISTA DE COMPRAS'!Q23</f>
        <v>0.00958333333333333</v>
      </c>
      <c r="E30" s="11">
        <f t="shared" si="4"/>
        <v>172.308333333333</v>
      </c>
      <c r="F30" s="11">
        <f t="shared" si="4"/>
        <v>2.055625</v>
      </c>
      <c r="G30" s="11">
        <f t="shared" si="4"/>
        <v>4.69583333333333</v>
      </c>
      <c r="H30" s="11">
        <f t="shared" si="4"/>
        <v>14.8254166666667</v>
      </c>
      <c r="I30" s="11">
        <f t="shared" si="5"/>
        <v>0.46</v>
      </c>
      <c r="J30" s="11">
        <f t="shared" si="5"/>
        <v>1.16916666666667</v>
      </c>
      <c r="K30" s="11">
        <f t="shared" si="5"/>
        <v>10.2823416666667</v>
      </c>
      <c r="L30" s="11">
        <f t="shared" si="5"/>
        <v>7.426125</v>
      </c>
      <c r="M30" s="11">
        <f t="shared" si="5"/>
        <v>0.285583333333333</v>
      </c>
      <c r="N30" s="11">
        <f t="shared" si="3"/>
        <v>13.7846666666667</v>
      </c>
      <c r="O30" s="11">
        <f t="shared" si="5"/>
        <v>0</v>
      </c>
      <c r="P30" s="11">
        <f t="shared" si="5"/>
        <v>7.25410416666667</v>
      </c>
      <c r="Q30" s="11">
        <f t="shared" si="5"/>
        <v>3.06982916666667</v>
      </c>
      <c r="R30" s="11">
        <f t="shared" si="5"/>
        <v>1.1255625</v>
      </c>
      <c r="S30" s="11">
        <f t="shared" si="5"/>
        <v>2.74083333333333</v>
      </c>
      <c r="T30" s="11">
        <f t="shared" si="5"/>
        <v>57.5</v>
      </c>
      <c r="U30" s="11">
        <f t="shared" si="5"/>
        <v>23</v>
      </c>
    </row>
    <row r="31" spans="1:21">
      <c r="A31" s="1">
        <f>'LISTA DE COMPRAS'!A24</f>
        <v>20</v>
      </c>
      <c r="B31" s="1">
        <f>'LISTA DE COMPRAS'!J24</f>
        <v>100</v>
      </c>
      <c r="C31" s="10">
        <f>'LISTA DE COMPRAS'!Q24</f>
        <v>0.010625</v>
      </c>
      <c r="E31" s="11">
        <f t="shared" si="4"/>
        <v>191.0375</v>
      </c>
      <c r="F31" s="11">
        <f t="shared" si="4"/>
        <v>2.2790625</v>
      </c>
      <c r="G31" s="11">
        <f t="shared" si="4"/>
        <v>5.20625</v>
      </c>
      <c r="H31" s="11">
        <f t="shared" si="4"/>
        <v>16.436875</v>
      </c>
      <c r="I31" s="11">
        <f t="shared" si="5"/>
        <v>0.51</v>
      </c>
      <c r="J31" s="11">
        <f t="shared" si="5"/>
        <v>1.29625</v>
      </c>
      <c r="K31" s="11">
        <f t="shared" si="5"/>
        <v>11.3999875</v>
      </c>
      <c r="L31" s="11">
        <f t="shared" si="5"/>
        <v>8.2333125</v>
      </c>
      <c r="M31" s="11">
        <f t="shared" si="5"/>
        <v>0.316625</v>
      </c>
      <c r="N31" s="11">
        <f t="shared" si="3"/>
        <v>15.283</v>
      </c>
      <c r="O31" s="11">
        <f t="shared" si="5"/>
        <v>0</v>
      </c>
      <c r="P31" s="11">
        <f t="shared" si="5"/>
        <v>8.04259375</v>
      </c>
      <c r="Q31" s="11">
        <f t="shared" si="5"/>
        <v>3.40350625</v>
      </c>
      <c r="R31" s="11">
        <f t="shared" si="5"/>
        <v>1.24790625</v>
      </c>
      <c r="S31" s="11">
        <f t="shared" si="5"/>
        <v>3.03875</v>
      </c>
      <c r="T31" s="11">
        <f t="shared" si="5"/>
        <v>63.75</v>
      </c>
      <c r="U31" s="11">
        <f t="shared" si="5"/>
        <v>25.5</v>
      </c>
    </row>
    <row r="32" spans="1:21">
      <c r="A32" s="1">
        <f>'LISTA DE COMPRAS'!A25</f>
        <v>21</v>
      </c>
      <c r="B32" s="1">
        <f>'LISTA DE COMPRAS'!J25</f>
        <v>0</v>
      </c>
      <c r="C32" s="10">
        <f>'LISTA DE COMPRAS'!Q25</f>
        <v>0</v>
      </c>
      <c r="E32" s="11">
        <f t="shared" si="4"/>
        <v>0</v>
      </c>
      <c r="F32" s="11">
        <f t="shared" si="4"/>
        <v>0</v>
      </c>
      <c r="G32" s="11">
        <f t="shared" si="4"/>
        <v>0</v>
      </c>
      <c r="H32" s="11">
        <f t="shared" si="4"/>
        <v>0</v>
      </c>
      <c r="I32" s="11">
        <f t="shared" si="5"/>
        <v>0</v>
      </c>
      <c r="J32" s="11">
        <f t="shared" si="5"/>
        <v>0</v>
      </c>
      <c r="K32" s="11">
        <f t="shared" si="5"/>
        <v>0</v>
      </c>
      <c r="L32" s="11">
        <f t="shared" si="5"/>
        <v>0</v>
      </c>
      <c r="M32" s="11">
        <f t="shared" si="5"/>
        <v>0</v>
      </c>
      <c r="N32" s="11">
        <f t="shared" si="3"/>
        <v>0</v>
      </c>
      <c r="O32" s="11">
        <f t="shared" si="5"/>
        <v>0</v>
      </c>
      <c r="P32" s="11">
        <f t="shared" si="5"/>
        <v>0</v>
      </c>
      <c r="Q32" s="11">
        <f t="shared" si="5"/>
        <v>0</v>
      </c>
      <c r="R32" s="11">
        <f t="shared" si="5"/>
        <v>0</v>
      </c>
      <c r="S32" s="11">
        <f t="shared" si="5"/>
        <v>0</v>
      </c>
      <c r="T32" s="11">
        <f t="shared" si="5"/>
        <v>0</v>
      </c>
      <c r="U32" s="11">
        <f t="shared" si="5"/>
        <v>0</v>
      </c>
    </row>
    <row r="33" spans="1:21">
      <c r="A33" s="1">
        <f>'LISTA DE COMPRAS'!A26</f>
        <v>22</v>
      </c>
      <c r="B33" s="1">
        <f>'LISTA DE COMPRAS'!J26</f>
        <v>100</v>
      </c>
      <c r="C33" s="10">
        <f>'LISTA DE COMPRAS'!Q26</f>
        <v>0.019375</v>
      </c>
      <c r="E33" s="11">
        <f t="shared" si="4"/>
        <v>348.3625</v>
      </c>
      <c r="F33" s="11">
        <f t="shared" si="4"/>
        <v>4.1559375</v>
      </c>
      <c r="G33" s="11">
        <f t="shared" si="4"/>
        <v>9.49375</v>
      </c>
      <c r="H33" s="11">
        <f t="shared" si="4"/>
        <v>29.973125</v>
      </c>
      <c r="I33" s="11">
        <f t="shared" si="5"/>
        <v>0.93</v>
      </c>
      <c r="J33" s="11">
        <f t="shared" si="5"/>
        <v>2.36375</v>
      </c>
      <c r="K33" s="11">
        <f t="shared" si="5"/>
        <v>20.7882125</v>
      </c>
      <c r="L33" s="11">
        <f t="shared" si="5"/>
        <v>15.0136875</v>
      </c>
      <c r="M33" s="11">
        <f t="shared" si="5"/>
        <v>0.577375</v>
      </c>
      <c r="N33" s="11">
        <f t="shared" si="3"/>
        <v>27.869</v>
      </c>
      <c r="O33" s="11">
        <f t="shared" si="5"/>
        <v>0</v>
      </c>
      <c r="P33" s="11">
        <f t="shared" si="5"/>
        <v>14.66590625</v>
      </c>
      <c r="Q33" s="11">
        <f t="shared" si="5"/>
        <v>6.20639375</v>
      </c>
      <c r="R33" s="11">
        <f t="shared" si="5"/>
        <v>2.27559375</v>
      </c>
      <c r="S33" s="11">
        <f t="shared" si="5"/>
        <v>5.54125</v>
      </c>
      <c r="T33" s="11">
        <f t="shared" si="5"/>
        <v>116.25</v>
      </c>
      <c r="U33" s="11">
        <f t="shared" si="5"/>
        <v>46.5</v>
      </c>
    </row>
    <row r="34" spans="1:21">
      <c r="A34" s="1">
        <f>'LISTA DE COMPRAS'!A27</f>
        <v>23</v>
      </c>
      <c r="B34" s="1">
        <f>'LISTA DE COMPRAS'!J27</f>
        <v>100</v>
      </c>
      <c r="C34" s="10">
        <f>'LISTA DE COMPRAS'!Q27</f>
        <v>0.019375</v>
      </c>
      <c r="E34" s="11">
        <f t="shared" si="4"/>
        <v>348.3625</v>
      </c>
      <c r="F34" s="11">
        <f t="shared" si="4"/>
        <v>4.1559375</v>
      </c>
      <c r="G34" s="11">
        <f t="shared" si="4"/>
        <v>9.49375</v>
      </c>
      <c r="H34" s="11">
        <f t="shared" si="4"/>
        <v>29.973125</v>
      </c>
      <c r="I34" s="11">
        <f t="shared" si="5"/>
        <v>0.93</v>
      </c>
      <c r="J34" s="11">
        <f t="shared" si="5"/>
        <v>2.36375</v>
      </c>
      <c r="K34" s="11">
        <f t="shared" si="5"/>
        <v>20.7882125</v>
      </c>
      <c r="L34" s="11">
        <f t="shared" si="5"/>
        <v>15.0136875</v>
      </c>
      <c r="M34" s="11">
        <f t="shared" si="5"/>
        <v>0.577375</v>
      </c>
      <c r="N34" s="11">
        <f t="shared" si="3"/>
        <v>27.869</v>
      </c>
      <c r="O34" s="11">
        <f t="shared" si="5"/>
        <v>0</v>
      </c>
      <c r="P34" s="11">
        <f t="shared" si="5"/>
        <v>14.66590625</v>
      </c>
      <c r="Q34" s="11">
        <f t="shared" si="5"/>
        <v>6.20639375</v>
      </c>
      <c r="R34" s="11">
        <f t="shared" si="5"/>
        <v>2.27559375</v>
      </c>
      <c r="S34" s="11">
        <f t="shared" si="5"/>
        <v>5.54125</v>
      </c>
      <c r="T34" s="11">
        <f t="shared" si="5"/>
        <v>116.25</v>
      </c>
      <c r="U34" s="11">
        <f t="shared" si="5"/>
        <v>46.5</v>
      </c>
    </row>
    <row r="35" spans="1:21">
      <c r="A35" s="1">
        <f>'LISTA DE COMPRAS'!A28</f>
        <v>24</v>
      </c>
      <c r="B35" s="1">
        <f>'LISTA DE COMPRAS'!J28</f>
        <v>100</v>
      </c>
      <c r="C35" s="10">
        <f>'LISTA DE COMPRAS'!Q28</f>
        <v>0.0229166666666667</v>
      </c>
      <c r="E35" s="11">
        <f t="shared" si="4"/>
        <v>412.041666666667</v>
      </c>
      <c r="F35" s="11">
        <f t="shared" si="4"/>
        <v>4.915625</v>
      </c>
      <c r="G35" s="11">
        <f t="shared" si="4"/>
        <v>11.2291666666667</v>
      </c>
      <c r="H35" s="11">
        <f t="shared" si="4"/>
        <v>35.4520833333333</v>
      </c>
      <c r="I35" s="11">
        <f t="shared" si="5"/>
        <v>1.1</v>
      </c>
      <c r="J35" s="11">
        <f t="shared" si="5"/>
        <v>2.79583333333333</v>
      </c>
      <c r="K35" s="11">
        <f t="shared" si="5"/>
        <v>24.5882083333333</v>
      </c>
      <c r="L35" s="11">
        <f t="shared" si="5"/>
        <v>17.758125</v>
      </c>
      <c r="M35" s="11">
        <f t="shared" si="5"/>
        <v>0.682916666666667</v>
      </c>
      <c r="N35" s="11">
        <f t="shared" si="3"/>
        <v>32.9633333333333</v>
      </c>
      <c r="O35" s="11">
        <f t="shared" si="5"/>
        <v>0</v>
      </c>
      <c r="P35" s="11">
        <f t="shared" si="5"/>
        <v>17.3467708333333</v>
      </c>
      <c r="Q35" s="11">
        <f t="shared" si="5"/>
        <v>7.34089583333333</v>
      </c>
      <c r="R35" s="11">
        <f t="shared" si="5"/>
        <v>2.6915625</v>
      </c>
      <c r="S35" s="11">
        <f t="shared" si="5"/>
        <v>6.55416666666667</v>
      </c>
      <c r="T35" s="11">
        <f t="shared" si="5"/>
        <v>137.5</v>
      </c>
      <c r="U35" s="11">
        <f t="shared" si="5"/>
        <v>55</v>
      </c>
    </row>
    <row r="36" spans="1:21">
      <c r="A36" s="1">
        <f>'LISTA DE COMPRAS'!A29</f>
        <v>25</v>
      </c>
      <c r="B36" s="1">
        <f>'LISTA DE COMPRAS'!J29</f>
        <v>100</v>
      </c>
      <c r="C36" s="10">
        <f>'LISTA DE COMPRAS'!Q29</f>
        <v>0.0229166666666667</v>
      </c>
      <c r="E36" s="11">
        <f t="shared" si="4"/>
        <v>412.041666666667</v>
      </c>
      <c r="F36" s="11">
        <f t="shared" si="4"/>
        <v>4.915625</v>
      </c>
      <c r="G36" s="11">
        <f t="shared" si="4"/>
        <v>11.2291666666667</v>
      </c>
      <c r="H36" s="11">
        <f t="shared" si="4"/>
        <v>35.4520833333333</v>
      </c>
      <c r="I36" s="11">
        <f t="shared" si="5"/>
        <v>1.1</v>
      </c>
      <c r="J36" s="11">
        <f t="shared" si="5"/>
        <v>2.79583333333333</v>
      </c>
      <c r="K36" s="11">
        <f t="shared" si="5"/>
        <v>24.5882083333333</v>
      </c>
      <c r="L36" s="11">
        <f t="shared" si="5"/>
        <v>17.758125</v>
      </c>
      <c r="M36" s="11">
        <f t="shared" si="5"/>
        <v>0.682916666666667</v>
      </c>
      <c r="N36" s="11">
        <f t="shared" si="3"/>
        <v>32.9633333333333</v>
      </c>
      <c r="O36" s="11">
        <f t="shared" si="5"/>
        <v>0</v>
      </c>
      <c r="P36" s="11">
        <f t="shared" si="5"/>
        <v>17.3467708333333</v>
      </c>
      <c r="Q36" s="11">
        <f t="shared" si="5"/>
        <v>7.34089583333333</v>
      </c>
      <c r="R36" s="11">
        <f t="shared" si="5"/>
        <v>2.6915625</v>
      </c>
      <c r="S36" s="11">
        <f t="shared" si="5"/>
        <v>6.55416666666667</v>
      </c>
      <c r="T36" s="11">
        <f t="shared" si="5"/>
        <v>137.5</v>
      </c>
      <c r="U36" s="11">
        <f t="shared" si="5"/>
        <v>55</v>
      </c>
    </row>
    <row r="37" spans="1:21">
      <c r="A37" s="1">
        <f>'LISTA DE COMPRAS'!A30</f>
        <v>26</v>
      </c>
      <c r="B37" s="1">
        <f>'LISTA DE COMPRAS'!J30</f>
        <v>100</v>
      </c>
      <c r="C37" s="10">
        <f>'LISTA DE COMPRAS'!Q30</f>
        <v>0.0204166666666667</v>
      </c>
      <c r="E37" s="11">
        <f t="shared" si="4"/>
        <v>367.091666666667</v>
      </c>
      <c r="F37" s="11">
        <f t="shared" si="4"/>
        <v>4.379375</v>
      </c>
      <c r="G37" s="11">
        <f t="shared" si="4"/>
        <v>10.0041666666667</v>
      </c>
      <c r="H37" s="11">
        <f t="shared" si="4"/>
        <v>31.5845833333333</v>
      </c>
      <c r="I37" s="11">
        <f t="shared" si="5"/>
        <v>0.98</v>
      </c>
      <c r="J37" s="11">
        <f t="shared" si="5"/>
        <v>2.49083333333333</v>
      </c>
      <c r="K37" s="11">
        <f t="shared" si="5"/>
        <v>21.9058583333333</v>
      </c>
      <c r="L37" s="11">
        <f t="shared" si="5"/>
        <v>15.820875</v>
      </c>
      <c r="M37" s="11">
        <f t="shared" si="5"/>
        <v>0.608416666666667</v>
      </c>
      <c r="N37" s="11">
        <f t="shared" si="3"/>
        <v>29.3673333333333</v>
      </c>
      <c r="O37" s="11">
        <f t="shared" si="5"/>
        <v>0</v>
      </c>
      <c r="P37" s="11">
        <f t="shared" si="5"/>
        <v>15.4543958333333</v>
      </c>
      <c r="Q37" s="11">
        <f t="shared" si="5"/>
        <v>6.54007083333333</v>
      </c>
      <c r="R37" s="11">
        <f t="shared" si="5"/>
        <v>2.3979375</v>
      </c>
      <c r="S37" s="11">
        <f t="shared" si="5"/>
        <v>5.83916666666667</v>
      </c>
      <c r="T37" s="11">
        <f t="shared" si="5"/>
        <v>122.5</v>
      </c>
      <c r="U37" s="11">
        <f t="shared" si="5"/>
        <v>49</v>
      </c>
    </row>
    <row r="38" spans="1:21">
      <c r="A38" s="1">
        <f>'LISTA DE COMPRAS'!A31</f>
        <v>27</v>
      </c>
      <c r="B38" s="1">
        <f>'LISTA DE COMPRAS'!J31</f>
        <v>100</v>
      </c>
      <c r="C38" s="10">
        <f>'LISTA DE COMPRAS'!Q31</f>
        <v>0.02125</v>
      </c>
      <c r="E38" s="11">
        <f t="shared" si="4"/>
        <v>382.075</v>
      </c>
      <c r="F38" s="11">
        <f t="shared" si="4"/>
        <v>4.558125</v>
      </c>
      <c r="G38" s="11">
        <f t="shared" si="4"/>
        <v>10.4125</v>
      </c>
      <c r="H38" s="11">
        <f t="shared" si="4"/>
        <v>32.87375</v>
      </c>
      <c r="I38" s="11">
        <f t="shared" si="5"/>
        <v>1.02</v>
      </c>
      <c r="J38" s="11">
        <f t="shared" si="5"/>
        <v>2.5925</v>
      </c>
      <c r="K38" s="11">
        <f t="shared" si="5"/>
        <v>22.799975</v>
      </c>
      <c r="L38" s="11">
        <f t="shared" si="5"/>
        <v>16.466625</v>
      </c>
      <c r="M38" s="11">
        <f t="shared" si="5"/>
        <v>0.63325</v>
      </c>
      <c r="N38" s="11">
        <f t="shared" si="3"/>
        <v>30.566</v>
      </c>
      <c r="O38" s="11">
        <f t="shared" si="5"/>
        <v>0</v>
      </c>
      <c r="P38" s="11">
        <f t="shared" si="5"/>
        <v>16.0851875</v>
      </c>
      <c r="Q38" s="11">
        <f t="shared" si="5"/>
        <v>6.8070125</v>
      </c>
      <c r="R38" s="11">
        <f t="shared" si="5"/>
        <v>2.4958125</v>
      </c>
      <c r="S38" s="11">
        <f t="shared" si="5"/>
        <v>6.0775</v>
      </c>
      <c r="T38" s="11">
        <f t="shared" si="5"/>
        <v>127.5</v>
      </c>
      <c r="U38" s="11">
        <f t="shared" si="5"/>
        <v>51</v>
      </c>
    </row>
    <row r="39" spans="1:21">
      <c r="A39" s="1">
        <f>'LISTA DE COMPRAS'!A32</f>
        <v>28</v>
      </c>
      <c r="B39" s="1">
        <f>'LISTA DE COMPRAS'!J32</f>
        <v>100</v>
      </c>
      <c r="C39" s="10">
        <f>'LISTA DE COMPRAS'!Q32</f>
        <v>0.02125</v>
      </c>
      <c r="E39" s="11">
        <f t="shared" si="4"/>
        <v>382.075</v>
      </c>
      <c r="F39" s="11">
        <f t="shared" si="4"/>
        <v>4.558125</v>
      </c>
      <c r="G39" s="11">
        <f t="shared" si="4"/>
        <v>10.4125</v>
      </c>
      <c r="H39" s="11">
        <f t="shared" si="4"/>
        <v>32.87375</v>
      </c>
      <c r="I39" s="11">
        <f t="shared" si="5"/>
        <v>1.02</v>
      </c>
      <c r="J39" s="11">
        <f t="shared" si="5"/>
        <v>2.5925</v>
      </c>
      <c r="K39" s="11">
        <f t="shared" si="5"/>
        <v>22.799975</v>
      </c>
      <c r="L39" s="11">
        <f t="shared" si="5"/>
        <v>16.466625</v>
      </c>
      <c r="M39" s="11">
        <f t="shared" si="5"/>
        <v>0.63325</v>
      </c>
      <c r="N39" s="11">
        <f t="shared" si="3"/>
        <v>30.566</v>
      </c>
      <c r="O39" s="11">
        <f t="shared" si="5"/>
        <v>0</v>
      </c>
      <c r="P39" s="11">
        <f t="shared" si="5"/>
        <v>16.0851875</v>
      </c>
      <c r="Q39" s="11">
        <f t="shared" si="5"/>
        <v>6.8070125</v>
      </c>
      <c r="R39" s="11">
        <f t="shared" si="5"/>
        <v>2.4958125</v>
      </c>
      <c r="S39" s="11">
        <f t="shared" si="5"/>
        <v>6.0775</v>
      </c>
      <c r="T39" s="11">
        <f t="shared" si="5"/>
        <v>127.5</v>
      </c>
      <c r="U39" s="11">
        <f t="shared" si="5"/>
        <v>51</v>
      </c>
    </row>
    <row r="40" spans="1:21">
      <c r="A40" s="1">
        <f>'LISTA DE COMPRAS'!A33</f>
        <v>29</v>
      </c>
      <c r="B40" s="1">
        <f>'LISTA DE COMPRAS'!J33</f>
        <v>100</v>
      </c>
      <c r="C40" s="10">
        <f>'LISTA DE COMPRAS'!Q33</f>
        <v>0.0229166666666667</v>
      </c>
      <c r="E40" s="11">
        <f t="shared" si="4"/>
        <v>412.041666666667</v>
      </c>
      <c r="F40" s="11">
        <f t="shared" si="4"/>
        <v>4.915625</v>
      </c>
      <c r="G40" s="11">
        <f t="shared" si="4"/>
        <v>11.2291666666667</v>
      </c>
      <c r="H40" s="11">
        <f t="shared" si="4"/>
        <v>35.4520833333333</v>
      </c>
      <c r="I40" s="11">
        <f t="shared" si="5"/>
        <v>1.1</v>
      </c>
      <c r="J40" s="11">
        <f t="shared" si="5"/>
        <v>2.79583333333333</v>
      </c>
      <c r="K40" s="11">
        <f t="shared" si="5"/>
        <v>24.5882083333333</v>
      </c>
      <c r="L40" s="11">
        <f t="shared" si="5"/>
        <v>17.758125</v>
      </c>
      <c r="M40" s="11">
        <f t="shared" si="5"/>
        <v>0.682916666666667</v>
      </c>
      <c r="N40" s="11">
        <f t="shared" si="3"/>
        <v>32.9633333333333</v>
      </c>
      <c r="O40" s="11">
        <f t="shared" si="5"/>
        <v>0</v>
      </c>
      <c r="P40" s="11">
        <f t="shared" si="5"/>
        <v>17.3467708333333</v>
      </c>
      <c r="Q40" s="11">
        <f t="shared" si="5"/>
        <v>7.34089583333333</v>
      </c>
      <c r="R40" s="11">
        <f t="shared" si="5"/>
        <v>2.6915625</v>
      </c>
      <c r="S40" s="11">
        <f t="shared" si="5"/>
        <v>6.55416666666667</v>
      </c>
      <c r="T40" s="11">
        <f t="shared" si="5"/>
        <v>137.5</v>
      </c>
      <c r="U40" s="11">
        <f t="shared" si="5"/>
        <v>55</v>
      </c>
    </row>
    <row r="41" spans="1:21">
      <c r="A41" s="1">
        <f>'LISTA DE COMPRAS'!A34</f>
        <v>30</v>
      </c>
      <c r="B41" s="1">
        <f>'LISTA DE COMPRAS'!J34</f>
        <v>100</v>
      </c>
      <c r="C41" s="10">
        <f>'LISTA DE COMPRAS'!Q34</f>
        <v>0.0283333333333333</v>
      </c>
      <c r="E41" s="11">
        <f t="shared" si="4"/>
        <v>509.433333333333</v>
      </c>
      <c r="F41" s="11">
        <f t="shared" si="4"/>
        <v>6.0775</v>
      </c>
      <c r="G41" s="11">
        <f t="shared" si="4"/>
        <v>13.8833333333333</v>
      </c>
      <c r="H41" s="11">
        <f t="shared" si="4"/>
        <v>43.8316666666667</v>
      </c>
      <c r="I41" s="11">
        <f t="shared" si="5"/>
        <v>1.36</v>
      </c>
      <c r="J41" s="11">
        <f t="shared" si="5"/>
        <v>3.45666666666667</v>
      </c>
      <c r="K41" s="11">
        <f t="shared" si="5"/>
        <v>30.3999666666667</v>
      </c>
      <c r="L41" s="11">
        <f t="shared" si="5"/>
        <v>21.9555</v>
      </c>
      <c r="M41" s="11">
        <f t="shared" si="5"/>
        <v>0.844333333333333</v>
      </c>
      <c r="N41" s="11">
        <f t="shared" si="3"/>
        <v>40.7546666666667</v>
      </c>
      <c r="O41" s="11">
        <f t="shared" si="5"/>
        <v>0</v>
      </c>
      <c r="P41" s="11">
        <f t="shared" si="5"/>
        <v>21.4469166666667</v>
      </c>
      <c r="Q41" s="11">
        <f t="shared" si="5"/>
        <v>9.07601666666667</v>
      </c>
      <c r="R41" s="11">
        <f t="shared" si="5"/>
        <v>3.32775</v>
      </c>
      <c r="S41" s="11">
        <f t="shared" si="5"/>
        <v>8.10333333333333</v>
      </c>
      <c r="T41" s="11">
        <f t="shared" si="5"/>
        <v>170</v>
      </c>
      <c r="U41" s="11">
        <f t="shared" si="5"/>
        <v>68</v>
      </c>
    </row>
    <row r="42" spans="1:21">
      <c r="A42" s="1">
        <f>'LISTA DE COMPRAS'!A35</f>
        <v>31</v>
      </c>
      <c r="B42" s="1">
        <f>'LISTA DE COMPRAS'!J35</f>
        <v>0</v>
      </c>
      <c r="C42" s="10">
        <f>'LISTA DE COMPRAS'!Q35</f>
        <v>0</v>
      </c>
      <c r="E42" s="11">
        <f t="shared" si="4"/>
        <v>0</v>
      </c>
      <c r="F42" s="11">
        <f t="shared" si="4"/>
        <v>0</v>
      </c>
      <c r="G42" s="11">
        <f t="shared" si="4"/>
        <v>0</v>
      </c>
      <c r="H42" s="11">
        <f t="shared" si="4"/>
        <v>0</v>
      </c>
      <c r="I42" s="11">
        <f t="shared" si="5"/>
        <v>0</v>
      </c>
      <c r="J42" s="11">
        <f t="shared" si="5"/>
        <v>0</v>
      </c>
      <c r="K42" s="11">
        <f t="shared" si="5"/>
        <v>0</v>
      </c>
      <c r="L42" s="11">
        <f t="shared" si="5"/>
        <v>0</v>
      </c>
      <c r="M42" s="11">
        <f t="shared" si="5"/>
        <v>0</v>
      </c>
      <c r="N42" s="11">
        <f t="shared" si="3"/>
        <v>0</v>
      </c>
      <c r="O42" s="11">
        <f t="shared" si="5"/>
        <v>0</v>
      </c>
      <c r="P42" s="11">
        <f t="shared" si="5"/>
        <v>0</v>
      </c>
      <c r="Q42" s="11">
        <f t="shared" si="5"/>
        <v>0</v>
      </c>
      <c r="R42" s="11">
        <f t="shared" si="5"/>
        <v>0</v>
      </c>
      <c r="S42" s="11">
        <f t="shared" si="5"/>
        <v>0</v>
      </c>
      <c r="T42" s="11">
        <f t="shared" si="5"/>
        <v>0</v>
      </c>
      <c r="U42" s="11">
        <f t="shared" si="5"/>
        <v>0</v>
      </c>
    </row>
    <row r="43" spans="1:21">
      <c r="A43" s="1">
        <f>'LISTA DE COMPRAS'!A36</f>
        <v>32</v>
      </c>
      <c r="B43" s="1">
        <f>'LISTA DE COMPRAS'!J36</f>
        <v>0</v>
      </c>
      <c r="C43" s="10">
        <f>'LISTA DE COMPRAS'!Q36</f>
        <v>0</v>
      </c>
      <c r="E43" s="11">
        <f t="shared" si="4"/>
        <v>0</v>
      </c>
      <c r="F43" s="11">
        <f t="shared" si="4"/>
        <v>0</v>
      </c>
      <c r="G43" s="11">
        <f t="shared" si="4"/>
        <v>0</v>
      </c>
      <c r="H43" s="11">
        <f t="shared" si="4"/>
        <v>0</v>
      </c>
      <c r="I43" s="11">
        <f t="shared" si="5"/>
        <v>0</v>
      </c>
      <c r="J43" s="11">
        <f t="shared" si="5"/>
        <v>0</v>
      </c>
      <c r="K43" s="11">
        <f t="shared" si="5"/>
        <v>0</v>
      </c>
      <c r="L43" s="11">
        <f t="shared" si="5"/>
        <v>0</v>
      </c>
      <c r="M43" s="11">
        <f t="shared" si="5"/>
        <v>0</v>
      </c>
      <c r="N43" s="11">
        <f t="shared" si="3"/>
        <v>0</v>
      </c>
      <c r="O43" s="11">
        <f t="shared" si="5"/>
        <v>0</v>
      </c>
      <c r="P43" s="11">
        <f t="shared" si="5"/>
        <v>0</v>
      </c>
      <c r="Q43" s="11">
        <f t="shared" si="5"/>
        <v>0</v>
      </c>
      <c r="R43" s="11">
        <f t="shared" si="5"/>
        <v>0</v>
      </c>
      <c r="S43" s="11">
        <f t="shared" si="5"/>
        <v>0</v>
      </c>
      <c r="T43" s="11">
        <f t="shared" si="5"/>
        <v>0</v>
      </c>
      <c r="U43" s="11">
        <f t="shared" si="5"/>
        <v>0</v>
      </c>
    </row>
    <row r="44" spans="1:21">
      <c r="A44" s="1">
        <f>'LISTA DE COMPRAS'!A37</f>
        <v>33</v>
      </c>
      <c r="B44" s="1">
        <f>'LISTA DE COMPRAS'!J37</f>
        <v>100</v>
      </c>
      <c r="C44" s="10">
        <f>'LISTA DE COMPRAS'!Q37</f>
        <v>0.01125</v>
      </c>
      <c r="E44" s="11">
        <f t="shared" si="4"/>
        <v>202.275</v>
      </c>
      <c r="F44" s="11">
        <f t="shared" si="4"/>
        <v>2.413125</v>
      </c>
      <c r="G44" s="11">
        <f t="shared" si="4"/>
        <v>5.5125</v>
      </c>
      <c r="H44" s="11">
        <f t="shared" si="4"/>
        <v>17.40375</v>
      </c>
      <c r="I44" s="11">
        <f t="shared" si="5"/>
        <v>0.54</v>
      </c>
      <c r="J44" s="11">
        <f t="shared" si="5"/>
        <v>1.3725</v>
      </c>
      <c r="K44" s="11">
        <f t="shared" si="5"/>
        <v>12.070575</v>
      </c>
      <c r="L44" s="11">
        <f t="shared" si="5"/>
        <v>8.717625</v>
      </c>
      <c r="M44" s="11">
        <f t="shared" si="5"/>
        <v>0.33525</v>
      </c>
      <c r="N44" s="11">
        <f t="shared" si="3"/>
        <v>16.182</v>
      </c>
      <c r="O44" s="11">
        <f t="shared" si="5"/>
        <v>0</v>
      </c>
      <c r="P44" s="11">
        <f t="shared" si="5"/>
        <v>8.5156875</v>
      </c>
      <c r="Q44" s="11">
        <f t="shared" si="5"/>
        <v>3.6037125</v>
      </c>
      <c r="R44" s="11">
        <f t="shared" si="5"/>
        <v>1.3213125</v>
      </c>
      <c r="S44" s="11">
        <f t="shared" si="5"/>
        <v>3.2175</v>
      </c>
      <c r="T44" s="11">
        <f t="shared" si="5"/>
        <v>67.5</v>
      </c>
      <c r="U44" s="11">
        <f t="shared" si="5"/>
        <v>27</v>
      </c>
    </row>
    <row r="45" spans="1:21">
      <c r="A45" s="1">
        <f>'LISTA DE COMPRAS'!A38</f>
        <v>34</v>
      </c>
      <c r="B45" s="1">
        <f>'LISTA DE COMPRAS'!J38</f>
        <v>100</v>
      </c>
      <c r="C45" s="10">
        <f>'LISTA DE COMPRAS'!Q38</f>
        <v>0.00979166666666667</v>
      </c>
      <c r="E45" s="11">
        <f t="shared" si="4"/>
        <v>176.054166666667</v>
      </c>
      <c r="F45" s="11">
        <f t="shared" si="4"/>
        <v>2.1003125</v>
      </c>
      <c r="G45" s="11">
        <f t="shared" si="4"/>
        <v>4.79791666666667</v>
      </c>
      <c r="H45" s="11">
        <f t="shared" si="4"/>
        <v>15.1477083333333</v>
      </c>
      <c r="I45" s="11">
        <f t="shared" si="5"/>
        <v>0.47</v>
      </c>
      <c r="J45" s="11">
        <f t="shared" si="5"/>
        <v>1.19458333333333</v>
      </c>
      <c r="K45" s="11">
        <f t="shared" si="5"/>
        <v>10.5058708333333</v>
      </c>
      <c r="L45" s="11">
        <f t="shared" si="5"/>
        <v>7.5875625</v>
      </c>
      <c r="M45" s="11">
        <f t="shared" si="5"/>
        <v>0.291791666666667</v>
      </c>
      <c r="N45" s="11">
        <f t="shared" si="3"/>
        <v>14.0843333333333</v>
      </c>
      <c r="O45" s="11">
        <f t="shared" si="5"/>
        <v>0</v>
      </c>
      <c r="P45" s="11">
        <f t="shared" si="5"/>
        <v>7.41180208333333</v>
      </c>
      <c r="Q45" s="11">
        <f t="shared" si="5"/>
        <v>3.13656458333333</v>
      </c>
      <c r="R45" s="11">
        <f t="shared" si="5"/>
        <v>1.15003125</v>
      </c>
      <c r="S45" s="11">
        <f t="shared" si="5"/>
        <v>2.80041666666667</v>
      </c>
      <c r="T45" s="11">
        <f t="shared" si="5"/>
        <v>58.75</v>
      </c>
      <c r="U45" s="11">
        <f t="shared" si="5"/>
        <v>23.5</v>
      </c>
    </row>
    <row r="46" spans="1:21">
      <c r="A46" s="1">
        <f>'LISTA DE COMPRAS'!A39</f>
        <v>35</v>
      </c>
      <c r="B46" s="1">
        <f>'LISTA DE COMPRAS'!J39</f>
        <v>100</v>
      </c>
      <c r="C46" s="10">
        <f>'LISTA DE COMPRAS'!Q39</f>
        <v>0.019375</v>
      </c>
      <c r="E46" s="11">
        <f t="shared" si="4"/>
        <v>348.3625</v>
      </c>
      <c r="F46" s="11">
        <f t="shared" si="4"/>
        <v>4.1559375</v>
      </c>
      <c r="G46" s="11">
        <f t="shared" si="4"/>
        <v>9.49375</v>
      </c>
      <c r="H46" s="11">
        <f t="shared" si="4"/>
        <v>29.973125</v>
      </c>
      <c r="I46" s="11">
        <f t="shared" si="5"/>
        <v>0.93</v>
      </c>
      <c r="J46" s="11">
        <f t="shared" si="5"/>
        <v>2.36375</v>
      </c>
      <c r="K46" s="11">
        <f t="shared" si="5"/>
        <v>20.7882125</v>
      </c>
      <c r="L46" s="11">
        <f t="shared" si="5"/>
        <v>15.0136875</v>
      </c>
      <c r="M46" s="11">
        <f t="shared" si="5"/>
        <v>0.577375</v>
      </c>
      <c r="N46" s="11">
        <f t="shared" si="3"/>
        <v>27.869</v>
      </c>
      <c r="O46" s="11">
        <f t="shared" si="5"/>
        <v>0</v>
      </c>
      <c r="P46" s="11">
        <f t="shared" si="5"/>
        <v>14.66590625</v>
      </c>
      <c r="Q46" s="11">
        <f t="shared" si="5"/>
        <v>6.20639375</v>
      </c>
      <c r="R46" s="11">
        <f t="shared" si="5"/>
        <v>2.27559375</v>
      </c>
      <c r="S46" s="11">
        <f t="shared" si="5"/>
        <v>5.54125</v>
      </c>
      <c r="T46" s="11">
        <f t="shared" si="5"/>
        <v>116.25</v>
      </c>
      <c r="U46" s="11">
        <f t="shared" si="5"/>
        <v>46.5</v>
      </c>
    </row>
    <row r="47" spans="1:21">
      <c r="A47" s="1">
        <f>'LISTA DE COMPRAS'!A40</f>
        <v>36</v>
      </c>
      <c r="B47" s="1">
        <f>'LISTA DE COMPRAS'!J40</f>
        <v>0</v>
      </c>
      <c r="C47" s="10">
        <f>'LISTA DE COMPRAS'!Q40</f>
        <v>0</v>
      </c>
      <c r="E47" s="11">
        <f t="shared" si="4"/>
        <v>0</v>
      </c>
      <c r="F47" s="11">
        <f t="shared" si="4"/>
        <v>0</v>
      </c>
      <c r="G47" s="11">
        <f t="shared" si="4"/>
        <v>0</v>
      </c>
      <c r="H47" s="11">
        <f t="shared" si="4"/>
        <v>0</v>
      </c>
      <c r="I47" s="11">
        <f t="shared" si="5"/>
        <v>0</v>
      </c>
      <c r="J47" s="11">
        <f t="shared" si="5"/>
        <v>0</v>
      </c>
      <c r="K47" s="11">
        <f t="shared" si="5"/>
        <v>0</v>
      </c>
      <c r="L47" s="11">
        <f t="shared" si="5"/>
        <v>0</v>
      </c>
      <c r="M47" s="11">
        <f t="shared" si="5"/>
        <v>0</v>
      </c>
      <c r="N47" s="11">
        <f t="shared" si="3"/>
        <v>0</v>
      </c>
      <c r="O47" s="11">
        <f t="shared" si="5"/>
        <v>0</v>
      </c>
      <c r="P47" s="11">
        <f t="shared" si="5"/>
        <v>0</v>
      </c>
      <c r="Q47" s="11">
        <f t="shared" si="5"/>
        <v>0</v>
      </c>
      <c r="R47" s="11">
        <f t="shared" si="5"/>
        <v>0</v>
      </c>
      <c r="S47" s="11">
        <f t="shared" si="5"/>
        <v>0</v>
      </c>
      <c r="T47" s="11">
        <f t="shared" si="5"/>
        <v>0</v>
      </c>
      <c r="U47" s="11">
        <f t="shared" si="5"/>
        <v>0</v>
      </c>
    </row>
    <row r="48" spans="1:21">
      <c r="A48" s="1">
        <f>'LISTA DE COMPRAS'!A41</f>
        <v>37</v>
      </c>
      <c r="B48" s="1">
        <f>'LISTA DE COMPRAS'!J41</f>
        <v>100</v>
      </c>
      <c r="C48" s="10">
        <f>'LISTA DE COMPRAS'!Q41</f>
        <v>0.00916666666666667</v>
      </c>
      <c r="E48" s="11">
        <f t="shared" si="4"/>
        <v>164.816666666667</v>
      </c>
      <c r="F48" s="11">
        <f t="shared" si="4"/>
        <v>1.96625</v>
      </c>
      <c r="G48" s="11">
        <f t="shared" si="4"/>
        <v>4.49166666666667</v>
      </c>
      <c r="H48" s="11">
        <f t="shared" si="4"/>
        <v>14.1808333333333</v>
      </c>
      <c r="I48" s="11">
        <f t="shared" si="5"/>
        <v>0.44</v>
      </c>
      <c r="J48" s="11">
        <f t="shared" si="5"/>
        <v>1.11833333333333</v>
      </c>
      <c r="K48" s="11">
        <f t="shared" si="5"/>
        <v>9.83528333333333</v>
      </c>
      <c r="L48" s="11">
        <f t="shared" si="5"/>
        <v>7.10325</v>
      </c>
      <c r="M48" s="11">
        <f t="shared" si="5"/>
        <v>0.273166666666667</v>
      </c>
      <c r="N48" s="11">
        <f t="shared" si="3"/>
        <v>13.1853333333333</v>
      </c>
      <c r="O48" s="11">
        <f t="shared" si="5"/>
        <v>0</v>
      </c>
      <c r="P48" s="11">
        <f t="shared" si="5"/>
        <v>6.93870833333333</v>
      </c>
      <c r="Q48" s="11">
        <f t="shared" si="5"/>
        <v>2.93635833333333</v>
      </c>
      <c r="R48" s="11">
        <f t="shared" si="5"/>
        <v>1.076625</v>
      </c>
      <c r="S48" s="11">
        <f t="shared" si="5"/>
        <v>2.62166666666667</v>
      </c>
      <c r="T48" s="11">
        <f t="shared" si="5"/>
        <v>55</v>
      </c>
      <c r="U48" s="11">
        <f t="shared" si="5"/>
        <v>22</v>
      </c>
    </row>
    <row r="49" spans="1:21">
      <c r="A49" s="1">
        <f>'LISTA DE COMPRAS'!A42</f>
        <v>38</v>
      </c>
      <c r="B49" s="1">
        <f>'LISTA DE COMPRAS'!J42</f>
        <v>100</v>
      </c>
      <c r="C49" s="10">
        <f>'LISTA DE COMPRAS'!Q42</f>
        <v>0.028125</v>
      </c>
      <c r="E49" s="11">
        <f t="shared" si="4"/>
        <v>505.6875</v>
      </c>
      <c r="F49" s="11">
        <f t="shared" si="4"/>
        <v>6.0328125</v>
      </c>
      <c r="G49" s="11">
        <f t="shared" si="4"/>
        <v>13.78125</v>
      </c>
      <c r="H49" s="11">
        <f t="shared" si="4"/>
        <v>43.509375</v>
      </c>
      <c r="I49" s="11">
        <f t="shared" si="5"/>
        <v>1.35</v>
      </c>
      <c r="J49" s="11">
        <f t="shared" si="5"/>
        <v>3.43125</v>
      </c>
      <c r="K49" s="11">
        <f t="shared" ref="I49:U64" si="6">K$11*$C49</f>
        <v>30.1764375</v>
      </c>
      <c r="L49" s="11">
        <f t="shared" si="6"/>
        <v>21.7940625</v>
      </c>
      <c r="M49" s="11">
        <f t="shared" si="6"/>
        <v>0.838125</v>
      </c>
      <c r="N49" s="11">
        <f t="shared" si="3"/>
        <v>40.455</v>
      </c>
      <c r="O49" s="11">
        <f t="shared" si="6"/>
        <v>0</v>
      </c>
      <c r="P49" s="11">
        <f t="shared" si="6"/>
        <v>21.28921875</v>
      </c>
      <c r="Q49" s="11">
        <f t="shared" si="6"/>
        <v>9.00928125</v>
      </c>
      <c r="R49" s="11">
        <f t="shared" si="6"/>
        <v>3.30328125</v>
      </c>
      <c r="S49" s="11">
        <f t="shared" si="6"/>
        <v>8.04375</v>
      </c>
      <c r="T49" s="11">
        <f t="shared" si="6"/>
        <v>168.75</v>
      </c>
      <c r="U49" s="11">
        <f t="shared" si="6"/>
        <v>67.5</v>
      </c>
    </row>
    <row r="50" spans="1:21">
      <c r="A50" s="1">
        <f>'LISTA DE COMPRAS'!A43</f>
        <v>39</v>
      </c>
      <c r="B50" s="1">
        <f>'LISTA DE COMPRAS'!J43</f>
        <v>100</v>
      </c>
      <c r="C50" s="10">
        <f>'LISTA DE COMPRAS'!Q43</f>
        <v>0.0316666666666667</v>
      </c>
      <c r="E50" s="11">
        <f t="shared" si="4"/>
        <v>569.366666666667</v>
      </c>
      <c r="F50" s="11">
        <f t="shared" si="4"/>
        <v>6.7925</v>
      </c>
      <c r="G50" s="11">
        <f t="shared" si="4"/>
        <v>15.5166666666667</v>
      </c>
      <c r="H50" s="11">
        <f t="shared" si="4"/>
        <v>48.9883333333333</v>
      </c>
      <c r="I50" s="11">
        <f t="shared" si="6"/>
        <v>1.52</v>
      </c>
      <c r="J50" s="11">
        <f t="shared" si="6"/>
        <v>3.86333333333333</v>
      </c>
      <c r="K50" s="11">
        <f t="shared" si="6"/>
        <v>33.9764333333333</v>
      </c>
      <c r="L50" s="11">
        <f t="shared" si="6"/>
        <v>24.5385</v>
      </c>
      <c r="M50" s="11">
        <f t="shared" si="6"/>
        <v>0.943666666666667</v>
      </c>
      <c r="N50" s="11">
        <f t="shared" si="3"/>
        <v>45.5493333333333</v>
      </c>
      <c r="O50" s="11">
        <f t="shared" si="6"/>
        <v>0</v>
      </c>
      <c r="P50" s="11">
        <f t="shared" si="6"/>
        <v>23.9700833333333</v>
      </c>
      <c r="Q50" s="11">
        <f t="shared" si="6"/>
        <v>10.1437833333333</v>
      </c>
      <c r="R50" s="11">
        <f t="shared" si="6"/>
        <v>3.71925</v>
      </c>
      <c r="S50" s="11">
        <f t="shared" si="6"/>
        <v>9.05666666666666</v>
      </c>
      <c r="T50" s="11">
        <f t="shared" si="6"/>
        <v>190</v>
      </c>
      <c r="U50" s="11">
        <f t="shared" si="6"/>
        <v>76</v>
      </c>
    </row>
    <row r="51" spans="1:21">
      <c r="A51" s="1">
        <f>'LISTA DE COMPRAS'!A44</f>
        <v>40</v>
      </c>
      <c r="B51" s="1">
        <f>'LISTA DE COMPRAS'!J44</f>
        <v>100</v>
      </c>
      <c r="C51" s="10">
        <f>'LISTA DE COMPRAS'!Q44</f>
        <v>0.0239583333333333</v>
      </c>
      <c r="E51" s="11">
        <f t="shared" si="4"/>
        <v>430.770833333333</v>
      </c>
      <c r="F51" s="11">
        <f t="shared" si="4"/>
        <v>5.1390625</v>
      </c>
      <c r="G51" s="11">
        <f t="shared" si="4"/>
        <v>11.7395833333333</v>
      </c>
      <c r="H51" s="11">
        <f t="shared" si="4"/>
        <v>37.0635416666667</v>
      </c>
      <c r="I51" s="11">
        <f t="shared" si="6"/>
        <v>1.15</v>
      </c>
      <c r="J51" s="11">
        <f t="shared" si="6"/>
        <v>2.92291666666667</v>
      </c>
      <c r="K51" s="11">
        <f t="shared" si="6"/>
        <v>25.7058541666667</v>
      </c>
      <c r="L51" s="11">
        <f t="shared" si="6"/>
        <v>18.5653125</v>
      </c>
      <c r="M51" s="11">
        <f t="shared" si="6"/>
        <v>0.713958333333333</v>
      </c>
      <c r="N51" s="11">
        <f t="shared" si="3"/>
        <v>34.4616666666667</v>
      </c>
      <c r="O51" s="11">
        <f t="shared" si="6"/>
        <v>0</v>
      </c>
      <c r="P51" s="11">
        <f t="shared" si="6"/>
        <v>18.1352604166667</v>
      </c>
      <c r="Q51" s="11">
        <f t="shared" si="6"/>
        <v>7.67457291666667</v>
      </c>
      <c r="R51" s="11">
        <f t="shared" si="6"/>
        <v>2.81390625</v>
      </c>
      <c r="S51" s="11">
        <f t="shared" si="6"/>
        <v>6.85208333333333</v>
      </c>
      <c r="T51" s="11">
        <f t="shared" si="6"/>
        <v>143.75</v>
      </c>
      <c r="U51" s="11">
        <f t="shared" si="6"/>
        <v>57.5</v>
      </c>
    </row>
    <row r="52" spans="1:21">
      <c r="A52" s="1">
        <f>'LISTA DE COMPRAS'!A45</f>
        <v>41</v>
      </c>
      <c r="B52" s="1">
        <f>'LISTA DE COMPRAS'!J45</f>
        <v>100</v>
      </c>
      <c r="C52" s="10">
        <f>'LISTA DE COMPRAS'!Q45</f>
        <v>0.014375</v>
      </c>
      <c r="E52" s="11">
        <f t="shared" si="4"/>
        <v>258.4625</v>
      </c>
      <c r="F52" s="11">
        <f t="shared" si="4"/>
        <v>3.0834375</v>
      </c>
      <c r="G52" s="11">
        <f t="shared" si="4"/>
        <v>7.04375</v>
      </c>
      <c r="H52" s="11">
        <f t="shared" si="4"/>
        <v>22.238125</v>
      </c>
      <c r="I52" s="11">
        <f t="shared" si="6"/>
        <v>0.69</v>
      </c>
      <c r="J52" s="11">
        <f t="shared" si="6"/>
        <v>1.75375</v>
      </c>
      <c r="K52" s="11">
        <f t="shared" si="6"/>
        <v>15.4235125</v>
      </c>
      <c r="L52" s="11">
        <f t="shared" si="6"/>
        <v>11.1391875</v>
      </c>
      <c r="M52" s="11">
        <f t="shared" si="6"/>
        <v>0.428375</v>
      </c>
      <c r="N52" s="11">
        <f t="shared" si="3"/>
        <v>20.677</v>
      </c>
      <c r="O52" s="11">
        <f t="shared" si="6"/>
        <v>0</v>
      </c>
      <c r="P52" s="11">
        <f t="shared" si="6"/>
        <v>10.88115625</v>
      </c>
      <c r="Q52" s="11">
        <f t="shared" si="6"/>
        <v>4.60474375</v>
      </c>
      <c r="R52" s="11">
        <f t="shared" si="6"/>
        <v>1.68834375</v>
      </c>
      <c r="S52" s="11">
        <f t="shared" si="6"/>
        <v>4.11125</v>
      </c>
      <c r="T52" s="11">
        <f t="shared" si="6"/>
        <v>86.25</v>
      </c>
      <c r="U52" s="11">
        <f t="shared" si="6"/>
        <v>34.5</v>
      </c>
    </row>
    <row r="53" spans="1:21">
      <c r="A53" s="1">
        <f>'LISTA DE COMPRAS'!A46</f>
        <v>42</v>
      </c>
      <c r="B53" s="1">
        <f>'LISTA DE COMPRAS'!J46</f>
        <v>100</v>
      </c>
      <c r="C53" s="10">
        <f>'LISTA DE COMPRAS'!Q46</f>
        <v>0.0239583333333333</v>
      </c>
      <c r="E53" s="11">
        <f t="shared" si="4"/>
        <v>430.770833333333</v>
      </c>
      <c r="F53" s="11">
        <f t="shared" si="4"/>
        <v>5.1390625</v>
      </c>
      <c r="G53" s="11">
        <f t="shared" si="4"/>
        <v>11.7395833333333</v>
      </c>
      <c r="H53" s="11">
        <f t="shared" si="4"/>
        <v>37.0635416666667</v>
      </c>
      <c r="I53" s="11">
        <f t="shared" si="6"/>
        <v>1.15</v>
      </c>
      <c r="J53" s="11">
        <f t="shared" si="6"/>
        <v>2.92291666666667</v>
      </c>
      <c r="K53" s="11">
        <f t="shared" si="6"/>
        <v>25.7058541666667</v>
      </c>
      <c r="L53" s="11">
        <f t="shared" si="6"/>
        <v>18.5653125</v>
      </c>
      <c r="M53" s="11">
        <f t="shared" si="6"/>
        <v>0.713958333333333</v>
      </c>
      <c r="N53" s="11">
        <f t="shared" si="3"/>
        <v>34.4616666666667</v>
      </c>
      <c r="O53" s="11">
        <f t="shared" si="6"/>
        <v>0</v>
      </c>
      <c r="P53" s="11">
        <f t="shared" si="6"/>
        <v>18.1352604166667</v>
      </c>
      <c r="Q53" s="11">
        <f t="shared" si="6"/>
        <v>7.67457291666667</v>
      </c>
      <c r="R53" s="11">
        <f t="shared" si="6"/>
        <v>2.81390625</v>
      </c>
      <c r="S53" s="11">
        <f t="shared" si="6"/>
        <v>6.85208333333333</v>
      </c>
      <c r="T53" s="11">
        <f t="shared" si="6"/>
        <v>143.75</v>
      </c>
      <c r="U53" s="11">
        <f t="shared" si="6"/>
        <v>57.5</v>
      </c>
    </row>
    <row r="54" spans="1:21">
      <c r="A54" s="1">
        <f>'LISTA DE COMPRAS'!A47</f>
        <v>43</v>
      </c>
      <c r="B54" s="1">
        <f>'LISTA DE COMPRAS'!J47</f>
        <v>100</v>
      </c>
      <c r="C54" s="10">
        <f>'LISTA DE COMPRAS'!Q47</f>
        <v>0.040625</v>
      </c>
      <c r="E54" s="11">
        <f t="shared" si="4"/>
        <v>730.4375</v>
      </c>
      <c r="F54" s="11">
        <f t="shared" si="4"/>
        <v>8.7140625</v>
      </c>
      <c r="G54" s="11">
        <f t="shared" si="4"/>
        <v>19.90625</v>
      </c>
      <c r="H54" s="11">
        <f t="shared" si="4"/>
        <v>62.846875</v>
      </c>
      <c r="I54" s="11">
        <f t="shared" si="6"/>
        <v>1.95</v>
      </c>
      <c r="J54" s="11">
        <f t="shared" si="6"/>
        <v>4.95625</v>
      </c>
      <c r="K54" s="11">
        <f t="shared" si="6"/>
        <v>43.5881875</v>
      </c>
      <c r="L54" s="11">
        <f t="shared" si="6"/>
        <v>31.4803125</v>
      </c>
      <c r="M54" s="11">
        <f t="shared" si="6"/>
        <v>1.210625</v>
      </c>
      <c r="N54" s="11">
        <f t="shared" si="3"/>
        <v>58.435</v>
      </c>
      <c r="O54" s="11">
        <f t="shared" si="6"/>
        <v>0</v>
      </c>
      <c r="P54" s="11">
        <f t="shared" si="6"/>
        <v>30.75109375</v>
      </c>
      <c r="Q54" s="11">
        <f t="shared" si="6"/>
        <v>13.01340625</v>
      </c>
      <c r="R54" s="11">
        <f t="shared" si="6"/>
        <v>4.77140625</v>
      </c>
      <c r="S54" s="11">
        <f t="shared" si="6"/>
        <v>11.61875</v>
      </c>
      <c r="T54" s="11">
        <f t="shared" si="6"/>
        <v>243.75</v>
      </c>
      <c r="U54" s="11">
        <f t="shared" si="6"/>
        <v>97.5</v>
      </c>
    </row>
    <row r="55" spans="1:21">
      <c r="A55" s="1">
        <f>'LISTA DE COMPRAS'!A48</f>
        <v>44</v>
      </c>
      <c r="B55" s="1">
        <f>'LISTA DE COMPRAS'!J48</f>
        <v>100</v>
      </c>
      <c r="C55" s="10">
        <f>'LISTA DE COMPRAS'!Q48</f>
        <v>0.0158333333333333</v>
      </c>
      <c r="E55" s="11">
        <f t="shared" si="4"/>
        <v>284.683333333333</v>
      </c>
      <c r="F55" s="11">
        <f t="shared" si="4"/>
        <v>3.39625</v>
      </c>
      <c r="G55" s="11">
        <f t="shared" si="4"/>
        <v>7.75833333333333</v>
      </c>
      <c r="H55" s="11">
        <f t="shared" si="4"/>
        <v>24.4941666666667</v>
      </c>
      <c r="I55" s="11">
        <f t="shared" si="6"/>
        <v>0.76</v>
      </c>
      <c r="J55" s="11">
        <f t="shared" si="6"/>
        <v>1.93166666666667</v>
      </c>
      <c r="K55" s="11">
        <f t="shared" si="6"/>
        <v>16.9882166666667</v>
      </c>
      <c r="L55" s="11">
        <f t="shared" si="6"/>
        <v>12.26925</v>
      </c>
      <c r="M55" s="11">
        <f t="shared" si="6"/>
        <v>0.471833333333333</v>
      </c>
      <c r="N55" s="11">
        <f t="shared" si="3"/>
        <v>22.7746666666667</v>
      </c>
      <c r="O55" s="11">
        <f t="shared" si="6"/>
        <v>0</v>
      </c>
      <c r="P55" s="11">
        <f t="shared" si="6"/>
        <v>11.9850416666667</v>
      </c>
      <c r="Q55" s="11">
        <f t="shared" si="6"/>
        <v>5.07189166666667</v>
      </c>
      <c r="R55" s="11">
        <f t="shared" si="6"/>
        <v>1.859625</v>
      </c>
      <c r="S55" s="11">
        <f t="shared" si="6"/>
        <v>4.52833333333333</v>
      </c>
      <c r="T55" s="11">
        <f t="shared" si="6"/>
        <v>95</v>
      </c>
      <c r="U55" s="11">
        <f t="shared" si="6"/>
        <v>38</v>
      </c>
    </row>
    <row r="56" spans="1:21">
      <c r="A56" s="1">
        <f>'LISTA DE COMPRAS'!A49</f>
        <v>45</v>
      </c>
      <c r="B56" s="1">
        <f>'LISTA DE COMPRAS'!J49</f>
        <v>100</v>
      </c>
      <c r="C56" s="10">
        <f>'LISTA DE COMPRAS'!Q49</f>
        <v>0.0239583333333333</v>
      </c>
      <c r="E56" s="11">
        <f t="shared" si="4"/>
        <v>430.770833333333</v>
      </c>
      <c r="F56" s="11">
        <f t="shared" si="4"/>
        <v>5.1390625</v>
      </c>
      <c r="G56" s="11">
        <f t="shared" si="4"/>
        <v>11.7395833333333</v>
      </c>
      <c r="H56" s="11">
        <f t="shared" si="4"/>
        <v>37.0635416666667</v>
      </c>
      <c r="I56" s="11">
        <f t="shared" si="6"/>
        <v>1.15</v>
      </c>
      <c r="J56" s="11">
        <f t="shared" si="6"/>
        <v>2.92291666666667</v>
      </c>
      <c r="K56" s="11">
        <f t="shared" si="6"/>
        <v>25.7058541666667</v>
      </c>
      <c r="L56" s="11">
        <f t="shared" si="6"/>
        <v>18.5653125</v>
      </c>
      <c r="M56" s="11">
        <f t="shared" si="6"/>
        <v>0.713958333333333</v>
      </c>
      <c r="N56" s="11">
        <f t="shared" si="3"/>
        <v>34.4616666666667</v>
      </c>
      <c r="O56" s="11">
        <f t="shared" si="6"/>
        <v>0</v>
      </c>
      <c r="P56" s="11">
        <f t="shared" si="6"/>
        <v>18.1352604166667</v>
      </c>
      <c r="Q56" s="11">
        <f t="shared" si="6"/>
        <v>7.67457291666667</v>
      </c>
      <c r="R56" s="11">
        <f t="shared" si="6"/>
        <v>2.81390625</v>
      </c>
      <c r="S56" s="11">
        <f t="shared" si="6"/>
        <v>6.85208333333333</v>
      </c>
      <c r="T56" s="11">
        <f t="shared" si="6"/>
        <v>143.75</v>
      </c>
      <c r="U56" s="11">
        <f t="shared" si="6"/>
        <v>57.5</v>
      </c>
    </row>
    <row r="57" spans="1:21">
      <c r="A57" s="1">
        <f>'LISTA DE COMPRAS'!A50</f>
        <v>46</v>
      </c>
      <c r="B57" s="1">
        <f>'LISTA DE COMPRAS'!J50</f>
        <v>300</v>
      </c>
      <c r="C57" s="10">
        <f>'LISTA DE COMPRAS'!Q50</f>
        <v>0.0272916666666667</v>
      </c>
      <c r="E57" s="11">
        <f t="shared" si="4"/>
        <v>490.704166666667</v>
      </c>
      <c r="F57" s="11">
        <f t="shared" si="4"/>
        <v>5.8540625</v>
      </c>
      <c r="G57" s="11">
        <f t="shared" si="4"/>
        <v>13.3729166666667</v>
      </c>
      <c r="H57" s="11">
        <f t="shared" si="4"/>
        <v>42.2202083333333</v>
      </c>
      <c r="I57" s="11">
        <f t="shared" si="6"/>
        <v>1.31</v>
      </c>
      <c r="J57" s="11">
        <f t="shared" si="6"/>
        <v>3.32958333333333</v>
      </c>
      <c r="K57" s="11">
        <f t="shared" si="6"/>
        <v>29.2823208333333</v>
      </c>
      <c r="L57" s="11">
        <f t="shared" si="6"/>
        <v>21.1483125</v>
      </c>
      <c r="M57" s="11">
        <f t="shared" si="6"/>
        <v>0.813291666666667</v>
      </c>
      <c r="N57" s="11">
        <f t="shared" si="3"/>
        <v>39.2563333333333</v>
      </c>
      <c r="O57" s="11">
        <f t="shared" si="6"/>
        <v>0</v>
      </c>
      <c r="P57" s="11">
        <f t="shared" si="6"/>
        <v>20.6584270833333</v>
      </c>
      <c r="Q57" s="11">
        <f t="shared" si="6"/>
        <v>8.74233958333333</v>
      </c>
      <c r="R57" s="11">
        <f t="shared" si="6"/>
        <v>3.20540625</v>
      </c>
      <c r="S57" s="11">
        <f t="shared" si="6"/>
        <v>7.80541666666667</v>
      </c>
      <c r="T57" s="11">
        <f t="shared" si="6"/>
        <v>163.75</v>
      </c>
      <c r="U57" s="11">
        <f t="shared" si="6"/>
        <v>65.5</v>
      </c>
    </row>
    <row r="58" spans="1:21">
      <c r="A58" s="1">
        <f>'LISTA DE COMPRAS'!A51</f>
        <v>47</v>
      </c>
      <c r="B58" s="1">
        <f>'LISTA DE COMPRAS'!J51</f>
        <v>100</v>
      </c>
      <c r="C58" s="10">
        <f>'LISTA DE COMPRAS'!Q51</f>
        <v>0.0239583333333333</v>
      </c>
      <c r="E58" s="11">
        <f t="shared" si="4"/>
        <v>430.770833333333</v>
      </c>
      <c r="F58" s="11">
        <f t="shared" si="4"/>
        <v>5.1390625</v>
      </c>
      <c r="G58" s="11">
        <f t="shared" si="4"/>
        <v>11.7395833333333</v>
      </c>
      <c r="H58" s="11">
        <f t="shared" si="4"/>
        <v>37.0635416666667</v>
      </c>
      <c r="I58" s="11">
        <f t="shared" si="6"/>
        <v>1.15</v>
      </c>
      <c r="J58" s="11">
        <f t="shared" si="6"/>
        <v>2.92291666666667</v>
      </c>
      <c r="K58" s="11">
        <f t="shared" si="6"/>
        <v>25.7058541666667</v>
      </c>
      <c r="L58" s="11">
        <f t="shared" si="6"/>
        <v>18.5653125</v>
      </c>
      <c r="M58" s="11">
        <f t="shared" si="6"/>
        <v>0.713958333333333</v>
      </c>
      <c r="N58" s="11">
        <f t="shared" si="3"/>
        <v>34.4616666666667</v>
      </c>
      <c r="O58" s="11">
        <f t="shared" si="6"/>
        <v>0</v>
      </c>
      <c r="P58" s="11">
        <f t="shared" si="6"/>
        <v>18.1352604166667</v>
      </c>
      <c r="Q58" s="11">
        <f t="shared" si="6"/>
        <v>7.67457291666667</v>
      </c>
      <c r="R58" s="11">
        <f t="shared" si="6"/>
        <v>2.81390625</v>
      </c>
      <c r="S58" s="11">
        <f t="shared" si="6"/>
        <v>6.85208333333333</v>
      </c>
      <c r="T58" s="11">
        <f t="shared" si="6"/>
        <v>143.75</v>
      </c>
      <c r="U58" s="11">
        <f t="shared" si="6"/>
        <v>57.5</v>
      </c>
    </row>
    <row r="59" spans="1:21">
      <c r="A59" s="1">
        <f>'LISTA DE COMPRAS'!A52</f>
        <v>48</v>
      </c>
      <c r="B59" s="1">
        <f>'LISTA DE COMPRAS'!J52</f>
        <v>100</v>
      </c>
      <c r="C59" s="10">
        <f>'LISTA DE COMPRAS'!Q52</f>
        <v>0.00916666666666667</v>
      </c>
      <c r="E59" s="11">
        <f t="shared" si="4"/>
        <v>164.816666666667</v>
      </c>
      <c r="F59" s="11">
        <f t="shared" si="4"/>
        <v>1.96625</v>
      </c>
      <c r="G59" s="11">
        <f t="shared" si="4"/>
        <v>4.49166666666667</v>
      </c>
      <c r="H59" s="11">
        <f t="shared" si="4"/>
        <v>14.1808333333333</v>
      </c>
      <c r="I59" s="11">
        <f t="shared" si="6"/>
        <v>0.44</v>
      </c>
      <c r="J59" s="11">
        <f t="shared" si="6"/>
        <v>1.11833333333333</v>
      </c>
      <c r="K59" s="11">
        <f t="shared" si="6"/>
        <v>9.83528333333333</v>
      </c>
      <c r="L59" s="11">
        <f t="shared" si="6"/>
        <v>7.10325</v>
      </c>
      <c r="M59" s="11">
        <f t="shared" si="6"/>
        <v>0.273166666666667</v>
      </c>
      <c r="N59" s="11">
        <f t="shared" si="3"/>
        <v>13.1853333333333</v>
      </c>
      <c r="O59" s="11">
        <f t="shared" si="6"/>
        <v>0</v>
      </c>
      <c r="P59" s="11">
        <f t="shared" si="6"/>
        <v>6.93870833333333</v>
      </c>
      <c r="Q59" s="11">
        <f t="shared" si="6"/>
        <v>2.93635833333333</v>
      </c>
      <c r="R59" s="11">
        <f t="shared" si="6"/>
        <v>1.076625</v>
      </c>
      <c r="S59" s="11">
        <f t="shared" si="6"/>
        <v>2.62166666666667</v>
      </c>
      <c r="T59" s="11">
        <f t="shared" si="6"/>
        <v>55</v>
      </c>
      <c r="U59" s="11">
        <f t="shared" si="6"/>
        <v>22</v>
      </c>
    </row>
    <row r="60" spans="1:21">
      <c r="A60" s="1">
        <f>'LISTA DE COMPRAS'!A53</f>
        <v>49</v>
      </c>
      <c r="B60" s="1">
        <f>'LISTA DE COMPRAS'!J53</f>
        <v>0</v>
      </c>
      <c r="C60" s="10">
        <f>'LISTA DE COMPRAS'!Q53</f>
        <v>0</v>
      </c>
      <c r="E60" s="11">
        <f t="shared" si="4"/>
        <v>0</v>
      </c>
      <c r="F60" s="11">
        <f t="shared" si="4"/>
        <v>0</v>
      </c>
      <c r="G60" s="11">
        <f t="shared" si="4"/>
        <v>0</v>
      </c>
      <c r="H60" s="11">
        <f t="shared" si="4"/>
        <v>0</v>
      </c>
      <c r="I60" s="11">
        <f t="shared" si="6"/>
        <v>0</v>
      </c>
      <c r="J60" s="11">
        <f t="shared" si="6"/>
        <v>0</v>
      </c>
      <c r="K60" s="11">
        <f t="shared" si="6"/>
        <v>0</v>
      </c>
      <c r="L60" s="11">
        <f t="shared" si="6"/>
        <v>0</v>
      </c>
      <c r="M60" s="11">
        <f t="shared" si="6"/>
        <v>0</v>
      </c>
      <c r="N60" s="11">
        <f t="shared" si="3"/>
        <v>0</v>
      </c>
      <c r="O60" s="11">
        <f t="shared" si="6"/>
        <v>0</v>
      </c>
      <c r="P60" s="11">
        <f t="shared" si="6"/>
        <v>0</v>
      </c>
      <c r="Q60" s="11">
        <f t="shared" si="6"/>
        <v>0</v>
      </c>
      <c r="R60" s="11">
        <f t="shared" si="6"/>
        <v>0</v>
      </c>
      <c r="S60" s="11">
        <f t="shared" si="6"/>
        <v>0</v>
      </c>
      <c r="T60" s="11">
        <f t="shared" si="6"/>
        <v>0</v>
      </c>
      <c r="U60" s="11">
        <f t="shared" si="6"/>
        <v>0</v>
      </c>
    </row>
    <row r="61" spans="1:21">
      <c r="A61" s="1">
        <f>'LISTA DE COMPRAS'!A54</f>
        <v>50</v>
      </c>
      <c r="B61" s="1">
        <f>'LISTA DE COMPRAS'!J54</f>
        <v>100</v>
      </c>
      <c r="C61" s="10">
        <f>'LISTA DE COMPRAS'!Q54</f>
        <v>0.0129166666666667</v>
      </c>
      <c r="E61" s="11">
        <f t="shared" si="4"/>
        <v>232.241666666667</v>
      </c>
      <c r="F61" s="11">
        <f t="shared" si="4"/>
        <v>2.770625</v>
      </c>
      <c r="G61" s="11">
        <f t="shared" si="4"/>
        <v>6.32916666666667</v>
      </c>
      <c r="H61" s="11">
        <f t="shared" si="4"/>
        <v>19.9820833333333</v>
      </c>
      <c r="I61" s="11">
        <f t="shared" si="6"/>
        <v>0.62</v>
      </c>
      <c r="J61" s="11">
        <f t="shared" si="6"/>
        <v>1.57583333333333</v>
      </c>
      <c r="K61" s="11">
        <f t="shared" si="6"/>
        <v>13.8588083333333</v>
      </c>
      <c r="L61" s="11">
        <f t="shared" si="6"/>
        <v>10.009125</v>
      </c>
      <c r="M61" s="11">
        <f t="shared" si="6"/>
        <v>0.384916666666667</v>
      </c>
      <c r="N61" s="11">
        <f t="shared" si="3"/>
        <v>18.5793333333333</v>
      </c>
      <c r="O61" s="11">
        <f t="shared" si="6"/>
        <v>0</v>
      </c>
      <c r="P61" s="11">
        <f t="shared" si="6"/>
        <v>9.77727083333333</v>
      </c>
      <c r="Q61" s="11">
        <f t="shared" si="6"/>
        <v>4.13759583333333</v>
      </c>
      <c r="R61" s="11">
        <f t="shared" si="6"/>
        <v>1.5170625</v>
      </c>
      <c r="S61" s="11">
        <f t="shared" si="6"/>
        <v>3.69416666666667</v>
      </c>
      <c r="T61" s="11">
        <f t="shared" si="6"/>
        <v>77.5</v>
      </c>
      <c r="U61" s="11">
        <f t="shared" si="6"/>
        <v>31</v>
      </c>
    </row>
    <row r="62" spans="1:21">
      <c r="A62" s="1">
        <f>'LISTA DE COMPRAS'!A55</f>
        <v>51</v>
      </c>
      <c r="B62" s="1">
        <f>'LISTA DE COMPRAS'!J55</f>
        <v>100</v>
      </c>
      <c r="C62" s="10">
        <f>'LISTA DE COMPRAS'!Q55</f>
        <v>0.0370833333333333</v>
      </c>
      <c r="E62" s="11">
        <f t="shared" ref="E62:H65" si="7">E$11*$C62</f>
        <v>666.758333333333</v>
      </c>
      <c r="F62" s="11">
        <f t="shared" si="7"/>
        <v>7.954375</v>
      </c>
      <c r="G62" s="11">
        <f t="shared" si="7"/>
        <v>18.1708333333333</v>
      </c>
      <c r="H62" s="11">
        <f t="shared" si="7"/>
        <v>57.3679166666667</v>
      </c>
      <c r="I62" s="11">
        <f t="shared" si="6"/>
        <v>1.78</v>
      </c>
      <c r="J62" s="11">
        <f t="shared" si="6"/>
        <v>4.52416666666667</v>
      </c>
      <c r="K62" s="11">
        <f t="shared" si="6"/>
        <v>39.7881916666667</v>
      </c>
      <c r="L62" s="11">
        <f t="shared" si="6"/>
        <v>28.735875</v>
      </c>
      <c r="M62" s="11">
        <f t="shared" si="6"/>
        <v>1.10508333333333</v>
      </c>
      <c r="N62" s="11">
        <f t="shared" si="3"/>
        <v>53.3406666666667</v>
      </c>
      <c r="O62" s="11">
        <f t="shared" si="6"/>
        <v>0</v>
      </c>
      <c r="P62" s="11">
        <f t="shared" si="6"/>
        <v>28.0702291666667</v>
      </c>
      <c r="Q62" s="11">
        <f t="shared" si="6"/>
        <v>11.8789041666667</v>
      </c>
      <c r="R62" s="11">
        <f t="shared" si="6"/>
        <v>4.3554375</v>
      </c>
      <c r="S62" s="11">
        <f t="shared" si="6"/>
        <v>10.6058333333333</v>
      </c>
      <c r="T62" s="11">
        <f t="shared" si="6"/>
        <v>222.5</v>
      </c>
      <c r="U62" s="11">
        <f t="shared" si="6"/>
        <v>89</v>
      </c>
    </row>
    <row r="63" spans="1:21">
      <c r="A63" s="1">
        <f>'LISTA DE COMPRAS'!A56</f>
        <v>52</v>
      </c>
      <c r="B63" s="1">
        <f>'LISTA DE COMPRAS'!J56</f>
        <v>100</v>
      </c>
      <c r="C63" s="10">
        <f>'LISTA DE COMPRAS'!Q56</f>
        <v>0.02125</v>
      </c>
      <c r="E63" s="11">
        <f t="shared" si="7"/>
        <v>382.075</v>
      </c>
      <c r="F63" s="11">
        <f t="shared" si="7"/>
        <v>4.558125</v>
      </c>
      <c r="G63" s="11">
        <f t="shared" si="7"/>
        <v>10.4125</v>
      </c>
      <c r="H63" s="11">
        <f t="shared" si="7"/>
        <v>32.87375</v>
      </c>
      <c r="I63" s="11">
        <f t="shared" si="6"/>
        <v>1.02</v>
      </c>
      <c r="J63" s="11">
        <f t="shared" si="6"/>
        <v>2.5925</v>
      </c>
      <c r="K63" s="11">
        <f t="shared" si="6"/>
        <v>22.799975</v>
      </c>
      <c r="L63" s="11">
        <f t="shared" si="6"/>
        <v>16.466625</v>
      </c>
      <c r="M63" s="11">
        <f t="shared" si="6"/>
        <v>0.63325</v>
      </c>
      <c r="N63" s="11">
        <f t="shared" ref="N63:N65" si="8">$N$11*E63</f>
        <v>30.566</v>
      </c>
      <c r="O63" s="11">
        <f t="shared" si="6"/>
        <v>0</v>
      </c>
      <c r="P63" s="11">
        <f t="shared" si="6"/>
        <v>16.0851875</v>
      </c>
      <c r="Q63" s="11">
        <f t="shared" si="6"/>
        <v>6.8070125</v>
      </c>
      <c r="R63" s="11">
        <f t="shared" si="6"/>
        <v>2.4958125</v>
      </c>
      <c r="S63" s="11">
        <f t="shared" si="6"/>
        <v>6.0775</v>
      </c>
      <c r="T63" s="11">
        <f t="shared" si="6"/>
        <v>127.5</v>
      </c>
      <c r="U63" s="11">
        <f t="shared" si="6"/>
        <v>51</v>
      </c>
    </row>
    <row r="64" spans="1:21">
      <c r="A64" s="1">
        <f>'LISTA DE COMPRAS'!A57</f>
        <v>53</v>
      </c>
      <c r="B64" s="1">
        <f>'LISTA DE COMPRAS'!J57</f>
        <v>100</v>
      </c>
      <c r="C64" s="10">
        <f>'LISTA DE COMPRAS'!Q57</f>
        <v>0.0370833333333333</v>
      </c>
      <c r="E64" s="11">
        <f t="shared" si="7"/>
        <v>666.758333333333</v>
      </c>
      <c r="F64" s="11">
        <f t="shared" si="7"/>
        <v>7.954375</v>
      </c>
      <c r="G64" s="11">
        <f t="shared" si="7"/>
        <v>18.1708333333333</v>
      </c>
      <c r="H64" s="11">
        <f t="shared" si="7"/>
        <v>57.3679166666667</v>
      </c>
      <c r="I64" s="11">
        <f t="shared" si="6"/>
        <v>1.78</v>
      </c>
      <c r="J64" s="11">
        <f t="shared" si="6"/>
        <v>4.52416666666667</v>
      </c>
      <c r="K64" s="11">
        <f t="shared" si="6"/>
        <v>39.7881916666667</v>
      </c>
      <c r="L64" s="11">
        <f t="shared" si="6"/>
        <v>28.735875</v>
      </c>
      <c r="M64" s="11">
        <f t="shared" si="6"/>
        <v>1.10508333333333</v>
      </c>
      <c r="N64" s="11">
        <f t="shared" si="8"/>
        <v>53.3406666666667</v>
      </c>
      <c r="O64" s="11">
        <f t="shared" si="6"/>
        <v>0</v>
      </c>
      <c r="P64" s="11">
        <f t="shared" si="6"/>
        <v>28.0702291666667</v>
      </c>
      <c r="Q64" s="11">
        <f t="shared" si="6"/>
        <v>11.8789041666667</v>
      </c>
      <c r="R64" s="11">
        <f t="shared" si="6"/>
        <v>4.3554375</v>
      </c>
      <c r="S64" s="11">
        <f t="shared" si="6"/>
        <v>10.6058333333333</v>
      </c>
      <c r="T64" s="11">
        <f t="shared" si="6"/>
        <v>222.5</v>
      </c>
      <c r="U64" s="11">
        <f t="shared" si="6"/>
        <v>89</v>
      </c>
    </row>
    <row r="65" spans="1:21">
      <c r="A65" s="1">
        <f>'LISTA DE COMPRAS'!A58</f>
        <v>0</v>
      </c>
      <c r="B65" s="1">
        <f>'LISTA DE COMPRAS'!J58</f>
        <v>0</v>
      </c>
      <c r="C65" s="10">
        <f>'LISTA DE COMPRAS'!P58</f>
        <v>0</v>
      </c>
      <c r="E65" s="11">
        <f t="shared" si="7"/>
        <v>0</v>
      </c>
      <c r="F65" s="11">
        <f t="shared" si="7"/>
        <v>0</v>
      </c>
      <c r="G65" s="11">
        <f t="shared" si="7"/>
        <v>0</v>
      </c>
      <c r="H65" s="11">
        <f t="shared" si="7"/>
        <v>0</v>
      </c>
      <c r="I65" s="11">
        <f t="shared" ref="I65:U65" si="9">I$11*$C65</f>
        <v>0</v>
      </c>
      <c r="J65" s="11">
        <f t="shared" si="9"/>
        <v>0</v>
      </c>
      <c r="K65" s="11">
        <f t="shared" si="9"/>
        <v>0</v>
      </c>
      <c r="L65" s="11">
        <f t="shared" si="9"/>
        <v>0</v>
      </c>
      <c r="M65" s="11">
        <f t="shared" si="9"/>
        <v>0</v>
      </c>
      <c r="N65" s="11">
        <f t="shared" si="8"/>
        <v>0</v>
      </c>
      <c r="O65" s="11">
        <f t="shared" si="9"/>
        <v>0</v>
      </c>
      <c r="P65" s="11">
        <f t="shared" si="9"/>
        <v>0</v>
      </c>
      <c r="Q65" s="11">
        <f t="shared" si="9"/>
        <v>0</v>
      </c>
      <c r="R65" s="11">
        <f t="shared" si="9"/>
        <v>0</v>
      </c>
      <c r="S65" s="11">
        <f t="shared" si="9"/>
        <v>0</v>
      </c>
      <c r="T65" s="11">
        <f t="shared" si="9"/>
        <v>0</v>
      </c>
      <c r="U65" s="11">
        <f t="shared" si="9"/>
        <v>0</v>
      </c>
    </row>
    <row r="66" spans="1:21">
      <c r="N66" s="11">
        <f>SUM(N12:N65)</f>
        <v>1438.4</v>
      </c>
    </row>
  </sheetData>
  <autoFilter xmlns:etc="http://www.wps.cn/officeDocument/2017/etCustomData" ref="A10:V66" etc:filterBottomFollowUsedRange="0">
    <extLst/>
  </autoFilter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3B39A7F-7243-4ECC-8080-2D6AF6630233}">
  <ds:schemaRefs/>
</ds:datastoreItem>
</file>

<file path=customXml/itemProps2.xml><?xml version="1.0" encoding="utf-8"?>
<ds:datastoreItem xmlns:ds="http://schemas.openxmlformats.org/officeDocument/2006/customXml" ds:itemID="{D041F5FF-EE68-4068-BD7D-DCE5A4344D8B}">
  <ds:schemaRefs/>
</ds:datastoreItem>
</file>

<file path=customXml/itemProps3.xml><?xml version="1.0" encoding="utf-8"?>
<ds:datastoreItem xmlns:ds="http://schemas.openxmlformats.org/officeDocument/2006/customXml" ds:itemID="{27ACC087-B854-4AB5-A8C7-841F2D11F11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Resumo 100%</vt:lpstr>
      <vt:lpstr>LISTA DE COMPRAS</vt:lpstr>
      <vt:lpstr>Est. Cust. Naci.</vt:lpstr>
      <vt:lpstr>Rateio Custos Fixos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Nassif</dc:creator>
  <cp:lastModifiedBy>Paulo Takeda</cp:lastModifiedBy>
  <dcterms:created xsi:type="dcterms:W3CDTF">2023-06-07T20:41:00Z</dcterms:created>
  <cp:lastPrinted>2026-03-11T18:07:00Z</cp:lastPrinted>
  <dcterms:modified xsi:type="dcterms:W3CDTF">2026-04-17T18:51:49Z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0x010100640AEF83AE2E4C43860508BD3F45EFF1</vt:lpwstr>
  </property>
  <property fmtid="{D5CDD505-2E9C-101B-9397-08002B2CF9AE}" pid="3" name="MediaServiceImageTags">
    <vt:lpwstr/>
  </property>
  <property fmtid="{D5CDD505-2E9C-101B-9397-08002B2CF9AE}" pid="4" name="ICV">
    <vt:lpwstr>E5C41C7F48A641ABB95171A8D82940E0_12</vt:lpwstr>
  </property>
  <property fmtid="{D5CDD505-2E9C-101B-9397-08002B2CF9AE}" pid="5" name="KSOProductBuildVer">
    <vt:lpwstr>1046-12.1.0.25242</vt:lpwstr>
  </property>
  <property fmtid="{D5CDD505-2E9C-101B-9397-08002B2CF9AE}" pid="6" name="CalculationRule">
    <vt:i4>0</vt:i4>
  </property>
</Properties>
</file>