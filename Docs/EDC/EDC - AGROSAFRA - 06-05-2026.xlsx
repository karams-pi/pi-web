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Wise\Downloads\"/>
    </mc:Choice>
  </mc:AlternateContent>
  <xr:revisionPtr revIDLastSave="0" documentId="13_ncr:1_{50A72C49-6AF5-42DD-B2F7-5DFC4C9E66EC}" xr6:coauthVersionLast="47" xr6:coauthVersionMax="47" xr10:uidLastSave="{00000000-0000-0000-0000-000000000000}"/>
  <bookViews>
    <workbookView xWindow="-120" yWindow="-120" windowWidth="20730" windowHeight="11160" activeTab="1" xr2:uid="{0BB83204-0EE9-47D4-952E-D1C8855D8B54}"/>
  </bookViews>
  <sheets>
    <sheet name="Resumo 100%" sheetId="10" r:id="rId1"/>
    <sheet name="LISTA DE COMPRAS" sheetId="4" r:id="rId2"/>
    <sheet name="Est. Cust. Naci." sheetId="9" r:id="rId3"/>
    <sheet name="Rateio Custos Fixos" sheetId="5" r:id="rId4"/>
  </sheets>
  <externalReferences>
    <externalReference r:id="rId5"/>
    <externalReference r:id="rId6"/>
  </externalReferences>
  <definedNames>
    <definedName name="_xlnm._FilterDatabase" localSheetId="2" hidden="1">'Est. Cust. Naci.'!$A$4:$AP$6</definedName>
    <definedName name="_xlnm._FilterDatabase" localSheetId="3" hidden="1">'Rateio Custos Fixos'!$A$10:$W$14</definedName>
    <definedName name="_xlnm._FilterDatabase" localSheetId="0" hidden="1">'Resumo 100%'!$B$5:$G$50</definedName>
    <definedName name="_xlnm.Print_Area" localSheetId="0">'Resumo 100%'!$B$1:$H$57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0" l="1"/>
  <c r="G45" i="10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G6" i="9"/>
  <c r="M8" i="4"/>
  <c r="T5" i="9"/>
  <c r="U5" i="9"/>
  <c r="V5" i="9"/>
  <c r="S5" i="9"/>
  <c r="R5" i="9"/>
  <c r="C27" i="10"/>
  <c r="C26" i="10"/>
  <c r="R11" i="5"/>
  <c r="P11" i="5"/>
  <c r="L11" i="5"/>
  <c r="H11" i="5"/>
  <c r="A65" i="5"/>
  <c r="B65" i="5"/>
  <c r="C65" i="5"/>
  <c r="F65" i="5" s="1"/>
  <c r="A62" i="5"/>
  <c r="B62" i="5"/>
  <c r="A63" i="5"/>
  <c r="B63" i="5"/>
  <c r="A64" i="5"/>
  <c r="B64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C7" i="9"/>
  <c r="H7" i="9"/>
  <c r="J7" i="9"/>
  <c r="AX7" i="9" s="1"/>
  <c r="C8" i="9"/>
  <c r="H8" i="9"/>
  <c r="J8" i="9"/>
  <c r="AX8" i="9" s="1"/>
  <c r="C9" i="9"/>
  <c r="H9" i="9"/>
  <c r="J9" i="9"/>
  <c r="C10" i="9"/>
  <c r="H10" i="9"/>
  <c r="J10" i="9"/>
  <c r="AX10" i="9" s="1"/>
  <c r="C11" i="9"/>
  <c r="H11" i="9"/>
  <c r="J11" i="9"/>
  <c r="C12" i="9"/>
  <c r="H12" i="9"/>
  <c r="J12" i="9"/>
  <c r="AX12" i="9" s="1"/>
  <c r="C13" i="9"/>
  <c r="H13" i="9"/>
  <c r="J13" i="9"/>
  <c r="C14" i="9"/>
  <c r="H14" i="9"/>
  <c r="J14" i="9"/>
  <c r="AX14" i="9" s="1"/>
  <c r="C15" i="9"/>
  <c r="H15" i="9"/>
  <c r="J15" i="9"/>
  <c r="AX15" i="9" s="1"/>
  <c r="C16" i="9"/>
  <c r="H16" i="9"/>
  <c r="J16" i="9"/>
  <c r="AX16" i="9" s="1"/>
  <c r="C17" i="9"/>
  <c r="H17" i="9"/>
  <c r="J17" i="9"/>
  <c r="C18" i="9"/>
  <c r="H18" i="9"/>
  <c r="J18" i="9"/>
  <c r="AX18" i="9" s="1"/>
  <c r="C19" i="9"/>
  <c r="H19" i="9"/>
  <c r="J19" i="9"/>
  <c r="K19" i="9" s="1"/>
  <c r="C20" i="9"/>
  <c r="H20" i="9"/>
  <c r="J20" i="9"/>
  <c r="AX20" i="9" s="1"/>
  <c r="C21" i="9"/>
  <c r="H21" i="9"/>
  <c r="J21" i="9"/>
  <c r="K21" i="9" s="1"/>
  <c r="C22" i="9"/>
  <c r="H22" i="9"/>
  <c r="J22" i="9"/>
  <c r="AX22" i="9" s="1"/>
  <c r="C23" i="9"/>
  <c r="H23" i="9"/>
  <c r="J23" i="9"/>
  <c r="AX23" i="9" s="1"/>
  <c r="C24" i="9"/>
  <c r="H24" i="9"/>
  <c r="J24" i="9"/>
  <c r="AX24" i="9" s="1"/>
  <c r="C25" i="9"/>
  <c r="H25" i="9"/>
  <c r="J25" i="9"/>
  <c r="K25" i="9" s="1"/>
  <c r="C26" i="9"/>
  <c r="H26" i="9"/>
  <c r="J26" i="9"/>
  <c r="AX26" i="9" s="1"/>
  <c r="C27" i="9"/>
  <c r="H27" i="9"/>
  <c r="J27" i="9"/>
  <c r="C28" i="9"/>
  <c r="H28" i="9"/>
  <c r="J28" i="9"/>
  <c r="AX28" i="9" s="1"/>
  <c r="C29" i="9"/>
  <c r="H29" i="9"/>
  <c r="J29" i="9"/>
  <c r="AX29" i="9" s="1"/>
  <c r="C30" i="9"/>
  <c r="G30" i="9"/>
  <c r="H30" i="9"/>
  <c r="J30" i="9"/>
  <c r="AX30" i="9" s="1"/>
  <c r="C31" i="9"/>
  <c r="G31" i="9"/>
  <c r="H31" i="9"/>
  <c r="J31" i="9"/>
  <c r="AX31" i="9" s="1"/>
  <c r="C32" i="9"/>
  <c r="G32" i="9"/>
  <c r="H32" i="9"/>
  <c r="J32" i="9"/>
  <c r="AX32" i="9" s="1"/>
  <c r="C33" i="9"/>
  <c r="G33" i="9"/>
  <c r="H33" i="9"/>
  <c r="J33" i="9"/>
  <c r="AX33" i="9" s="1"/>
  <c r="C34" i="9"/>
  <c r="G34" i="9"/>
  <c r="H34" i="9"/>
  <c r="J34" i="9"/>
  <c r="AX34" i="9" s="1"/>
  <c r="C35" i="9"/>
  <c r="G35" i="9"/>
  <c r="H35" i="9"/>
  <c r="J35" i="9"/>
  <c r="AX35" i="9" s="1"/>
  <c r="C36" i="9"/>
  <c r="G36" i="9"/>
  <c r="H36" i="9"/>
  <c r="J36" i="9"/>
  <c r="AX36" i="9" s="1"/>
  <c r="C37" i="9"/>
  <c r="G37" i="9"/>
  <c r="H37" i="9"/>
  <c r="J37" i="9"/>
  <c r="AX37" i="9" s="1"/>
  <c r="C38" i="9"/>
  <c r="G38" i="9"/>
  <c r="H38" i="9"/>
  <c r="J38" i="9"/>
  <c r="AX38" i="9" s="1"/>
  <c r="C39" i="9"/>
  <c r="G39" i="9"/>
  <c r="H39" i="9"/>
  <c r="J39" i="9"/>
  <c r="AX39" i="9" s="1"/>
  <c r="C40" i="9"/>
  <c r="G40" i="9"/>
  <c r="H40" i="9"/>
  <c r="J40" i="9"/>
  <c r="AX40" i="9" s="1"/>
  <c r="C41" i="9"/>
  <c r="G41" i="9"/>
  <c r="H41" i="9"/>
  <c r="J41" i="9"/>
  <c r="AX41" i="9" s="1"/>
  <c r="C42" i="9"/>
  <c r="G42" i="9"/>
  <c r="H42" i="9"/>
  <c r="J42" i="9"/>
  <c r="AX42" i="9" s="1"/>
  <c r="C43" i="9"/>
  <c r="G43" i="9"/>
  <c r="H43" i="9"/>
  <c r="J43" i="9"/>
  <c r="AX43" i="9" s="1"/>
  <c r="C44" i="9"/>
  <c r="G44" i="9"/>
  <c r="H44" i="9"/>
  <c r="J44" i="9"/>
  <c r="AX44" i="9" s="1"/>
  <c r="C45" i="9"/>
  <c r="G45" i="9"/>
  <c r="H45" i="9"/>
  <c r="J45" i="9"/>
  <c r="AX45" i="9" s="1"/>
  <c r="C46" i="9"/>
  <c r="G46" i="9"/>
  <c r="H46" i="9"/>
  <c r="J46" i="9"/>
  <c r="AX46" i="9" s="1"/>
  <c r="C47" i="9"/>
  <c r="G47" i="9"/>
  <c r="H47" i="9"/>
  <c r="J47" i="9"/>
  <c r="AX47" i="9" s="1"/>
  <c r="C48" i="9"/>
  <c r="G48" i="9"/>
  <c r="H48" i="9"/>
  <c r="J48" i="9"/>
  <c r="AX48" i="9" s="1"/>
  <c r="C49" i="9"/>
  <c r="G49" i="9"/>
  <c r="H49" i="9"/>
  <c r="J49" i="9"/>
  <c r="AX49" i="9" s="1"/>
  <c r="C50" i="9"/>
  <c r="G50" i="9"/>
  <c r="H50" i="9"/>
  <c r="J50" i="9"/>
  <c r="AX50" i="9" s="1"/>
  <c r="C51" i="9"/>
  <c r="G51" i="9"/>
  <c r="H51" i="9"/>
  <c r="J51" i="9"/>
  <c r="AX51" i="9" s="1"/>
  <c r="C52" i="9"/>
  <c r="G52" i="9"/>
  <c r="H52" i="9"/>
  <c r="J52" i="9"/>
  <c r="AX52" i="9" s="1"/>
  <c r="C53" i="9"/>
  <c r="G53" i="9"/>
  <c r="H53" i="9"/>
  <c r="J53" i="9"/>
  <c r="AX53" i="9" s="1"/>
  <c r="C54" i="9"/>
  <c r="G54" i="9"/>
  <c r="H54" i="9"/>
  <c r="J54" i="9"/>
  <c r="AX54" i="9" s="1"/>
  <c r="C55" i="9"/>
  <c r="G55" i="9"/>
  <c r="H55" i="9"/>
  <c r="J55" i="9"/>
  <c r="AX55" i="9" s="1"/>
  <c r="C56" i="9"/>
  <c r="G56" i="9"/>
  <c r="H56" i="9"/>
  <c r="J56" i="9"/>
  <c r="AX56" i="9" s="1"/>
  <c r="X56" i="9"/>
  <c r="C57" i="9"/>
  <c r="G57" i="9"/>
  <c r="H57" i="9"/>
  <c r="J57" i="9"/>
  <c r="X57" i="9"/>
  <c r="C58" i="9"/>
  <c r="G58" i="9"/>
  <c r="H58" i="9"/>
  <c r="J58" i="9"/>
  <c r="AX58" i="9" s="1"/>
  <c r="X58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J4" i="4"/>
  <c r="M6" i="4"/>
  <c r="M7" i="4"/>
  <c r="K4" i="4"/>
  <c r="Q13" i="4" s="1"/>
  <c r="D15" i="10" l="1"/>
  <c r="P9" i="4"/>
  <c r="P10" i="4"/>
  <c r="I11" i="9" s="1"/>
  <c r="N11" i="9" s="1"/>
  <c r="P11" i="4"/>
  <c r="I12" i="9" s="1"/>
  <c r="N12" i="9" s="1"/>
  <c r="P12" i="4"/>
  <c r="P13" i="4"/>
  <c r="I14" i="9" s="1"/>
  <c r="N14" i="9" s="1"/>
  <c r="P14" i="4"/>
  <c r="P15" i="4"/>
  <c r="I16" i="9" s="1"/>
  <c r="N16" i="9" s="1"/>
  <c r="P16" i="4"/>
  <c r="P17" i="4"/>
  <c r="I18" i="9" s="1"/>
  <c r="N18" i="9" s="1"/>
  <c r="P18" i="4"/>
  <c r="I19" i="9" s="1"/>
  <c r="N19" i="9" s="1"/>
  <c r="P19" i="4"/>
  <c r="I20" i="9" s="1"/>
  <c r="N20" i="9" s="1"/>
  <c r="P20" i="4"/>
  <c r="I21" i="9" s="1"/>
  <c r="N21" i="9" s="1"/>
  <c r="P21" i="4"/>
  <c r="I22" i="9" s="1"/>
  <c r="N22" i="9" s="1"/>
  <c r="P22" i="4"/>
  <c r="I23" i="9" s="1"/>
  <c r="N23" i="9" s="1"/>
  <c r="P23" i="4"/>
  <c r="I24" i="9" s="1"/>
  <c r="N24" i="9" s="1"/>
  <c r="P24" i="4"/>
  <c r="I25" i="9" s="1"/>
  <c r="N25" i="9" s="1"/>
  <c r="P25" i="4"/>
  <c r="I26" i="9" s="1"/>
  <c r="N26" i="9" s="1"/>
  <c r="P26" i="4"/>
  <c r="I27" i="9" s="1"/>
  <c r="N27" i="9" s="1"/>
  <c r="P27" i="4"/>
  <c r="I28" i="9" s="1"/>
  <c r="N28" i="9" s="1"/>
  <c r="P28" i="4"/>
  <c r="I29" i="9" s="1"/>
  <c r="N29" i="9" s="1"/>
  <c r="U65" i="5"/>
  <c r="S65" i="5"/>
  <c r="J65" i="5"/>
  <c r="K27" i="9"/>
  <c r="I65" i="5"/>
  <c r="K17" i="9"/>
  <c r="K7" i="9"/>
  <c r="O65" i="5"/>
  <c r="G65" i="5"/>
  <c r="M65" i="5"/>
  <c r="Q11" i="4"/>
  <c r="Q57" i="4"/>
  <c r="C64" i="5" s="1"/>
  <c r="P64" i="5" s="1"/>
  <c r="AI58" i="9" s="1"/>
  <c r="Q53" i="4"/>
  <c r="C60" i="5" s="1"/>
  <c r="T60" i="5" s="1"/>
  <c r="AM54" i="9" s="1"/>
  <c r="Q49" i="4"/>
  <c r="C56" i="5" s="1"/>
  <c r="R56" i="5" s="1"/>
  <c r="AK50" i="9" s="1"/>
  <c r="Q45" i="4"/>
  <c r="Q41" i="4"/>
  <c r="C48" i="5" s="1"/>
  <c r="T48" i="5" s="1"/>
  <c r="AM42" i="9" s="1"/>
  <c r="Q37" i="4"/>
  <c r="C44" i="5" s="1"/>
  <c r="T44" i="5" s="1"/>
  <c r="AM38" i="9" s="1"/>
  <c r="Q33" i="4"/>
  <c r="C40" i="5" s="1"/>
  <c r="Q40" i="5" s="1"/>
  <c r="AJ34" i="9" s="1"/>
  <c r="Q29" i="4"/>
  <c r="C36" i="5" s="1"/>
  <c r="T36" i="5" s="1"/>
  <c r="AM30" i="9" s="1"/>
  <c r="Q25" i="4"/>
  <c r="C32" i="5" s="1"/>
  <c r="Q21" i="4"/>
  <c r="C28" i="5" s="1"/>
  <c r="Q17" i="4"/>
  <c r="C24" i="5" s="1"/>
  <c r="Q15" i="4"/>
  <c r="Q55" i="4"/>
  <c r="C62" i="5" s="1"/>
  <c r="R62" i="5" s="1"/>
  <c r="AK56" i="9" s="1"/>
  <c r="Q51" i="4"/>
  <c r="C58" i="5" s="1"/>
  <c r="Q58" i="5" s="1"/>
  <c r="AJ52" i="9" s="1"/>
  <c r="Q47" i="4"/>
  <c r="C54" i="5" s="1"/>
  <c r="Q54" i="5" s="1"/>
  <c r="AJ48" i="9" s="1"/>
  <c r="Q43" i="4"/>
  <c r="C50" i="5" s="1"/>
  <c r="T50" i="5" s="1"/>
  <c r="AM44" i="9" s="1"/>
  <c r="Q39" i="4"/>
  <c r="C46" i="5" s="1"/>
  <c r="Q46" i="5" s="1"/>
  <c r="AJ40" i="9" s="1"/>
  <c r="Q35" i="4"/>
  <c r="C42" i="5" s="1"/>
  <c r="Q42" i="5" s="1"/>
  <c r="AJ36" i="9" s="1"/>
  <c r="Q31" i="4"/>
  <c r="C38" i="5" s="1"/>
  <c r="Q38" i="5" s="1"/>
  <c r="AJ32" i="9" s="1"/>
  <c r="Q27" i="4"/>
  <c r="C34" i="5" s="1"/>
  <c r="Q23" i="4"/>
  <c r="C30" i="5" s="1"/>
  <c r="Q19" i="4"/>
  <c r="C26" i="5" s="1"/>
  <c r="I57" i="9"/>
  <c r="N57" i="9" s="1"/>
  <c r="I55" i="9"/>
  <c r="N55" i="9" s="1"/>
  <c r="I53" i="9"/>
  <c r="N53" i="9" s="1"/>
  <c r="I51" i="9"/>
  <c r="N51" i="9" s="1"/>
  <c r="I49" i="9"/>
  <c r="N49" i="9" s="1"/>
  <c r="I43" i="9"/>
  <c r="N43" i="9" s="1"/>
  <c r="I41" i="9"/>
  <c r="N41" i="9" s="1"/>
  <c r="I35" i="9"/>
  <c r="N35" i="9" s="1"/>
  <c r="I33" i="9"/>
  <c r="N33" i="9" s="1"/>
  <c r="P8" i="4"/>
  <c r="I9" i="9" s="1"/>
  <c r="N9" i="9" s="1"/>
  <c r="Q9" i="4"/>
  <c r="C16" i="5" s="1"/>
  <c r="K57" i="9"/>
  <c r="I58" i="9"/>
  <c r="N58" i="9" s="1"/>
  <c r="I50" i="9"/>
  <c r="N50" i="9" s="1"/>
  <c r="I48" i="9"/>
  <c r="N48" i="9" s="1"/>
  <c r="I42" i="9"/>
  <c r="N42" i="9" s="1"/>
  <c r="I36" i="9"/>
  <c r="N36" i="9" s="1"/>
  <c r="I34" i="9"/>
  <c r="N34" i="9" s="1"/>
  <c r="I30" i="9"/>
  <c r="N30" i="9" s="1"/>
  <c r="K13" i="9"/>
  <c r="K11" i="9"/>
  <c r="K9" i="9"/>
  <c r="Q56" i="4"/>
  <c r="C63" i="5" s="1"/>
  <c r="Q63" i="5" s="1"/>
  <c r="AJ57" i="9" s="1"/>
  <c r="Q54" i="4"/>
  <c r="C61" i="5" s="1"/>
  <c r="F61" i="5" s="1"/>
  <c r="Y55" i="9" s="1"/>
  <c r="Q52" i="4"/>
  <c r="C59" i="5" s="1"/>
  <c r="P59" i="5" s="1"/>
  <c r="AI53" i="9" s="1"/>
  <c r="Q50" i="4"/>
  <c r="C57" i="5" s="1"/>
  <c r="Q48" i="4"/>
  <c r="C55" i="5" s="1"/>
  <c r="T55" i="5" s="1"/>
  <c r="AM49" i="9" s="1"/>
  <c r="Q46" i="4"/>
  <c r="C53" i="5" s="1"/>
  <c r="R53" i="5" s="1"/>
  <c r="AK47" i="9" s="1"/>
  <c r="Q44" i="4"/>
  <c r="C51" i="5" s="1"/>
  <c r="Q51" i="5" s="1"/>
  <c r="AJ45" i="9" s="1"/>
  <c r="Q42" i="4"/>
  <c r="C49" i="5" s="1"/>
  <c r="R49" i="5" s="1"/>
  <c r="AK43" i="9" s="1"/>
  <c r="Q40" i="4"/>
  <c r="C47" i="5" s="1"/>
  <c r="Q47" i="5" s="1"/>
  <c r="AJ41" i="9" s="1"/>
  <c r="Q38" i="4"/>
  <c r="C45" i="5" s="1"/>
  <c r="T45" i="5" s="1"/>
  <c r="AM39" i="9" s="1"/>
  <c r="Q36" i="4"/>
  <c r="C43" i="5" s="1"/>
  <c r="L43" i="5" s="1"/>
  <c r="AE37" i="9" s="1"/>
  <c r="Q34" i="4"/>
  <c r="C41" i="5" s="1"/>
  <c r="R41" i="5" s="1"/>
  <c r="AK35" i="9" s="1"/>
  <c r="Q32" i="4"/>
  <c r="C39" i="5" s="1"/>
  <c r="P39" i="5" s="1"/>
  <c r="AI33" i="9" s="1"/>
  <c r="Q30" i="4"/>
  <c r="C37" i="5" s="1"/>
  <c r="T37" i="5" s="1"/>
  <c r="AM31" i="9" s="1"/>
  <c r="Q28" i="4"/>
  <c r="C35" i="5" s="1"/>
  <c r="Q26" i="4"/>
  <c r="C33" i="5" s="1"/>
  <c r="Q24" i="4"/>
  <c r="C31" i="5" s="1"/>
  <c r="Q22" i="4"/>
  <c r="C29" i="5" s="1"/>
  <c r="Q20" i="4"/>
  <c r="C27" i="5" s="1"/>
  <c r="Q18" i="4"/>
  <c r="C25" i="5" s="1"/>
  <c r="Q16" i="4"/>
  <c r="C23" i="5" s="1"/>
  <c r="Q14" i="4"/>
  <c r="C21" i="5" s="1"/>
  <c r="Q12" i="4"/>
  <c r="C19" i="5" s="1"/>
  <c r="Q10" i="4"/>
  <c r="C17" i="5" s="1"/>
  <c r="Q8" i="4"/>
  <c r="C15" i="5" s="1"/>
  <c r="K56" i="9"/>
  <c r="K52" i="9"/>
  <c r="K51" i="9"/>
  <c r="K50" i="9"/>
  <c r="AX27" i="9"/>
  <c r="AX25" i="9"/>
  <c r="K24" i="9"/>
  <c r="K23" i="9"/>
  <c r="AX19" i="9"/>
  <c r="AX17" i="9"/>
  <c r="K16" i="9"/>
  <c r="K15" i="9"/>
  <c r="AX11" i="9"/>
  <c r="AX9" i="9"/>
  <c r="K8" i="9"/>
  <c r="K47" i="9"/>
  <c r="K46" i="9"/>
  <c r="K45" i="9"/>
  <c r="K44" i="9"/>
  <c r="K43" i="9"/>
  <c r="K38" i="9"/>
  <c r="K37" i="9"/>
  <c r="K36" i="9"/>
  <c r="K35" i="9"/>
  <c r="K34" i="9"/>
  <c r="K33" i="9"/>
  <c r="K32" i="9"/>
  <c r="K31" i="9"/>
  <c r="K30" i="9"/>
  <c r="K29" i="9"/>
  <c r="K26" i="9"/>
  <c r="K18" i="9"/>
  <c r="K10" i="9"/>
  <c r="K55" i="9"/>
  <c r="K54" i="9"/>
  <c r="K53" i="9"/>
  <c r="K49" i="9"/>
  <c r="K28" i="9"/>
  <c r="AX21" i="9"/>
  <c r="K20" i="9"/>
  <c r="AX13" i="9"/>
  <c r="K12" i="9"/>
  <c r="K48" i="9"/>
  <c r="K22" i="9"/>
  <c r="K14" i="9"/>
  <c r="I44" i="9"/>
  <c r="N44" i="9" s="1"/>
  <c r="I40" i="9"/>
  <c r="N40" i="9" s="1"/>
  <c r="I32" i="9"/>
  <c r="N32" i="9" s="1"/>
  <c r="P7" i="4"/>
  <c r="I8" i="9" s="1"/>
  <c r="N8" i="9" s="1"/>
  <c r="I46" i="9"/>
  <c r="N46" i="9" s="1"/>
  <c r="I38" i="9"/>
  <c r="N38" i="9" s="1"/>
  <c r="I10" i="9"/>
  <c r="N10" i="9" s="1"/>
  <c r="I47" i="9"/>
  <c r="N47" i="9" s="1"/>
  <c r="I45" i="9"/>
  <c r="N45" i="9" s="1"/>
  <c r="I39" i="9"/>
  <c r="N39" i="9" s="1"/>
  <c r="I37" i="9"/>
  <c r="N37" i="9" s="1"/>
  <c r="I31" i="9"/>
  <c r="N31" i="9" s="1"/>
  <c r="I17" i="9"/>
  <c r="N17" i="9" s="1"/>
  <c r="I15" i="9"/>
  <c r="N15" i="9" s="1"/>
  <c r="I13" i="9"/>
  <c r="N13" i="9" s="1"/>
  <c r="P6" i="4"/>
  <c r="I7" i="9" s="1"/>
  <c r="N7" i="9" s="1"/>
  <c r="I56" i="9"/>
  <c r="N56" i="9" s="1"/>
  <c r="I54" i="9"/>
  <c r="N54" i="9" s="1"/>
  <c r="I52" i="9"/>
  <c r="N52" i="9" s="1"/>
  <c r="Q6" i="4"/>
  <c r="C13" i="5" s="1"/>
  <c r="Q7" i="4"/>
  <c r="C14" i="5" s="1"/>
  <c r="C52" i="5"/>
  <c r="T52" i="5" s="1"/>
  <c r="AM46" i="9" s="1"/>
  <c r="C18" i="5"/>
  <c r="AX57" i="9"/>
  <c r="K42" i="9"/>
  <c r="K40" i="9"/>
  <c r="C22" i="5"/>
  <c r="K58" i="9"/>
  <c r="C20" i="5"/>
  <c r="K41" i="9"/>
  <c r="K39" i="9"/>
  <c r="T65" i="5"/>
  <c r="R65" i="5"/>
  <c r="Q65" i="5"/>
  <c r="P65" i="5"/>
  <c r="L65" i="5"/>
  <c r="K65" i="5"/>
  <c r="H65" i="5"/>
  <c r="G32" i="10"/>
  <c r="G40" i="10"/>
  <c r="G42" i="10"/>
  <c r="G43" i="10"/>
  <c r="G37" i="10"/>
  <c r="G36" i="10"/>
  <c r="G34" i="10"/>
  <c r="G33" i="10"/>
  <c r="G30" i="10"/>
  <c r="G31" i="10"/>
  <c r="F12" i="10"/>
  <c r="C25" i="10"/>
  <c r="C24" i="10"/>
  <c r="C23" i="10"/>
  <c r="G9" i="10"/>
  <c r="T32" i="5" l="1"/>
  <c r="AM26" i="9" s="1"/>
  <c r="T28" i="5"/>
  <c r="AM22" i="9" s="1"/>
  <c r="H24" i="5"/>
  <c r="AA18" i="9" s="1"/>
  <c r="R34" i="5"/>
  <c r="AK28" i="9" s="1"/>
  <c r="R30" i="5"/>
  <c r="AK24" i="9" s="1"/>
  <c r="Q26" i="5"/>
  <c r="AJ20" i="9" s="1"/>
  <c r="Q16" i="5"/>
  <c r="AJ10" i="9" s="1"/>
  <c r="P35" i="5"/>
  <c r="AI29" i="9" s="1"/>
  <c r="Q33" i="5"/>
  <c r="AJ27" i="9" s="1"/>
  <c r="P31" i="5"/>
  <c r="AI25" i="9" s="1"/>
  <c r="R29" i="5"/>
  <c r="AK23" i="9" s="1"/>
  <c r="Q27" i="5"/>
  <c r="AJ21" i="9" s="1"/>
  <c r="R25" i="5"/>
  <c r="AK19" i="9" s="1"/>
  <c r="P23" i="5"/>
  <c r="AI17" i="9" s="1"/>
  <c r="T21" i="5"/>
  <c r="AM15" i="9" s="1"/>
  <c r="P19" i="5"/>
  <c r="AI13" i="9" s="1"/>
  <c r="T17" i="5"/>
  <c r="AM11" i="9" s="1"/>
  <c r="P15" i="5"/>
  <c r="AI9" i="9" s="1"/>
  <c r="R13" i="5"/>
  <c r="AK7" i="9" s="1"/>
  <c r="Q14" i="5"/>
  <c r="AJ8" i="9" s="1"/>
  <c r="T18" i="5"/>
  <c r="AM12" i="9" s="1"/>
  <c r="Q22" i="5"/>
  <c r="AJ16" i="9" s="1"/>
  <c r="Q20" i="5"/>
  <c r="AJ14" i="9" s="1"/>
  <c r="J61" i="5"/>
  <c r="AC55" i="9" s="1"/>
  <c r="O57" i="5"/>
  <c r="AH51" i="9" s="1"/>
  <c r="K57" i="5"/>
  <c r="AD51" i="9" s="1"/>
  <c r="F57" i="5"/>
  <c r="Y51" i="9" s="1"/>
  <c r="S57" i="5"/>
  <c r="AL51" i="9" s="1"/>
  <c r="T57" i="5"/>
  <c r="AM51" i="9" s="1"/>
  <c r="Q57" i="5"/>
  <c r="AJ51" i="9" s="1"/>
  <c r="L57" i="5"/>
  <c r="AE51" i="9" s="1"/>
  <c r="H57" i="5"/>
  <c r="AA51" i="9" s="1"/>
  <c r="P57" i="5"/>
  <c r="AI51" i="9" s="1"/>
  <c r="M57" i="5"/>
  <c r="AF51" i="9" s="1"/>
  <c r="I57" i="5"/>
  <c r="AB51" i="9" s="1"/>
  <c r="J57" i="5"/>
  <c r="AC51" i="9" s="1"/>
  <c r="G57" i="5"/>
  <c r="Z51" i="9" s="1"/>
  <c r="U57" i="5"/>
  <c r="AN51" i="9" s="1"/>
  <c r="R57" i="5"/>
  <c r="AK51" i="9" s="1"/>
  <c r="K56" i="5"/>
  <c r="AD50" i="9" s="1"/>
  <c r="T62" i="5"/>
  <c r="AM56" i="9" s="1"/>
  <c r="P24" i="5"/>
  <c r="AI18" i="9" s="1"/>
  <c r="T43" i="5"/>
  <c r="AM37" i="9" s="1"/>
  <c r="K37" i="5"/>
  <c r="AD31" i="9" s="1"/>
  <c r="L44" i="5"/>
  <c r="AE38" i="9" s="1"/>
  <c r="Q49" i="5"/>
  <c r="AJ43" i="9" s="1"/>
  <c r="P18" i="5"/>
  <c r="AI12" i="9" s="1"/>
  <c r="T33" i="5"/>
  <c r="AM27" i="9" s="1"/>
  <c r="H53" i="5"/>
  <c r="AA47" i="9" s="1"/>
  <c r="L33" i="5"/>
  <c r="AE27" i="9" s="1"/>
  <c r="R43" i="5"/>
  <c r="AK37" i="9" s="1"/>
  <c r="H52" i="5"/>
  <c r="AA46" i="9" s="1"/>
  <c r="K24" i="5"/>
  <c r="AD18" i="9" s="1"/>
  <c r="L16" i="5"/>
  <c r="AE10" i="9" s="1"/>
  <c r="Q56" i="5"/>
  <c r="AJ50" i="9" s="1"/>
  <c r="R39" i="5"/>
  <c r="AK33" i="9" s="1"/>
  <c r="T16" i="5"/>
  <c r="AM10" i="9" s="1"/>
  <c r="H29" i="5"/>
  <c r="AA23" i="9" s="1"/>
  <c r="K18" i="5"/>
  <c r="AD12" i="9" s="1"/>
  <c r="P43" i="5"/>
  <c r="AI37" i="9" s="1"/>
  <c r="Q52" i="5"/>
  <c r="AJ46" i="9" s="1"/>
  <c r="R16" i="5"/>
  <c r="AK10" i="9" s="1"/>
  <c r="Q29" i="5"/>
  <c r="AJ23" i="9" s="1"/>
  <c r="R36" i="5"/>
  <c r="AK30" i="9" s="1"/>
  <c r="T26" i="5"/>
  <c r="AM20" i="9" s="1"/>
  <c r="K39" i="5"/>
  <c r="AD33" i="9" s="1"/>
  <c r="K15" i="5"/>
  <c r="AD9" i="9" s="1"/>
  <c r="L14" i="5"/>
  <c r="AE8" i="9" s="1"/>
  <c r="Q25" i="5"/>
  <c r="AJ19" i="9" s="1"/>
  <c r="L31" i="5"/>
  <c r="AE25" i="9" s="1"/>
  <c r="P42" i="5"/>
  <c r="AI36" i="9" s="1"/>
  <c r="R61" i="5"/>
  <c r="AK55" i="9" s="1"/>
  <c r="H36" i="5"/>
  <c r="AA30" i="9" s="1"/>
  <c r="K36" i="5"/>
  <c r="AD30" i="9" s="1"/>
  <c r="L62" i="5"/>
  <c r="AE56" i="9" s="1"/>
  <c r="P49" i="5"/>
  <c r="AI43" i="9" s="1"/>
  <c r="P29" i="5"/>
  <c r="AI23" i="9" s="1"/>
  <c r="P14" i="5"/>
  <c r="AI8" i="9" s="1"/>
  <c r="Q36" i="5"/>
  <c r="AJ30" i="9" s="1"/>
  <c r="T39" i="5"/>
  <c r="AM33" i="9" s="1"/>
  <c r="T15" i="5"/>
  <c r="AM9" i="9" s="1"/>
  <c r="H13" i="5"/>
  <c r="AA7" i="9" s="1"/>
  <c r="K61" i="5"/>
  <c r="AD55" i="9" s="1"/>
  <c r="H30" i="5"/>
  <c r="AA24" i="9" s="1"/>
  <c r="L42" i="5"/>
  <c r="AE36" i="9" s="1"/>
  <c r="L15" i="5"/>
  <c r="AE9" i="9" s="1"/>
  <c r="P47" i="5"/>
  <c r="AI41" i="9" s="1"/>
  <c r="P26" i="5"/>
  <c r="AI20" i="9" s="1"/>
  <c r="Q30" i="5"/>
  <c r="AJ24" i="9" s="1"/>
  <c r="R15" i="5"/>
  <c r="AK9" i="9" s="1"/>
  <c r="T58" i="5"/>
  <c r="AM52" i="9" s="1"/>
  <c r="T14" i="5"/>
  <c r="AM8" i="9" s="1"/>
  <c r="L59" i="5"/>
  <c r="AE53" i="9" s="1"/>
  <c r="O61" i="5"/>
  <c r="AH55" i="9" s="1"/>
  <c r="H61" i="5"/>
  <c r="AA55" i="9" s="1"/>
  <c r="H49" i="5"/>
  <c r="AA43" i="9" s="1"/>
  <c r="H25" i="5"/>
  <c r="AA19" i="9" s="1"/>
  <c r="K52" i="5"/>
  <c r="AD46" i="9" s="1"/>
  <c r="K31" i="5"/>
  <c r="AD25" i="9" s="1"/>
  <c r="L58" i="5"/>
  <c r="AE52" i="9" s="1"/>
  <c r="L39" i="5"/>
  <c r="AE33" i="9" s="1"/>
  <c r="L26" i="5"/>
  <c r="AE20" i="9" s="1"/>
  <c r="P58" i="5"/>
  <c r="AI52" i="9" s="1"/>
  <c r="P25" i="5"/>
  <c r="AI19" i="9" s="1"/>
  <c r="R52" i="5"/>
  <c r="AK46" i="9" s="1"/>
  <c r="T42" i="5"/>
  <c r="AM36" i="9" s="1"/>
  <c r="G61" i="5"/>
  <c r="Z55" i="9" s="1"/>
  <c r="L35" i="5"/>
  <c r="AE29" i="9" s="1"/>
  <c r="U61" i="5"/>
  <c r="AN55" i="9" s="1"/>
  <c r="H45" i="5"/>
  <c r="AA39" i="9" s="1"/>
  <c r="P17" i="5"/>
  <c r="AI11" i="9" s="1"/>
  <c r="R47" i="5"/>
  <c r="AK41" i="9" s="1"/>
  <c r="R19" i="5"/>
  <c r="AK13" i="9" s="1"/>
  <c r="T31" i="5"/>
  <c r="AM25" i="9" s="1"/>
  <c r="Q19" i="5"/>
  <c r="AJ13" i="9" s="1"/>
  <c r="P34" i="5"/>
  <c r="AI28" i="9" s="1"/>
  <c r="H60" i="5"/>
  <c r="AA54" i="9" s="1"/>
  <c r="K17" i="5"/>
  <c r="AD11" i="9" s="1"/>
  <c r="Q45" i="5"/>
  <c r="AJ39" i="9" s="1"/>
  <c r="H44" i="5"/>
  <c r="AA38" i="9" s="1"/>
  <c r="K50" i="5"/>
  <c r="AD44" i="9" s="1"/>
  <c r="L20" i="5"/>
  <c r="AE14" i="9" s="1"/>
  <c r="Q55" i="5"/>
  <c r="AJ49" i="9" s="1"/>
  <c r="R28" i="5"/>
  <c r="AK22" i="9" s="1"/>
  <c r="T20" i="5"/>
  <c r="AM14" i="9" s="1"/>
  <c r="H50" i="5"/>
  <c r="AA44" i="9" s="1"/>
  <c r="H37" i="5"/>
  <c r="AA31" i="9" s="1"/>
  <c r="K44" i="5"/>
  <c r="AD38" i="9" s="1"/>
  <c r="L61" i="5"/>
  <c r="AE55" i="9" s="1"/>
  <c r="L19" i="5"/>
  <c r="AE13" i="9" s="1"/>
  <c r="P61" i="5"/>
  <c r="AI55" i="9" s="1"/>
  <c r="P55" i="5"/>
  <c r="AI49" i="9" s="1"/>
  <c r="P28" i="5"/>
  <c r="AI22" i="9" s="1"/>
  <c r="Q61" i="5"/>
  <c r="AJ55" i="9" s="1"/>
  <c r="Q44" i="5"/>
  <c r="AJ38" i="9" s="1"/>
  <c r="R27" i="5"/>
  <c r="AK21" i="9" s="1"/>
  <c r="T61" i="5"/>
  <c r="AM55" i="9" s="1"/>
  <c r="T19" i="5"/>
  <c r="AM13" i="9" s="1"/>
  <c r="I61" i="5"/>
  <c r="AB55" i="9" s="1"/>
  <c r="M61" i="5"/>
  <c r="AF55" i="9" s="1"/>
  <c r="R60" i="5"/>
  <c r="AK54" i="9" s="1"/>
  <c r="T51" i="5"/>
  <c r="AM45" i="9" s="1"/>
  <c r="H55" i="5"/>
  <c r="AA49" i="9" s="1"/>
  <c r="H19" i="5"/>
  <c r="AA13" i="9" s="1"/>
  <c r="K55" i="5"/>
  <c r="AD49" i="9" s="1"/>
  <c r="L60" i="5"/>
  <c r="AE54" i="9" s="1"/>
  <c r="L50" i="5"/>
  <c r="AE44" i="9" s="1"/>
  <c r="L37" i="5"/>
  <c r="AE31" i="9" s="1"/>
  <c r="L27" i="5"/>
  <c r="AE21" i="9" s="1"/>
  <c r="P60" i="5"/>
  <c r="AI54" i="9" s="1"/>
  <c r="P51" i="5"/>
  <c r="AI45" i="9" s="1"/>
  <c r="P27" i="5"/>
  <c r="AI21" i="9" s="1"/>
  <c r="P63" i="5"/>
  <c r="AI57" i="9" s="1"/>
  <c r="Q50" i="5"/>
  <c r="AJ44" i="9" s="1"/>
  <c r="Q37" i="5"/>
  <c r="AJ31" i="9" s="1"/>
  <c r="R55" i="5"/>
  <c r="AK49" i="9" s="1"/>
  <c r="R20" i="5"/>
  <c r="AK14" i="9" s="1"/>
  <c r="T27" i="5"/>
  <c r="AM21" i="9" s="1"/>
  <c r="S61" i="5"/>
  <c r="AL55" i="9" s="1"/>
  <c r="H18" i="5"/>
  <c r="AA12" i="9" s="1"/>
  <c r="K47" i="5"/>
  <c r="AD41" i="9" s="1"/>
  <c r="K43" i="5"/>
  <c r="AD37" i="9" s="1"/>
  <c r="K30" i="5"/>
  <c r="AD24" i="9" s="1"/>
  <c r="K62" i="5"/>
  <c r="AD56" i="9" s="1"/>
  <c r="L47" i="5"/>
  <c r="AE41" i="9" s="1"/>
  <c r="P21" i="5"/>
  <c r="AI15" i="9" s="1"/>
  <c r="Q24" i="5"/>
  <c r="AJ18" i="9" s="1"/>
  <c r="Q18" i="5"/>
  <c r="AJ12" i="9" s="1"/>
  <c r="Q62" i="5"/>
  <c r="AJ56" i="9" s="1"/>
  <c r="R46" i="5"/>
  <c r="AK40" i="9" s="1"/>
  <c r="R40" i="5"/>
  <c r="AK34" i="9" s="1"/>
  <c r="R33" i="5"/>
  <c r="AK27" i="9" s="1"/>
  <c r="T47" i="5"/>
  <c r="AM41" i="9" s="1"/>
  <c r="H47" i="5"/>
  <c r="AA41" i="9" s="1"/>
  <c r="H43" i="5"/>
  <c r="AA37" i="9" s="1"/>
  <c r="H34" i="5"/>
  <c r="AA28" i="9" s="1"/>
  <c r="H28" i="5"/>
  <c r="AA22" i="9" s="1"/>
  <c r="H21" i="5"/>
  <c r="AA15" i="9" s="1"/>
  <c r="H17" i="5"/>
  <c r="AA11" i="9" s="1"/>
  <c r="H62" i="5"/>
  <c r="AA56" i="9" s="1"/>
  <c r="K60" i="5"/>
  <c r="AD54" i="9" s="1"/>
  <c r="K46" i="5"/>
  <c r="AD40" i="9" s="1"/>
  <c r="K40" i="5"/>
  <c r="AD34" i="9" s="1"/>
  <c r="K34" i="5"/>
  <c r="AD28" i="9" s="1"/>
  <c r="K28" i="5"/>
  <c r="AD22" i="9" s="1"/>
  <c r="K20" i="5"/>
  <c r="AD14" i="9" s="1"/>
  <c r="K16" i="5"/>
  <c r="AD10" i="9" s="1"/>
  <c r="L55" i="5"/>
  <c r="AE49" i="9" s="1"/>
  <c r="L46" i="5"/>
  <c r="AE40" i="9" s="1"/>
  <c r="L30" i="5"/>
  <c r="AE24" i="9" s="1"/>
  <c r="L24" i="5"/>
  <c r="AE18" i="9" s="1"/>
  <c r="L18" i="5"/>
  <c r="AE12" i="9" s="1"/>
  <c r="P50" i="5"/>
  <c r="AI44" i="9" s="1"/>
  <c r="P45" i="5"/>
  <c r="AI39" i="9" s="1"/>
  <c r="P40" i="5"/>
  <c r="AI34" i="9" s="1"/>
  <c r="P30" i="5"/>
  <c r="AI24" i="9" s="1"/>
  <c r="P20" i="5"/>
  <c r="AI14" i="9" s="1"/>
  <c r="P16" i="5"/>
  <c r="AI10" i="9" s="1"/>
  <c r="P62" i="5"/>
  <c r="AI56" i="9" s="1"/>
  <c r="Q60" i="5"/>
  <c r="AJ54" i="9" s="1"/>
  <c r="Q43" i="5"/>
  <c r="AJ37" i="9" s="1"/>
  <c r="Q34" i="5"/>
  <c r="AJ28" i="9" s="1"/>
  <c r="Q28" i="5"/>
  <c r="AJ22" i="9" s="1"/>
  <c r="Q21" i="5"/>
  <c r="AJ15" i="9" s="1"/>
  <c r="Q17" i="5"/>
  <c r="AJ11" i="9" s="1"/>
  <c r="R51" i="5"/>
  <c r="AK45" i="9" s="1"/>
  <c r="R45" i="5"/>
  <c r="AK39" i="9" s="1"/>
  <c r="R31" i="5"/>
  <c r="AK25" i="9" s="1"/>
  <c r="R24" i="5"/>
  <c r="AK18" i="9" s="1"/>
  <c r="R18" i="5"/>
  <c r="AK12" i="9" s="1"/>
  <c r="T56" i="5"/>
  <c r="AM50" i="9" s="1"/>
  <c r="T46" i="5"/>
  <c r="AM40" i="9" s="1"/>
  <c r="T40" i="5"/>
  <c r="AM34" i="9" s="1"/>
  <c r="T30" i="5"/>
  <c r="AM24" i="9" s="1"/>
  <c r="T24" i="5"/>
  <c r="AM18" i="9" s="1"/>
  <c r="K21" i="5"/>
  <c r="AD15" i="9" s="1"/>
  <c r="L56" i="5"/>
  <c r="AE50" i="9" s="1"/>
  <c r="P46" i="5"/>
  <c r="AI40" i="9" s="1"/>
  <c r="P33" i="5"/>
  <c r="AI27" i="9" s="1"/>
  <c r="H56" i="5"/>
  <c r="AA50" i="9" s="1"/>
  <c r="H51" i="5"/>
  <c r="AA45" i="9" s="1"/>
  <c r="H46" i="5"/>
  <c r="AA40" i="9" s="1"/>
  <c r="H40" i="5"/>
  <c r="AA34" i="9" s="1"/>
  <c r="H33" i="5"/>
  <c r="AA27" i="9" s="1"/>
  <c r="H27" i="5"/>
  <c r="AA21" i="9" s="1"/>
  <c r="H20" i="5"/>
  <c r="AA14" i="9" s="1"/>
  <c r="H16" i="5"/>
  <c r="AA10" i="9" s="1"/>
  <c r="K51" i="5"/>
  <c r="AD45" i="9" s="1"/>
  <c r="K45" i="5"/>
  <c r="AD39" i="9" s="1"/>
  <c r="K33" i="5"/>
  <c r="AD27" i="9" s="1"/>
  <c r="K27" i="5"/>
  <c r="AD21" i="9" s="1"/>
  <c r="K19" i="5"/>
  <c r="AD13" i="9" s="1"/>
  <c r="L51" i="5"/>
  <c r="AE45" i="9" s="1"/>
  <c r="L45" i="5"/>
  <c r="AE39" i="9" s="1"/>
  <c r="L40" i="5"/>
  <c r="AE34" i="9" s="1"/>
  <c r="L34" i="5"/>
  <c r="AE28" i="9" s="1"/>
  <c r="L28" i="5"/>
  <c r="AE22" i="9" s="1"/>
  <c r="L21" i="5"/>
  <c r="AE15" i="9" s="1"/>
  <c r="L17" i="5"/>
  <c r="AE11" i="9" s="1"/>
  <c r="P56" i="5"/>
  <c r="AI50" i="9" s="1"/>
  <c r="P44" i="5"/>
  <c r="AI38" i="9" s="1"/>
  <c r="P37" i="5"/>
  <c r="AI31" i="9" s="1"/>
  <c r="R50" i="5"/>
  <c r="AK44" i="9" s="1"/>
  <c r="R44" i="5"/>
  <c r="AK38" i="9" s="1"/>
  <c r="R37" i="5"/>
  <c r="AK31" i="9" s="1"/>
  <c r="R21" i="5"/>
  <c r="AK15" i="9" s="1"/>
  <c r="R17" i="5"/>
  <c r="AK11" i="9" s="1"/>
  <c r="K48" i="5"/>
  <c r="AD42" i="9" s="1"/>
  <c r="K32" i="5"/>
  <c r="AD26" i="9" s="1"/>
  <c r="P38" i="5"/>
  <c r="AI32" i="9" s="1"/>
  <c r="T34" i="5"/>
  <c r="AM28" i="9" s="1"/>
  <c r="H41" i="5"/>
  <c r="AA35" i="9" s="1"/>
  <c r="T59" i="5"/>
  <c r="AM53" i="9" s="1"/>
  <c r="L23" i="5"/>
  <c r="AE17" i="9" s="1"/>
  <c r="P54" i="5"/>
  <c r="AI48" i="9" s="1"/>
  <c r="Q53" i="5"/>
  <c r="AJ47" i="9" s="1"/>
  <c r="Q13" i="5"/>
  <c r="AJ7" i="9" s="1"/>
  <c r="R32" i="5"/>
  <c r="AK26" i="9" s="1"/>
  <c r="T64" i="5"/>
  <c r="AM58" i="9" s="1"/>
  <c r="R48" i="5"/>
  <c r="AK42" i="9" s="1"/>
  <c r="T35" i="5"/>
  <c r="AM29" i="9" s="1"/>
  <c r="L64" i="5"/>
  <c r="AE58" i="9" s="1"/>
  <c r="P22" i="5"/>
  <c r="AI16" i="9" s="1"/>
  <c r="Q41" i="5"/>
  <c r="AJ35" i="9" s="1"/>
  <c r="T23" i="5"/>
  <c r="AM17" i="9" s="1"/>
  <c r="K23" i="5"/>
  <c r="AD17" i="9" s="1"/>
  <c r="H48" i="5"/>
  <c r="AA42" i="9" s="1"/>
  <c r="H32" i="5"/>
  <c r="AA26" i="9" s="1"/>
  <c r="K59" i="5"/>
  <c r="AD53" i="9" s="1"/>
  <c r="K35" i="5"/>
  <c r="AD29" i="9" s="1"/>
  <c r="K64" i="5"/>
  <c r="AD58" i="9" s="1"/>
  <c r="L38" i="5"/>
  <c r="AE32" i="9" s="1"/>
  <c r="L22" i="5"/>
  <c r="AE16" i="9" s="1"/>
  <c r="L63" i="5"/>
  <c r="AE57" i="9" s="1"/>
  <c r="P53" i="5"/>
  <c r="AI47" i="9" s="1"/>
  <c r="P13" i="5"/>
  <c r="AI7" i="9" s="1"/>
  <c r="Q48" i="5"/>
  <c r="AJ42" i="9" s="1"/>
  <c r="Q32" i="5"/>
  <c r="AJ26" i="9" s="1"/>
  <c r="R59" i="5"/>
  <c r="AK53" i="9" s="1"/>
  <c r="R35" i="5"/>
  <c r="AK29" i="9" s="1"/>
  <c r="T54" i="5"/>
  <c r="AM48" i="9" s="1"/>
  <c r="T22" i="5"/>
  <c r="AM16" i="9" s="1"/>
  <c r="T63" i="5"/>
  <c r="AM57" i="9" s="1"/>
  <c r="H59" i="5"/>
  <c r="AA53" i="9" s="1"/>
  <c r="H39" i="5"/>
  <c r="AA33" i="9" s="1"/>
  <c r="H35" i="5"/>
  <c r="AA29" i="9" s="1"/>
  <c r="H31" i="5"/>
  <c r="AA25" i="9" s="1"/>
  <c r="H23" i="5"/>
  <c r="AA17" i="9" s="1"/>
  <c r="H15" i="5"/>
  <c r="AA9" i="9" s="1"/>
  <c r="H64" i="5"/>
  <c r="AA58" i="9" s="1"/>
  <c r="K58" i="5"/>
  <c r="AD52" i="9" s="1"/>
  <c r="K54" i="5"/>
  <c r="AD48" i="9" s="1"/>
  <c r="K42" i="5"/>
  <c r="AD36" i="9" s="1"/>
  <c r="K38" i="5"/>
  <c r="AD32" i="9" s="1"/>
  <c r="K26" i="5"/>
  <c r="AD20" i="9" s="1"/>
  <c r="K22" i="5"/>
  <c r="AD16" i="9" s="1"/>
  <c r="K14" i="5"/>
  <c r="AD8" i="9" s="1"/>
  <c r="K63" i="5"/>
  <c r="AD57" i="9" s="1"/>
  <c r="L53" i="5"/>
  <c r="AE47" i="9" s="1"/>
  <c r="L49" i="5"/>
  <c r="AE43" i="9" s="1"/>
  <c r="L41" i="5"/>
  <c r="AE35" i="9" s="1"/>
  <c r="L29" i="5"/>
  <c r="AE23" i="9" s="1"/>
  <c r="L25" i="5"/>
  <c r="AE19" i="9" s="1"/>
  <c r="L13" i="5"/>
  <c r="AE7" i="9" s="1"/>
  <c r="P52" i="5"/>
  <c r="AI46" i="9" s="1"/>
  <c r="P48" i="5"/>
  <c r="AI42" i="9" s="1"/>
  <c r="P36" i="5"/>
  <c r="AI30" i="9" s="1"/>
  <c r="P32" i="5"/>
  <c r="AI26" i="9" s="1"/>
  <c r="Q59" i="5"/>
  <c r="AJ53" i="9" s="1"/>
  <c r="Q39" i="5"/>
  <c r="AJ33" i="9" s="1"/>
  <c r="Q35" i="5"/>
  <c r="AJ29" i="9" s="1"/>
  <c r="Q31" i="5"/>
  <c r="AJ25" i="9" s="1"/>
  <c r="Q23" i="5"/>
  <c r="AJ17" i="9" s="1"/>
  <c r="Q15" i="5"/>
  <c r="AJ9" i="9" s="1"/>
  <c r="Q64" i="5"/>
  <c r="AJ58" i="9" s="1"/>
  <c r="R58" i="5"/>
  <c r="AK52" i="9" s="1"/>
  <c r="R54" i="5"/>
  <c r="AK48" i="9" s="1"/>
  <c r="R42" i="5"/>
  <c r="AK36" i="9" s="1"/>
  <c r="R38" i="5"/>
  <c r="AK32" i="9" s="1"/>
  <c r="R26" i="5"/>
  <c r="AK20" i="9" s="1"/>
  <c r="R22" i="5"/>
  <c r="AK16" i="9" s="1"/>
  <c r="R14" i="5"/>
  <c r="AK8" i="9" s="1"/>
  <c r="R63" i="5"/>
  <c r="AK57" i="9" s="1"/>
  <c r="T53" i="5"/>
  <c r="AM47" i="9" s="1"/>
  <c r="T49" i="5"/>
  <c r="AM43" i="9" s="1"/>
  <c r="T41" i="5"/>
  <c r="AM35" i="9" s="1"/>
  <c r="T29" i="5"/>
  <c r="AM23" i="9" s="1"/>
  <c r="T25" i="5"/>
  <c r="AM19" i="9" s="1"/>
  <c r="T13" i="5"/>
  <c r="AM7" i="9" s="1"/>
  <c r="L54" i="5"/>
  <c r="AE48" i="9" s="1"/>
  <c r="P41" i="5"/>
  <c r="AI35" i="9" s="1"/>
  <c r="R23" i="5"/>
  <c r="AK17" i="9" s="1"/>
  <c r="R64" i="5"/>
  <c r="AK58" i="9" s="1"/>
  <c r="T38" i="5"/>
  <c r="AM32" i="9" s="1"/>
  <c r="H58" i="5"/>
  <c r="AA52" i="9" s="1"/>
  <c r="H54" i="5"/>
  <c r="AA48" i="9" s="1"/>
  <c r="H42" i="5"/>
  <c r="AA36" i="9" s="1"/>
  <c r="H38" i="5"/>
  <c r="AA32" i="9" s="1"/>
  <c r="H26" i="5"/>
  <c r="AA20" i="9" s="1"/>
  <c r="H22" i="5"/>
  <c r="AA16" i="9" s="1"/>
  <c r="H14" i="5"/>
  <c r="AA8" i="9" s="1"/>
  <c r="H63" i="5"/>
  <c r="AA57" i="9" s="1"/>
  <c r="K53" i="5"/>
  <c r="AD47" i="9" s="1"/>
  <c r="K49" i="5"/>
  <c r="AD43" i="9" s="1"/>
  <c r="K41" i="5"/>
  <c r="AD35" i="9" s="1"/>
  <c r="K29" i="5"/>
  <c r="AD23" i="9" s="1"/>
  <c r="K25" i="5"/>
  <c r="AD19" i="9" s="1"/>
  <c r="K13" i="5"/>
  <c r="AD7" i="9" s="1"/>
  <c r="L52" i="5"/>
  <c r="AE46" i="9" s="1"/>
  <c r="L48" i="5"/>
  <c r="AE42" i="9" s="1"/>
  <c r="L36" i="5"/>
  <c r="AE30" i="9" s="1"/>
  <c r="L32" i="5"/>
  <c r="AE26" i="9" s="1"/>
  <c r="J31" i="5"/>
  <c r="AC25" i="9" s="1"/>
  <c r="U31" i="5"/>
  <c r="AN25" i="9" s="1"/>
  <c r="F31" i="5"/>
  <c r="Y25" i="9" s="1"/>
  <c r="M31" i="5"/>
  <c r="AF25" i="9" s="1"/>
  <c r="G31" i="5"/>
  <c r="Z25" i="9" s="1"/>
  <c r="O31" i="5"/>
  <c r="AH25" i="9" s="1"/>
  <c r="I31" i="5"/>
  <c r="AB25" i="9" s="1"/>
  <c r="S31" i="5"/>
  <c r="AL25" i="9" s="1"/>
  <c r="G26" i="5"/>
  <c r="Z20" i="9" s="1"/>
  <c r="O26" i="5"/>
  <c r="AH20" i="9" s="1"/>
  <c r="I26" i="5"/>
  <c r="AB20" i="9" s="1"/>
  <c r="S26" i="5"/>
  <c r="AL20" i="9" s="1"/>
  <c r="J26" i="5"/>
  <c r="AC20" i="9" s="1"/>
  <c r="U26" i="5"/>
  <c r="AN20" i="9" s="1"/>
  <c r="F26" i="5"/>
  <c r="Y20" i="9" s="1"/>
  <c r="M26" i="5"/>
  <c r="AF20" i="9" s="1"/>
  <c r="G42" i="5"/>
  <c r="Z36" i="9" s="1"/>
  <c r="O42" i="5"/>
  <c r="AH36" i="9" s="1"/>
  <c r="I42" i="5"/>
  <c r="AB36" i="9" s="1"/>
  <c r="S42" i="5"/>
  <c r="AL36" i="9" s="1"/>
  <c r="J42" i="5"/>
  <c r="AC36" i="9" s="1"/>
  <c r="U42" i="5"/>
  <c r="AN36" i="9" s="1"/>
  <c r="F42" i="5"/>
  <c r="Y36" i="9" s="1"/>
  <c r="M42" i="5"/>
  <c r="AF36" i="9" s="1"/>
  <c r="G58" i="5"/>
  <c r="Z52" i="9" s="1"/>
  <c r="O58" i="5"/>
  <c r="AH52" i="9" s="1"/>
  <c r="I58" i="5"/>
  <c r="AB52" i="9" s="1"/>
  <c r="S58" i="5"/>
  <c r="AL52" i="9" s="1"/>
  <c r="J58" i="5"/>
  <c r="AC52" i="9" s="1"/>
  <c r="U58" i="5"/>
  <c r="AN52" i="9" s="1"/>
  <c r="M58" i="5"/>
  <c r="AF52" i="9" s="1"/>
  <c r="F58" i="5"/>
  <c r="Y52" i="9" s="1"/>
  <c r="J29" i="5"/>
  <c r="AC23" i="9" s="1"/>
  <c r="U29" i="5"/>
  <c r="AN23" i="9" s="1"/>
  <c r="F29" i="5"/>
  <c r="Y23" i="9" s="1"/>
  <c r="M29" i="5"/>
  <c r="AF23" i="9" s="1"/>
  <c r="G29" i="5"/>
  <c r="Z23" i="9" s="1"/>
  <c r="O29" i="5"/>
  <c r="AH23" i="9" s="1"/>
  <c r="I29" i="5"/>
  <c r="AB23" i="9" s="1"/>
  <c r="S29" i="5"/>
  <c r="AL23" i="9" s="1"/>
  <c r="I49" i="5"/>
  <c r="AB43" i="9" s="1"/>
  <c r="S49" i="5"/>
  <c r="AL43" i="9" s="1"/>
  <c r="J49" i="5"/>
  <c r="AC43" i="9" s="1"/>
  <c r="U49" i="5"/>
  <c r="AN43" i="9" s="1"/>
  <c r="F49" i="5"/>
  <c r="Y43" i="9" s="1"/>
  <c r="M49" i="5"/>
  <c r="AF43" i="9" s="1"/>
  <c r="G49" i="5"/>
  <c r="Z43" i="9" s="1"/>
  <c r="O49" i="5"/>
  <c r="AH43" i="9" s="1"/>
  <c r="J15" i="5"/>
  <c r="AC9" i="9" s="1"/>
  <c r="U15" i="5"/>
  <c r="AN9" i="9" s="1"/>
  <c r="F15" i="5"/>
  <c r="Y9" i="9" s="1"/>
  <c r="M15" i="5"/>
  <c r="AF9" i="9" s="1"/>
  <c r="G15" i="5"/>
  <c r="Z9" i="9" s="1"/>
  <c r="O15" i="5"/>
  <c r="AH9" i="9" s="1"/>
  <c r="I15" i="5"/>
  <c r="AB9" i="9" s="1"/>
  <c r="S15" i="5"/>
  <c r="AL9" i="9" s="1"/>
  <c r="G36" i="5"/>
  <c r="Z30" i="9" s="1"/>
  <c r="O36" i="5"/>
  <c r="AH30" i="9" s="1"/>
  <c r="I36" i="5"/>
  <c r="AB30" i="9" s="1"/>
  <c r="S36" i="5"/>
  <c r="AL30" i="9" s="1"/>
  <c r="J36" i="5"/>
  <c r="AC30" i="9" s="1"/>
  <c r="U36" i="5"/>
  <c r="AN30" i="9" s="1"/>
  <c r="F36" i="5"/>
  <c r="Y30" i="9" s="1"/>
  <c r="M36" i="5"/>
  <c r="AF30" i="9" s="1"/>
  <c r="F52" i="5"/>
  <c r="Y46" i="9" s="1"/>
  <c r="M52" i="5"/>
  <c r="AF46" i="9" s="1"/>
  <c r="G52" i="5"/>
  <c r="Z46" i="9" s="1"/>
  <c r="O52" i="5"/>
  <c r="AH46" i="9" s="1"/>
  <c r="I52" i="5"/>
  <c r="AB46" i="9" s="1"/>
  <c r="S52" i="5"/>
  <c r="AL46" i="9" s="1"/>
  <c r="J52" i="5"/>
  <c r="AC46" i="9" s="1"/>
  <c r="U52" i="5"/>
  <c r="AN46" i="9" s="1"/>
  <c r="G14" i="5"/>
  <c r="Z8" i="9" s="1"/>
  <c r="O14" i="5"/>
  <c r="AH8" i="9" s="1"/>
  <c r="I14" i="5"/>
  <c r="AB8" i="9" s="1"/>
  <c r="S14" i="5"/>
  <c r="AL8" i="9" s="1"/>
  <c r="J14" i="5"/>
  <c r="AC8" i="9" s="1"/>
  <c r="U14" i="5"/>
  <c r="AN8" i="9" s="1"/>
  <c r="F14" i="5"/>
  <c r="Y8" i="9" s="1"/>
  <c r="M14" i="5"/>
  <c r="AF8" i="9" s="1"/>
  <c r="J39" i="5"/>
  <c r="AC33" i="9" s="1"/>
  <c r="U39" i="5"/>
  <c r="AN33" i="9" s="1"/>
  <c r="F39" i="5"/>
  <c r="Y33" i="9" s="1"/>
  <c r="M39" i="5"/>
  <c r="AF33" i="9" s="1"/>
  <c r="G39" i="5"/>
  <c r="Z33" i="9" s="1"/>
  <c r="O39" i="5"/>
  <c r="AH33" i="9" s="1"/>
  <c r="I39" i="5"/>
  <c r="AB33" i="9" s="1"/>
  <c r="S39" i="5"/>
  <c r="AL33" i="9" s="1"/>
  <c r="J25" i="5"/>
  <c r="AC19" i="9" s="1"/>
  <c r="U25" i="5"/>
  <c r="AN19" i="9" s="1"/>
  <c r="F25" i="5"/>
  <c r="Y19" i="9" s="1"/>
  <c r="M25" i="5"/>
  <c r="AF19" i="9" s="1"/>
  <c r="G25" i="5"/>
  <c r="Z19" i="9" s="1"/>
  <c r="O25" i="5"/>
  <c r="AH19" i="9" s="1"/>
  <c r="I25" i="5"/>
  <c r="AB19" i="9" s="1"/>
  <c r="S25" i="5"/>
  <c r="AL19" i="9" s="1"/>
  <c r="I47" i="5"/>
  <c r="AB41" i="9" s="1"/>
  <c r="S47" i="5"/>
  <c r="AL41" i="9" s="1"/>
  <c r="J47" i="5"/>
  <c r="AC41" i="9" s="1"/>
  <c r="U47" i="5"/>
  <c r="AN41" i="9" s="1"/>
  <c r="F47" i="5"/>
  <c r="Y41" i="9" s="1"/>
  <c r="M47" i="5"/>
  <c r="AF41" i="9" s="1"/>
  <c r="G47" i="5"/>
  <c r="Z41" i="9" s="1"/>
  <c r="O47" i="5"/>
  <c r="AH41" i="9" s="1"/>
  <c r="G30" i="5"/>
  <c r="Z24" i="9" s="1"/>
  <c r="O30" i="5"/>
  <c r="AH24" i="9" s="1"/>
  <c r="I30" i="5"/>
  <c r="AB24" i="9" s="1"/>
  <c r="S30" i="5"/>
  <c r="AL24" i="9" s="1"/>
  <c r="J30" i="5"/>
  <c r="AC24" i="9" s="1"/>
  <c r="U30" i="5"/>
  <c r="AN24" i="9" s="1"/>
  <c r="F30" i="5"/>
  <c r="Y24" i="9" s="1"/>
  <c r="M30" i="5"/>
  <c r="AF24" i="9" s="1"/>
  <c r="F46" i="5"/>
  <c r="Y40" i="9" s="1"/>
  <c r="M46" i="5"/>
  <c r="AF40" i="9" s="1"/>
  <c r="G46" i="5"/>
  <c r="Z40" i="9" s="1"/>
  <c r="O46" i="5"/>
  <c r="AH40" i="9" s="1"/>
  <c r="I46" i="5"/>
  <c r="AB40" i="9" s="1"/>
  <c r="S46" i="5"/>
  <c r="AL40" i="9" s="1"/>
  <c r="J46" i="5"/>
  <c r="AC40" i="9" s="1"/>
  <c r="U46" i="5"/>
  <c r="AN40" i="9" s="1"/>
  <c r="J62" i="5"/>
  <c r="AC56" i="9" s="1"/>
  <c r="U62" i="5"/>
  <c r="AN56" i="9" s="1"/>
  <c r="F62" i="5"/>
  <c r="Y56" i="9" s="1"/>
  <c r="M62" i="5"/>
  <c r="AF56" i="9" s="1"/>
  <c r="G62" i="5"/>
  <c r="Z56" i="9" s="1"/>
  <c r="O62" i="5"/>
  <c r="AH56" i="9" s="1"/>
  <c r="I62" i="5"/>
  <c r="AB56" i="9" s="1"/>
  <c r="S62" i="5"/>
  <c r="AL56" i="9" s="1"/>
  <c r="G16" i="5"/>
  <c r="Z10" i="9" s="1"/>
  <c r="O16" i="5"/>
  <c r="AH10" i="9" s="1"/>
  <c r="I16" i="5"/>
  <c r="AB10" i="9" s="1"/>
  <c r="S16" i="5"/>
  <c r="AL10" i="9" s="1"/>
  <c r="J16" i="5"/>
  <c r="AC10" i="9" s="1"/>
  <c r="U16" i="5"/>
  <c r="AN10" i="9" s="1"/>
  <c r="F16" i="5"/>
  <c r="Y10" i="9" s="1"/>
  <c r="M16" i="5"/>
  <c r="AF10" i="9" s="1"/>
  <c r="J33" i="5"/>
  <c r="AC27" i="9" s="1"/>
  <c r="U33" i="5"/>
  <c r="AN27" i="9" s="1"/>
  <c r="F33" i="5"/>
  <c r="Y27" i="9" s="1"/>
  <c r="M33" i="5"/>
  <c r="AF27" i="9" s="1"/>
  <c r="G33" i="5"/>
  <c r="Z27" i="9" s="1"/>
  <c r="O33" i="5"/>
  <c r="AH27" i="9" s="1"/>
  <c r="I33" i="5"/>
  <c r="AB27" i="9" s="1"/>
  <c r="S33" i="5"/>
  <c r="AL27" i="9" s="1"/>
  <c r="G18" i="5"/>
  <c r="Z12" i="9" s="1"/>
  <c r="O18" i="5"/>
  <c r="AH12" i="9" s="1"/>
  <c r="I18" i="5"/>
  <c r="AB12" i="9" s="1"/>
  <c r="S18" i="5"/>
  <c r="AL12" i="9" s="1"/>
  <c r="J18" i="5"/>
  <c r="AC12" i="9" s="1"/>
  <c r="U18" i="5"/>
  <c r="AN12" i="9" s="1"/>
  <c r="F18" i="5"/>
  <c r="Y12" i="9" s="1"/>
  <c r="M18" i="5"/>
  <c r="AF12" i="9" s="1"/>
  <c r="G40" i="5"/>
  <c r="Z34" i="9" s="1"/>
  <c r="O40" i="5"/>
  <c r="AH34" i="9" s="1"/>
  <c r="I40" i="5"/>
  <c r="AB34" i="9" s="1"/>
  <c r="S40" i="5"/>
  <c r="AL34" i="9" s="1"/>
  <c r="J40" i="5"/>
  <c r="AC34" i="9" s="1"/>
  <c r="U40" i="5"/>
  <c r="AN34" i="9" s="1"/>
  <c r="F40" i="5"/>
  <c r="Y34" i="9" s="1"/>
  <c r="M40" i="5"/>
  <c r="AF34" i="9" s="1"/>
  <c r="G56" i="5"/>
  <c r="Z50" i="9" s="1"/>
  <c r="O56" i="5"/>
  <c r="AH50" i="9" s="1"/>
  <c r="I56" i="5"/>
  <c r="AB50" i="9" s="1"/>
  <c r="S56" i="5"/>
  <c r="AL50" i="9" s="1"/>
  <c r="J56" i="5"/>
  <c r="AC50" i="9" s="1"/>
  <c r="U56" i="5"/>
  <c r="AN50" i="9" s="1"/>
  <c r="M56" i="5"/>
  <c r="AF50" i="9" s="1"/>
  <c r="F56" i="5"/>
  <c r="Y50" i="9" s="1"/>
  <c r="G24" i="5"/>
  <c r="Z18" i="9" s="1"/>
  <c r="O24" i="5"/>
  <c r="AH18" i="9" s="1"/>
  <c r="I24" i="5"/>
  <c r="AB18" i="9" s="1"/>
  <c r="S24" i="5"/>
  <c r="AL18" i="9" s="1"/>
  <c r="J24" i="5"/>
  <c r="AC18" i="9" s="1"/>
  <c r="U24" i="5"/>
  <c r="AN18" i="9" s="1"/>
  <c r="F24" i="5"/>
  <c r="Y18" i="9" s="1"/>
  <c r="M24" i="5"/>
  <c r="AF18" i="9" s="1"/>
  <c r="J43" i="5"/>
  <c r="AC37" i="9" s="1"/>
  <c r="U43" i="5"/>
  <c r="AN37" i="9" s="1"/>
  <c r="F43" i="5"/>
  <c r="Y37" i="9" s="1"/>
  <c r="M43" i="5"/>
  <c r="AF37" i="9" s="1"/>
  <c r="G43" i="5"/>
  <c r="Z37" i="9" s="1"/>
  <c r="O43" i="5"/>
  <c r="AH37" i="9" s="1"/>
  <c r="I43" i="5"/>
  <c r="AB37" i="9" s="1"/>
  <c r="S43" i="5"/>
  <c r="AL37" i="9" s="1"/>
  <c r="J21" i="5"/>
  <c r="AC15" i="9" s="1"/>
  <c r="U21" i="5"/>
  <c r="AN15" i="9" s="1"/>
  <c r="F21" i="5"/>
  <c r="Y15" i="9" s="1"/>
  <c r="M21" i="5"/>
  <c r="AF15" i="9" s="1"/>
  <c r="G21" i="5"/>
  <c r="Z15" i="9" s="1"/>
  <c r="O21" i="5"/>
  <c r="AH15" i="9" s="1"/>
  <c r="I21" i="5"/>
  <c r="AB15" i="9" s="1"/>
  <c r="S21" i="5"/>
  <c r="AL15" i="9" s="1"/>
  <c r="I51" i="5"/>
  <c r="AB45" i="9" s="1"/>
  <c r="S51" i="5"/>
  <c r="AL45" i="9" s="1"/>
  <c r="J51" i="5"/>
  <c r="AC45" i="9" s="1"/>
  <c r="U51" i="5"/>
  <c r="AN45" i="9" s="1"/>
  <c r="F51" i="5"/>
  <c r="Y45" i="9" s="1"/>
  <c r="M51" i="5"/>
  <c r="AF45" i="9" s="1"/>
  <c r="G51" i="5"/>
  <c r="Z45" i="9" s="1"/>
  <c r="O51" i="5"/>
  <c r="AH45" i="9" s="1"/>
  <c r="G20" i="5"/>
  <c r="Z14" i="9" s="1"/>
  <c r="O20" i="5"/>
  <c r="AH14" i="9" s="1"/>
  <c r="I20" i="5"/>
  <c r="AB14" i="9" s="1"/>
  <c r="S20" i="5"/>
  <c r="AL14" i="9" s="1"/>
  <c r="J20" i="5"/>
  <c r="AC14" i="9" s="1"/>
  <c r="U20" i="5"/>
  <c r="AN14" i="9" s="1"/>
  <c r="F20" i="5"/>
  <c r="Y14" i="9" s="1"/>
  <c r="M20" i="5"/>
  <c r="AF14" i="9" s="1"/>
  <c r="G34" i="5"/>
  <c r="Z28" i="9" s="1"/>
  <c r="O34" i="5"/>
  <c r="AH28" i="9" s="1"/>
  <c r="I34" i="5"/>
  <c r="AB28" i="9" s="1"/>
  <c r="S34" i="5"/>
  <c r="AL28" i="9" s="1"/>
  <c r="J34" i="5"/>
  <c r="AC28" i="9" s="1"/>
  <c r="U34" i="5"/>
  <c r="AN28" i="9" s="1"/>
  <c r="F34" i="5"/>
  <c r="Y28" i="9" s="1"/>
  <c r="M34" i="5"/>
  <c r="AF28" i="9" s="1"/>
  <c r="F50" i="5"/>
  <c r="Y44" i="9" s="1"/>
  <c r="M50" i="5"/>
  <c r="AF44" i="9" s="1"/>
  <c r="G50" i="5"/>
  <c r="Z44" i="9" s="1"/>
  <c r="O50" i="5"/>
  <c r="AH44" i="9" s="1"/>
  <c r="I50" i="5"/>
  <c r="AB44" i="9" s="1"/>
  <c r="S50" i="5"/>
  <c r="AL44" i="9" s="1"/>
  <c r="J50" i="5"/>
  <c r="AC44" i="9" s="1"/>
  <c r="U50" i="5"/>
  <c r="AN44" i="9" s="1"/>
  <c r="F45" i="5"/>
  <c r="Y39" i="9" s="1"/>
  <c r="G45" i="5"/>
  <c r="Z39" i="9" s="1"/>
  <c r="I45" i="5"/>
  <c r="AB39" i="9" s="1"/>
  <c r="S45" i="5"/>
  <c r="AL39" i="9" s="1"/>
  <c r="J45" i="5"/>
  <c r="AC39" i="9" s="1"/>
  <c r="U45" i="5"/>
  <c r="AN39" i="9" s="1"/>
  <c r="M45" i="5"/>
  <c r="AF39" i="9" s="1"/>
  <c r="O45" i="5"/>
  <c r="AH39" i="9" s="1"/>
  <c r="J19" i="5"/>
  <c r="AC13" i="9" s="1"/>
  <c r="U19" i="5"/>
  <c r="AN13" i="9" s="1"/>
  <c r="F19" i="5"/>
  <c r="Y13" i="9" s="1"/>
  <c r="M19" i="5"/>
  <c r="AF13" i="9" s="1"/>
  <c r="G19" i="5"/>
  <c r="Z13" i="9" s="1"/>
  <c r="O19" i="5"/>
  <c r="AH13" i="9" s="1"/>
  <c r="I19" i="5"/>
  <c r="AB13" i="9" s="1"/>
  <c r="S19" i="5"/>
  <c r="AL13" i="9" s="1"/>
  <c r="J37" i="5"/>
  <c r="AC31" i="9" s="1"/>
  <c r="U37" i="5"/>
  <c r="AN31" i="9" s="1"/>
  <c r="F37" i="5"/>
  <c r="Y31" i="9" s="1"/>
  <c r="M37" i="5"/>
  <c r="AF31" i="9" s="1"/>
  <c r="G37" i="5"/>
  <c r="Z31" i="9" s="1"/>
  <c r="O37" i="5"/>
  <c r="AH31" i="9" s="1"/>
  <c r="I37" i="5"/>
  <c r="AB31" i="9" s="1"/>
  <c r="S37" i="5"/>
  <c r="AL31" i="9" s="1"/>
  <c r="G28" i="5"/>
  <c r="Z22" i="9" s="1"/>
  <c r="O28" i="5"/>
  <c r="AH22" i="9" s="1"/>
  <c r="I28" i="5"/>
  <c r="AB22" i="9" s="1"/>
  <c r="S28" i="5"/>
  <c r="AL22" i="9" s="1"/>
  <c r="J28" i="5"/>
  <c r="AC22" i="9" s="1"/>
  <c r="U28" i="5"/>
  <c r="AN22" i="9" s="1"/>
  <c r="F28" i="5"/>
  <c r="Y22" i="9" s="1"/>
  <c r="M28" i="5"/>
  <c r="AF22" i="9" s="1"/>
  <c r="G44" i="5"/>
  <c r="Z38" i="9" s="1"/>
  <c r="O44" i="5"/>
  <c r="AH38" i="9" s="1"/>
  <c r="I44" i="5"/>
  <c r="AB38" i="9" s="1"/>
  <c r="S44" i="5"/>
  <c r="AL38" i="9" s="1"/>
  <c r="J44" i="5"/>
  <c r="AC38" i="9" s="1"/>
  <c r="U44" i="5"/>
  <c r="AN38" i="9" s="1"/>
  <c r="F44" i="5"/>
  <c r="Y38" i="9" s="1"/>
  <c r="M44" i="5"/>
  <c r="AF38" i="9" s="1"/>
  <c r="G60" i="5"/>
  <c r="Z54" i="9" s="1"/>
  <c r="O60" i="5"/>
  <c r="AH54" i="9" s="1"/>
  <c r="I60" i="5"/>
  <c r="AB54" i="9" s="1"/>
  <c r="S60" i="5"/>
  <c r="AL54" i="9" s="1"/>
  <c r="J60" i="5"/>
  <c r="AC54" i="9" s="1"/>
  <c r="U60" i="5"/>
  <c r="AN54" i="9" s="1"/>
  <c r="M60" i="5"/>
  <c r="AF54" i="9" s="1"/>
  <c r="F60" i="5"/>
  <c r="Y54" i="9" s="1"/>
  <c r="J27" i="5"/>
  <c r="AC21" i="9" s="1"/>
  <c r="U27" i="5"/>
  <c r="AN21" i="9" s="1"/>
  <c r="F27" i="5"/>
  <c r="Y21" i="9" s="1"/>
  <c r="M27" i="5"/>
  <c r="AF21" i="9" s="1"/>
  <c r="G27" i="5"/>
  <c r="Z21" i="9" s="1"/>
  <c r="O27" i="5"/>
  <c r="AH21" i="9" s="1"/>
  <c r="I27" i="5"/>
  <c r="AB21" i="9" s="1"/>
  <c r="S27" i="5"/>
  <c r="AL21" i="9" s="1"/>
  <c r="J55" i="5"/>
  <c r="AC49" i="9" s="1"/>
  <c r="U55" i="5"/>
  <c r="AN49" i="9" s="1"/>
  <c r="F55" i="5"/>
  <c r="Y49" i="9" s="1"/>
  <c r="M55" i="5"/>
  <c r="AF49" i="9" s="1"/>
  <c r="G55" i="5"/>
  <c r="Z49" i="9" s="1"/>
  <c r="O55" i="5"/>
  <c r="AH49" i="9" s="1"/>
  <c r="S55" i="5"/>
  <c r="AL49" i="9" s="1"/>
  <c r="I55" i="5"/>
  <c r="AB49" i="9" s="1"/>
  <c r="J17" i="5"/>
  <c r="AC11" i="9" s="1"/>
  <c r="U17" i="5"/>
  <c r="AN11" i="9" s="1"/>
  <c r="F17" i="5"/>
  <c r="Y11" i="9" s="1"/>
  <c r="M17" i="5"/>
  <c r="AF11" i="9" s="1"/>
  <c r="G17" i="5"/>
  <c r="Z11" i="9" s="1"/>
  <c r="O17" i="5"/>
  <c r="AH11" i="9" s="1"/>
  <c r="I17" i="5"/>
  <c r="AB11" i="9" s="1"/>
  <c r="S17" i="5"/>
  <c r="AL11" i="9" s="1"/>
  <c r="J59" i="5"/>
  <c r="AC53" i="9" s="1"/>
  <c r="U59" i="5"/>
  <c r="AN53" i="9" s="1"/>
  <c r="F59" i="5"/>
  <c r="Y53" i="9" s="1"/>
  <c r="M59" i="5"/>
  <c r="AF53" i="9" s="1"/>
  <c r="G59" i="5"/>
  <c r="Z53" i="9" s="1"/>
  <c r="O59" i="5"/>
  <c r="AH53" i="9" s="1"/>
  <c r="S59" i="5"/>
  <c r="AL53" i="9" s="1"/>
  <c r="I59" i="5"/>
  <c r="AB53" i="9" s="1"/>
  <c r="J23" i="5"/>
  <c r="AC17" i="9" s="1"/>
  <c r="U23" i="5"/>
  <c r="AN17" i="9" s="1"/>
  <c r="F23" i="5"/>
  <c r="Y17" i="9" s="1"/>
  <c r="M23" i="5"/>
  <c r="AF17" i="9" s="1"/>
  <c r="G23" i="5"/>
  <c r="Z17" i="9" s="1"/>
  <c r="O23" i="5"/>
  <c r="AH17" i="9" s="1"/>
  <c r="I23" i="5"/>
  <c r="AB17" i="9" s="1"/>
  <c r="S23" i="5"/>
  <c r="AL17" i="9" s="1"/>
  <c r="G38" i="5"/>
  <c r="Z32" i="9" s="1"/>
  <c r="O38" i="5"/>
  <c r="AH32" i="9" s="1"/>
  <c r="I38" i="5"/>
  <c r="AB32" i="9" s="1"/>
  <c r="S38" i="5"/>
  <c r="AL32" i="9" s="1"/>
  <c r="J38" i="5"/>
  <c r="AC32" i="9" s="1"/>
  <c r="U38" i="5"/>
  <c r="AN32" i="9" s="1"/>
  <c r="F38" i="5"/>
  <c r="Y32" i="9" s="1"/>
  <c r="M38" i="5"/>
  <c r="AF32" i="9" s="1"/>
  <c r="F54" i="5"/>
  <c r="Y48" i="9" s="1"/>
  <c r="M54" i="5"/>
  <c r="AF48" i="9" s="1"/>
  <c r="G54" i="5"/>
  <c r="Z48" i="9" s="1"/>
  <c r="O54" i="5"/>
  <c r="AH48" i="9" s="1"/>
  <c r="I54" i="5"/>
  <c r="AB48" i="9" s="1"/>
  <c r="S54" i="5"/>
  <c r="AL48" i="9" s="1"/>
  <c r="J54" i="5"/>
  <c r="AC48" i="9" s="1"/>
  <c r="U54" i="5"/>
  <c r="AN48" i="9" s="1"/>
  <c r="I53" i="5"/>
  <c r="AB47" i="9" s="1"/>
  <c r="S53" i="5"/>
  <c r="AL47" i="9" s="1"/>
  <c r="J53" i="5"/>
  <c r="AC47" i="9" s="1"/>
  <c r="U53" i="5"/>
  <c r="AN47" i="9" s="1"/>
  <c r="F53" i="5"/>
  <c r="Y47" i="9" s="1"/>
  <c r="M53" i="5"/>
  <c r="AF47" i="9" s="1"/>
  <c r="G53" i="5"/>
  <c r="Z47" i="9" s="1"/>
  <c r="O53" i="5"/>
  <c r="AH47" i="9" s="1"/>
  <c r="G22" i="5"/>
  <c r="Z16" i="9" s="1"/>
  <c r="O22" i="5"/>
  <c r="AH16" i="9" s="1"/>
  <c r="I22" i="5"/>
  <c r="AB16" i="9" s="1"/>
  <c r="S22" i="5"/>
  <c r="AL16" i="9" s="1"/>
  <c r="J22" i="5"/>
  <c r="AC16" i="9" s="1"/>
  <c r="U22" i="5"/>
  <c r="AN16" i="9" s="1"/>
  <c r="F22" i="5"/>
  <c r="Y16" i="9" s="1"/>
  <c r="M22" i="5"/>
  <c r="AF16" i="9" s="1"/>
  <c r="J41" i="5"/>
  <c r="AC35" i="9" s="1"/>
  <c r="U41" i="5"/>
  <c r="AN35" i="9" s="1"/>
  <c r="F41" i="5"/>
  <c r="Y35" i="9" s="1"/>
  <c r="M41" i="5"/>
  <c r="AF35" i="9" s="1"/>
  <c r="G41" i="5"/>
  <c r="Z35" i="9" s="1"/>
  <c r="O41" i="5"/>
  <c r="AH35" i="9" s="1"/>
  <c r="I41" i="5"/>
  <c r="AB35" i="9" s="1"/>
  <c r="S41" i="5"/>
  <c r="AL35" i="9" s="1"/>
  <c r="G32" i="5"/>
  <c r="Z26" i="9" s="1"/>
  <c r="O32" i="5"/>
  <c r="AH26" i="9" s="1"/>
  <c r="I32" i="5"/>
  <c r="AB26" i="9" s="1"/>
  <c r="S32" i="5"/>
  <c r="AL26" i="9" s="1"/>
  <c r="J32" i="5"/>
  <c r="AC26" i="9" s="1"/>
  <c r="U32" i="5"/>
  <c r="AN26" i="9" s="1"/>
  <c r="F32" i="5"/>
  <c r="Y26" i="9" s="1"/>
  <c r="M32" i="5"/>
  <c r="AF26" i="9" s="1"/>
  <c r="F48" i="5"/>
  <c r="Y42" i="9" s="1"/>
  <c r="M48" i="5"/>
  <c r="AF42" i="9" s="1"/>
  <c r="G48" i="5"/>
  <c r="Z42" i="9" s="1"/>
  <c r="O48" i="5"/>
  <c r="AH42" i="9" s="1"/>
  <c r="I48" i="5"/>
  <c r="AB42" i="9" s="1"/>
  <c r="S48" i="5"/>
  <c r="AL42" i="9" s="1"/>
  <c r="J48" i="5"/>
  <c r="AC42" i="9" s="1"/>
  <c r="U48" i="5"/>
  <c r="AN42" i="9" s="1"/>
  <c r="J64" i="5"/>
  <c r="AC58" i="9" s="1"/>
  <c r="U64" i="5"/>
  <c r="AN58" i="9" s="1"/>
  <c r="F64" i="5"/>
  <c r="Y58" i="9" s="1"/>
  <c r="M64" i="5"/>
  <c r="AF58" i="9" s="1"/>
  <c r="G64" i="5"/>
  <c r="Z58" i="9" s="1"/>
  <c r="O64" i="5"/>
  <c r="AH58" i="9" s="1"/>
  <c r="I64" i="5"/>
  <c r="AB58" i="9" s="1"/>
  <c r="S64" i="5"/>
  <c r="AL58" i="9" s="1"/>
  <c r="J35" i="5"/>
  <c r="AC29" i="9" s="1"/>
  <c r="U35" i="5"/>
  <c r="AN29" i="9" s="1"/>
  <c r="F35" i="5"/>
  <c r="Y29" i="9" s="1"/>
  <c r="M35" i="5"/>
  <c r="AF29" i="9" s="1"/>
  <c r="G35" i="5"/>
  <c r="Z29" i="9" s="1"/>
  <c r="O35" i="5"/>
  <c r="AH29" i="9" s="1"/>
  <c r="I35" i="5"/>
  <c r="AB29" i="9" s="1"/>
  <c r="S35" i="5"/>
  <c r="AL29" i="9" s="1"/>
  <c r="G63" i="5"/>
  <c r="Z57" i="9" s="1"/>
  <c r="O63" i="5"/>
  <c r="AH57" i="9" s="1"/>
  <c r="I63" i="5"/>
  <c r="AB57" i="9" s="1"/>
  <c r="S63" i="5"/>
  <c r="AL57" i="9" s="1"/>
  <c r="J63" i="5"/>
  <c r="AC57" i="9" s="1"/>
  <c r="U63" i="5"/>
  <c r="AN57" i="9" s="1"/>
  <c r="F63" i="5"/>
  <c r="Y57" i="9" s="1"/>
  <c r="M63" i="5"/>
  <c r="AF57" i="9" s="1"/>
  <c r="J13" i="5"/>
  <c r="AC7" i="9" s="1"/>
  <c r="U13" i="5"/>
  <c r="AN7" i="9" s="1"/>
  <c r="F13" i="5"/>
  <c r="Y7" i="9" s="1"/>
  <c r="M13" i="5"/>
  <c r="AF7" i="9" s="1"/>
  <c r="G13" i="5"/>
  <c r="Z7" i="9" s="1"/>
  <c r="O13" i="5"/>
  <c r="AH7" i="9" s="1"/>
  <c r="I13" i="5"/>
  <c r="AB7" i="9" s="1"/>
  <c r="S13" i="5"/>
  <c r="AL7" i="9" s="1"/>
  <c r="G44" i="10"/>
  <c r="G41" i="10"/>
  <c r="G35" i="10"/>
  <c r="N4" i="4"/>
  <c r="N9" i="4" l="1"/>
  <c r="N10" i="4"/>
  <c r="N11" i="4"/>
  <c r="O11" i="4"/>
  <c r="O12" i="4"/>
  <c r="O13" i="4"/>
  <c r="O14" i="4"/>
  <c r="N16" i="4"/>
  <c r="N17" i="4"/>
  <c r="N18" i="4"/>
  <c r="N19" i="4"/>
  <c r="N20" i="4"/>
  <c r="N21" i="4"/>
  <c r="O21" i="4"/>
  <c r="N23" i="4"/>
  <c r="O23" i="4"/>
  <c r="O24" i="4"/>
  <c r="O25" i="4"/>
  <c r="N27" i="4"/>
  <c r="O9" i="4"/>
  <c r="O10" i="4"/>
  <c r="N12" i="4"/>
  <c r="N13" i="4"/>
  <c r="N14" i="4"/>
  <c r="N15" i="4"/>
  <c r="O15" i="4"/>
  <c r="O16" i="4"/>
  <c r="O17" i="4"/>
  <c r="O18" i="4"/>
  <c r="O19" i="4"/>
  <c r="O20" i="4"/>
  <c r="N22" i="4"/>
  <c r="O22" i="4"/>
  <c r="N24" i="4"/>
  <c r="N25" i="4"/>
  <c r="N26" i="4"/>
  <c r="O26" i="4"/>
  <c r="O27" i="4"/>
  <c r="N28" i="4"/>
  <c r="O28" i="4"/>
  <c r="N8" i="4"/>
  <c r="O8" i="4"/>
  <c r="N6" i="4"/>
  <c r="O6" i="4"/>
  <c r="N7" i="4"/>
  <c r="O7" i="4"/>
  <c r="B52" i="10"/>
  <c r="B51" i="10"/>
  <c r="B50" i="10"/>
  <c r="L20" i="10"/>
  <c r="I20" i="10"/>
  <c r="L19" i="10"/>
  <c r="I19" i="10"/>
  <c r="L18" i="10"/>
  <c r="I18" i="10"/>
  <c r="L17" i="10"/>
  <c r="I17" i="10"/>
  <c r="L14" i="10"/>
  <c r="I14" i="10"/>
  <c r="L4" i="9"/>
  <c r="L7" i="9" l="1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M30" i="9" s="1"/>
  <c r="L31" i="9"/>
  <c r="M31" i="9" s="1"/>
  <c r="L32" i="9"/>
  <c r="M32" i="9" s="1"/>
  <c r="L33" i="9"/>
  <c r="M33" i="9" s="1"/>
  <c r="L34" i="9"/>
  <c r="M34" i="9" s="1"/>
  <c r="L35" i="9"/>
  <c r="M35" i="9" s="1"/>
  <c r="L36" i="9"/>
  <c r="M36" i="9" s="1"/>
  <c r="L37" i="9"/>
  <c r="M37" i="9" s="1"/>
  <c r="L38" i="9"/>
  <c r="M38" i="9" s="1"/>
  <c r="L39" i="9"/>
  <c r="M39" i="9" s="1"/>
  <c r="L40" i="9"/>
  <c r="M40" i="9" s="1"/>
  <c r="L41" i="9"/>
  <c r="M41" i="9" s="1"/>
  <c r="L42" i="9"/>
  <c r="M42" i="9" s="1"/>
  <c r="L43" i="9"/>
  <c r="M43" i="9" s="1"/>
  <c r="L44" i="9"/>
  <c r="M44" i="9" s="1"/>
  <c r="L45" i="9"/>
  <c r="M45" i="9" s="1"/>
  <c r="L46" i="9"/>
  <c r="M46" i="9" s="1"/>
  <c r="L47" i="9"/>
  <c r="M47" i="9" s="1"/>
  <c r="L48" i="9"/>
  <c r="M48" i="9" s="1"/>
  <c r="L49" i="9"/>
  <c r="M49" i="9" s="1"/>
  <c r="L50" i="9"/>
  <c r="M50" i="9" s="1"/>
  <c r="L51" i="9"/>
  <c r="M51" i="9" s="1"/>
  <c r="L52" i="9"/>
  <c r="M52" i="9" s="1"/>
  <c r="L53" i="9"/>
  <c r="M53" i="9" s="1"/>
  <c r="L54" i="9"/>
  <c r="M54" i="9" s="1"/>
  <c r="L55" i="9"/>
  <c r="M55" i="9" s="1"/>
  <c r="L56" i="9"/>
  <c r="M56" i="9" s="1"/>
  <c r="L57" i="9"/>
  <c r="M57" i="9" s="1"/>
  <c r="L58" i="9"/>
  <c r="M58" i="9" s="1"/>
  <c r="M20" i="10"/>
  <c r="N20" i="10" s="1"/>
  <c r="O20" i="10" s="1"/>
  <c r="M19" i="10"/>
  <c r="N19" i="10" s="1"/>
  <c r="O19" i="10" s="1"/>
  <c r="M18" i="10"/>
  <c r="N18" i="10" s="1"/>
  <c r="O18" i="10" s="1"/>
  <c r="M14" i="10"/>
  <c r="N14" i="10" s="1"/>
  <c r="O14" i="10" s="1"/>
  <c r="M17" i="10"/>
  <c r="N17" i="10" s="1"/>
  <c r="O17" i="10" s="1"/>
  <c r="J6" i="9"/>
  <c r="H6" i="9"/>
  <c r="C6" i="9"/>
  <c r="B6" i="9"/>
  <c r="M7" i="9" l="1"/>
  <c r="V13" i="5"/>
  <c r="AO7" i="9" s="1"/>
  <c r="M8" i="9"/>
  <c r="V14" i="5"/>
  <c r="AO8" i="9" s="1"/>
  <c r="M9" i="9"/>
  <c r="V15" i="5"/>
  <c r="AO9" i="9" s="1"/>
  <c r="M10" i="9"/>
  <c r="V16" i="5"/>
  <c r="AO10" i="9" s="1"/>
  <c r="M11" i="9"/>
  <c r="V17" i="5"/>
  <c r="AO11" i="9" s="1"/>
  <c r="M12" i="9"/>
  <c r="V18" i="5"/>
  <c r="AO12" i="9" s="1"/>
  <c r="M13" i="9"/>
  <c r="V19" i="5"/>
  <c r="AO13" i="9" s="1"/>
  <c r="M14" i="9"/>
  <c r="V20" i="5"/>
  <c r="AO14" i="9" s="1"/>
  <c r="M15" i="9"/>
  <c r="V21" i="5"/>
  <c r="AO15" i="9" s="1"/>
  <c r="M16" i="9"/>
  <c r="V22" i="5"/>
  <c r="AO16" i="9" s="1"/>
  <c r="M17" i="9"/>
  <c r="V23" i="5"/>
  <c r="AO17" i="9" s="1"/>
  <c r="M18" i="9"/>
  <c r="V24" i="5"/>
  <c r="AO18" i="9" s="1"/>
  <c r="M19" i="9"/>
  <c r="V25" i="5"/>
  <c r="AO19" i="9" s="1"/>
  <c r="M20" i="9"/>
  <c r="V26" i="5"/>
  <c r="AO20" i="9" s="1"/>
  <c r="M21" i="9"/>
  <c r="V27" i="5"/>
  <c r="AO21" i="9" s="1"/>
  <c r="M22" i="9"/>
  <c r="V28" i="5"/>
  <c r="AO22" i="9" s="1"/>
  <c r="M23" i="9"/>
  <c r="V29" i="5"/>
  <c r="AO23" i="9" s="1"/>
  <c r="M24" i="9"/>
  <c r="V30" i="5"/>
  <c r="AO24" i="9" s="1"/>
  <c r="M25" i="9"/>
  <c r="V31" i="5"/>
  <c r="AO25" i="9" s="1"/>
  <c r="M26" i="9"/>
  <c r="V32" i="5"/>
  <c r="AO26" i="9" s="1"/>
  <c r="M27" i="9"/>
  <c r="V33" i="5"/>
  <c r="AO27" i="9" s="1"/>
  <c r="M28" i="9"/>
  <c r="V34" i="5"/>
  <c r="AO28" i="9" s="1"/>
  <c r="M29" i="9"/>
  <c r="V35" i="5"/>
  <c r="AO29" i="9" s="1"/>
  <c r="AX6" i="9"/>
  <c r="AY6" i="9" s="1"/>
  <c r="K6" i="9"/>
  <c r="L6" i="9" s="1"/>
  <c r="L5" i="9" l="1"/>
  <c r="C53" i="10" s="1"/>
  <c r="V12" i="5"/>
  <c r="M6" i="9"/>
  <c r="V66" i="5" l="1"/>
  <c r="G46" i="10" s="1"/>
  <c r="AO6" i="9"/>
  <c r="AO5" i="9" s="1"/>
  <c r="B12" i="5"/>
  <c r="B11" i="5" s="1"/>
  <c r="A12" i="5"/>
  <c r="L5" i="4"/>
  <c r="M5" i="4"/>
  <c r="M4" i="4" s="1"/>
  <c r="F15" i="10" s="1"/>
  <c r="N5" i="4" l="1"/>
  <c r="F16" i="10"/>
  <c r="B59" i="10" s="1"/>
  <c r="B4" i="5" a="1"/>
  <c r="B4" i="5" s="1"/>
  <c r="G3" i="5"/>
  <c r="G2" i="5"/>
  <c r="C10" i="5"/>
  <c r="U8" i="5"/>
  <c r="G4" i="5" l="1"/>
  <c r="E11" i="5" s="1"/>
  <c r="W11" i="5" s="1"/>
  <c r="D12" i="10"/>
  <c r="Q5" i="4"/>
  <c r="C12" i="5" s="1"/>
  <c r="C11" i="5" l="1"/>
  <c r="E65" i="5"/>
  <c r="N65" i="5" s="1"/>
  <c r="E62" i="5"/>
  <c r="E63" i="5"/>
  <c r="E64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G5" i="5"/>
  <c r="F19" i="10" s="1"/>
  <c r="G15" i="10"/>
  <c r="G16" i="10" s="1"/>
  <c r="D59" i="10"/>
  <c r="N61" i="5" l="1"/>
  <c r="AG55" i="9" s="1"/>
  <c r="AP55" i="9" s="1"/>
  <c r="O55" i="9"/>
  <c r="P55" i="9" s="1"/>
  <c r="N60" i="5"/>
  <c r="AG54" i="9" s="1"/>
  <c r="AP54" i="9" s="1"/>
  <c r="O54" i="9"/>
  <c r="P54" i="9" s="1"/>
  <c r="N59" i="5"/>
  <c r="AG53" i="9" s="1"/>
  <c r="AP53" i="9" s="1"/>
  <c r="O53" i="9"/>
  <c r="P53" i="9" s="1"/>
  <c r="N58" i="5"/>
  <c r="AG52" i="9" s="1"/>
  <c r="AP52" i="9" s="1"/>
  <c r="O52" i="9"/>
  <c r="P52" i="9" s="1"/>
  <c r="N57" i="5"/>
  <c r="AG51" i="9" s="1"/>
  <c r="AP51" i="9" s="1"/>
  <c r="O51" i="9"/>
  <c r="P51" i="9" s="1"/>
  <c r="N56" i="5"/>
  <c r="AG50" i="9" s="1"/>
  <c r="AP50" i="9" s="1"/>
  <c r="O50" i="9"/>
  <c r="P50" i="9" s="1"/>
  <c r="N55" i="5"/>
  <c r="AG49" i="9" s="1"/>
  <c r="AP49" i="9" s="1"/>
  <c r="O49" i="9"/>
  <c r="P49" i="9" s="1"/>
  <c r="N54" i="5"/>
  <c r="AG48" i="9" s="1"/>
  <c r="AP48" i="9" s="1"/>
  <c r="O48" i="9"/>
  <c r="P48" i="9" s="1"/>
  <c r="N53" i="5"/>
  <c r="AG47" i="9" s="1"/>
  <c r="AP47" i="9" s="1"/>
  <c r="O47" i="9"/>
  <c r="P47" i="9" s="1"/>
  <c r="N52" i="5"/>
  <c r="AG46" i="9" s="1"/>
  <c r="AP46" i="9" s="1"/>
  <c r="O46" i="9"/>
  <c r="P46" i="9" s="1"/>
  <c r="N51" i="5"/>
  <c r="AG45" i="9" s="1"/>
  <c r="AP45" i="9" s="1"/>
  <c r="O45" i="9"/>
  <c r="P45" i="9" s="1"/>
  <c r="N50" i="5"/>
  <c r="AG44" i="9" s="1"/>
  <c r="AP44" i="9" s="1"/>
  <c r="O44" i="9"/>
  <c r="P44" i="9" s="1"/>
  <c r="N49" i="5"/>
  <c r="AG43" i="9" s="1"/>
  <c r="AP43" i="9" s="1"/>
  <c r="O43" i="9"/>
  <c r="P43" i="9" s="1"/>
  <c r="N48" i="5"/>
  <c r="AG42" i="9" s="1"/>
  <c r="AP42" i="9" s="1"/>
  <c r="O42" i="9"/>
  <c r="P42" i="9" s="1"/>
  <c r="N47" i="5"/>
  <c r="AG41" i="9" s="1"/>
  <c r="AP41" i="9" s="1"/>
  <c r="O41" i="9"/>
  <c r="P41" i="9" s="1"/>
  <c r="N46" i="5"/>
  <c r="AG40" i="9" s="1"/>
  <c r="AP40" i="9" s="1"/>
  <c r="O40" i="9"/>
  <c r="P40" i="9" s="1"/>
  <c r="N45" i="5"/>
  <c r="AG39" i="9" s="1"/>
  <c r="AP39" i="9" s="1"/>
  <c r="O39" i="9"/>
  <c r="P39" i="9" s="1"/>
  <c r="N44" i="5"/>
  <c r="AG38" i="9" s="1"/>
  <c r="AP38" i="9" s="1"/>
  <c r="O38" i="9"/>
  <c r="P38" i="9" s="1"/>
  <c r="N43" i="5"/>
  <c r="AG37" i="9" s="1"/>
  <c r="AP37" i="9" s="1"/>
  <c r="O37" i="9"/>
  <c r="P37" i="9" s="1"/>
  <c r="N42" i="5"/>
  <c r="AG36" i="9" s="1"/>
  <c r="AP36" i="9" s="1"/>
  <c r="O36" i="9"/>
  <c r="P36" i="9" s="1"/>
  <c r="N41" i="5"/>
  <c r="AG35" i="9" s="1"/>
  <c r="AP35" i="9" s="1"/>
  <c r="O35" i="9"/>
  <c r="P35" i="9" s="1"/>
  <c r="N40" i="5"/>
  <c r="AG34" i="9" s="1"/>
  <c r="AP34" i="9" s="1"/>
  <c r="O34" i="9"/>
  <c r="P34" i="9" s="1"/>
  <c r="N39" i="5"/>
  <c r="AG33" i="9" s="1"/>
  <c r="AP33" i="9" s="1"/>
  <c r="O33" i="9"/>
  <c r="P33" i="9" s="1"/>
  <c r="N38" i="5"/>
  <c r="AG32" i="9" s="1"/>
  <c r="AP32" i="9" s="1"/>
  <c r="O32" i="9"/>
  <c r="P32" i="9" s="1"/>
  <c r="N37" i="5"/>
  <c r="AG31" i="9" s="1"/>
  <c r="AP31" i="9" s="1"/>
  <c r="O31" i="9"/>
  <c r="P31" i="9" s="1"/>
  <c r="N36" i="5"/>
  <c r="AG30" i="9" s="1"/>
  <c r="AP30" i="9" s="1"/>
  <c r="O30" i="9"/>
  <c r="P30" i="9" s="1"/>
  <c r="N35" i="5"/>
  <c r="AG29" i="9" s="1"/>
  <c r="AP29" i="9" s="1"/>
  <c r="O29" i="9"/>
  <c r="P29" i="9" s="1"/>
  <c r="N34" i="5"/>
  <c r="AG28" i="9" s="1"/>
  <c r="AP28" i="9" s="1"/>
  <c r="O28" i="9"/>
  <c r="P28" i="9" s="1"/>
  <c r="N33" i="5"/>
  <c r="AG27" i="9" s="1"/>
  <c r="AP27" i="9" s="1"/>
  <c r="O27" i="9"/>
  <c r="P27" i="9" s="1"/>
  <c r="N32" i="5"/>
  <c r="AG26" i="9" s="1"/>
  <c r="AP26" i="9" s="1"/>
  <c r="O26" i="9"/>
  <c r="P26" i="9" s="1"/>
  <c r="N31" i="5"/>
  <c r="AG25" i="9" s="1"/>
  <c r="AP25" i="9" s="1"/>
  <c r="O25" i="9"/>
  <c r="P25" i="9" s="1"/>
  <c r="N30" i="5"/>
  <c r="AG24" i="9" s="1"/>
  <c r="AP24" i="9" s="1"/>
  <c r="O24" i="9"/>
  <c r="P24" i="9" s="1"/>
  <c r="N29" i="5"/>
  <c r="AG23" i="9" s="1"/>
  <c r="AP23" i="9" s="1"/>
  <c r="O23" i="9"/>
  <c r="P23" i="9" s="1"/>
  <c r="N28" i="5"/>
  <c r="AG22" i="9" s="1"/>
  <c r="AP22" i="9" s="1"/>
  <c r="O22" i="9"/>
  <c r="P22" i="9" s="1"/>
  <c r="N27" i="5"/>
  <c r="AG21" i="9" s="1"/>
  <c r="AP21" i="9" s="1"/>
  <c r="O21" i="9"/>
  <c r="P21" i="9" s="1"/>
  <c r="N26" i="5"/>
  <c r="AG20" i="9" s="1"/>
  <c r="AP20" i="9" s="1"/>
  <c r="O20" i="9"/>
  <c r="P20" i="9" s="1"/>
  <c r="N25" i="5"/>
  <c r="AG19" i="9" s="1"/>
  <c r="AP19" i="9" s="1"/>
  <c r="O19" i="9"/>
  <c r="P19" i="9" s="1"/>
  <c r="N24" i="5"/>
  <c r="AG18" i="9" s="1"/>
  <c r="AP18" i="9" s="1"/>
  <c r="O18" i="9"/>
  <c r="P18" i="9" s="1"/>
  <c r="N23" i="5"/>
  <c r="AG17" i="9" s="1"/>
  <c r="AP17" i="9" s="1"/>
  <c r="O17" i="9"/>
  <c r="P17" i="9" s="1"/>
  <c r="N22" i="5"/>
  <c r="AG16" i="9" s="1"/>
  <c r="AP16" i="9" s="1"/>
  <c r="O16" i="9"/>
  <c r="P16" i="9" s="1"/>
  <c r="N21" i="5"/>
  <c r="AG15" i="9" s="1"/>
  <c r="AP15" i="9" s="1"/>
  <c r="O15" i="9"/>
  <c r="P15" i="9" s="1"/>
  <c r="N20" i="5"/>
  <c r="AG14" i="9" s="1"/>
  <c r="AP14" i="9" s="1"/>
  <c r="O14" i="9"/>
  <c r="P14" i="9" s="1"/>
  <c r="N19" i="5"/>
  <c r="AG13" i="9" s="1"/>
  <c r="AP13" i="9" s="1"/>
  <c r="O13" i="9"/>
  <c r="P13" i="9" s="1"/>
  <c r="N18" i="5"/>
  <c r="AG12" i="9" s="1"/>
  <c r="AP12" i="9" s="1"/>
  <c r="O12" i="9"/>
  <c r="P12" i="9" s="1"/>
  <c r="N17" i="5"/>
  <c r="AG11" i="9" s="1"/>
  <c r="AP11" i="9" s="1"/>
  <c r="O11" i="9"/>
  <c r="P11" i="9" s="1"/>
  <c r="N16" i="5"/>
  <c r="AG10" i="9" s="1"/>
  <c r="AP10" i="9" s="1"/>
  <c r="O10" i="9"/>
  <c r="P10" i="9" s="1"/>
  <c r="N15" i="5"/>
  <c r="AG9" i="9" s="1"/>
  <c r="AP9" i="9" s="1"/>
  <c r="O9" i="9"/>
  <c r="P9" i="9" s="1"/>
  <c r="N14" i="5"/>
  <c r="AG8" i="9" s="1"/>
  <c r="AP8" i="9" s="1"/>
  <c r="O8" i="9"/>
  <c r="P8" i="9" s="1"/>
  <c r="N13" i="5"/>
  <c r="AG7" i="9" s="1"/>
  <c r="AP7" i="9" s="1"/>
  <c r="O7" i="9"/>
  <c r="P7" i="9" s="1"/>
  <c r="N64" i="5"/>
  <c r="AG58" i="9" s="1"/>
  <c r="AP58" i="9" s="1"/>
  <c r="O58" i="9"/>
  <c r="P58" i="9" s="1"/>
  <c r="N63" i="5"/>
  <c r="AG57" i="9" s="1"/>
  <c r="AP57" i="9" s="1"/>
  <c r="O57" i="9"/>
  <c r="P57" i="9" s="1"/>
  <c r="N62" i="5"/>
  <c r="AG56" i="9" s="1"/>
  <c r="AP56" i="9" s="1"/>
  <c r="O56" i="9"/>
  <c r="P56" i="9" s="1"/>
  <c r="W15" i="5"/>
  <c r="G19" i="10"/>
  <c r="W14" i="5" l="1"/>
  <c r="W13" i="5"/>
  <c r="R56" i="9"/>
  <c r="Q56" i="9" s="1"/>
  <c r="S56" i="9" s="1"/>
  <c r="V56" i="9"/>
  <c r="AS56" i="9"/>
  <c r="R57" i="9"/>
  <c r="Q57" i="9" s="1"/>
  <c r="S57" i="9" s="1"/>
  <c r="V57" i="9"/>
  <c r="AS57" i="9"/>
  <c r="R58" i="9"/>
  <c r="Q58" i="9" s="1"/>
  <c r="S58" i="9" s="1"/>
  <c r="V58" i="9"/>
  <c r="AS58" i="9"/>
  <c r="R7" i="9"/>
  <c r="V7" i="9"/>
  <c r="R8" i="9"/>
  <c r="V8" i="9"/>
  <c r="R9" i="9"/>
  <c r="V9" i="9"/>
  <c r="R10" i="9"/>
  <c r="V10" i="9"/>
  <c r="R11" i="9"/>
  <c r="V11" i="9"/>
  <c r="R12" i="9"/>
  <c r="Q12" i="9" s="1"/>
  <c r="S12" i="9" s="1"/>
  <c r="V12" i="9"/>
  <c r="R13" i="9"/>
  <c r="Q13" i="9" s="1"/>
  <c r="S13" i="9" s="1"/>
  <c r="V13" i="9"/>
  <c r="R14" i="9"/>
  <c r="Q14" i="9" s="1"/>
  <c r="S14" i="9" s="1"/>
  <c r="V14" i="9"/>
  <c r="R15" i="9"/>
  <c r="Q15" i="9" s="1"/>
  <c r="S15" i="9" s="1"/>
  <c r="V15" i="9"/>
  <c r="R16" i="9"/>
  <c r="Q16" i="9" s="1"/>
  <c r="S16" i="9" s="1"/>
  <c r="V16" i="9"/>
  <c r="R17" i="9"/>
  <c r="Q17" i="9" s="1"/>
  <c r="S17" i="9" s="1"/>
  <c r="V17" i="9"/>
  <c r="R18" i="9"/>
  <c r="Q18" i="9" s="1"/>
  <c r="S18" i="9" s="1"/>
  <c r="V18" i="9"/>
  <c r="R19" i="9"/>
  <c r="Q19" i="9" s="1"/>
  <c r="S19" i="9" s="1"/>
  <c r="V19" i="9"/>
  <c r="R20" i="9"/>
  <c r="Q20" i="9" s="1"/>
  <c r="S20" i="9" s="1"/>
  <c r="V20" i="9"/>
  <c r="R21" i="9"/>
  <c r="Q21" i="9" s="1"/>
  <c r="S21" i="9" s="1"/>
  <c r="V21" i="9"/>
  <c r="R22" i="9"/>
  <c r="Q22" i="9" s="1"/>
  <c r="S22" i="9" s="1"/>
  <c r="V22" i="9"/>
  <c r="R23" i="9"/>
  <c r="Q23" i="9" s="1"/>
  <c r="S23" i="9" s="1"/>
  <c r="V23" i="9"/>
  <c r="R24" i="9"/>
  <c r="Q24" i="9" s="1"/>
  <c r="S24" i="9" s="1"/>
  <c r="V24" i="9"/>
  <c r="R25" i="9"/>
  <c r="Q25" i="9" s="1"/>
  <c r="S25" i="9" s="1"/>
  <c r="V25" i="9"/>
  <c r="R26" i="9"/>
  <c r="Q26" i="9" s="1"/>
  <c r="S26" i="9" s="1"/>
  <c r="V26" i="9"/>
  <c r="R27" i="9"/>
  <c r="Q27" i="9" s="1"/>
  <c r="S27" i="9" s="1"/>
  <c r="V27" i="9"/>
  <c r="R28" i="9"/>
  <c r="Q28" i="9" s="1"/>
  <c r="S28" i="9" s="1"/>
  <c r="V28" i="9"/>
  <c r="R29" i="9"/>
  <c r="Q29" i="9" s="1"/>
  <c r="S29" i="9" s="1"/>
  <c r="V29" i="9"/>
  <c r="R30" i="9"/>
  <c r="Q30" i="9" s="1"/>
  <c r="S30" i="9" s="1"/>
  <c r="V30" i="9"/>
  <c r="R31" i="9"/>
  <c r="Q31" i="9" s="1"/>
  <c r="S31" i="9" s="1"/>
  <c r="V31" i="9"/>
  <c r="R32" i="9"/>
  <c r="Q32" i="9" s="1"/>
  <c r="S32" i="9" s="1"/>
  <c r="V32" i="9"/>
  <c r="R33" i="9"/>
  <c r="Q33" i="9" s="1"/>
  <c r="S33" i="9" s="1"/>
  <c r="V33" i="9"/>
  <c r="R34" i="9"/>
  <c r="Q34" i="9" s="1"/>
  <c r="S34" i="9" s="1"/>
  <c r="V34" i="9"/>
  <c r="R35" i="9"/>
  <c r="Q35" i="9" s="1"/>
  <c r="S35" i="9" s="1"/>
  <c r="V35" i="9"/>
  <c r="R36" i="9"/>
  <c r="Q36" i="9" s="1"/>
  <c r="S36" i="9" s="1"/>
  <c r="V36" i="9"/>
  <c r="R37" i="9"/>
  <c r="Q37" i="9" s="1"/>
  <c r="S37" i="9" s="1"/>
  <c r="V37" i="9"/>
  <c r="R38" i="9"/>
  <c r="Q38" i="9" s="1"/>
  <c r="S38" i="9" s="1"/>
  <c r="V38" i="9"/>
  <c r="R39" i="9"/>
  <c r="Q39" i="9" s="1"/>
  <c r="S39" i="9" s="1"/>
  <c r="V39" i="9"/>
  <c r="R40" i="9"/>
  <c r="Q40" i="9" s="1"/>
  <c r="S40" i="9" s="1"/>
  <c r="V40" i="9"/>
  <c r="R41" i="9"/>
  <c r="Q41" i="9" s="1"/>
  <c r="S41" i="9" s="1"/>
  <c r="V41" i="9"/>
  <c r="R42" i="9"/>
  <c r="Q42" i="9" s="1"/>
  <c r="S42" i="9" s="1"/>
  <c r="V42" i="9"/>
  <c r="R43" i="9"/>
  <c r="Q43" i="9" s="1"/>
  <c r="S43" i="9" s="1"/>
  <c r="V43" i="9"/>
  <c r="R44" i="9"/>
  <c r="Q44" i="9" s="1"/>
  <c r="S44" i="9" s="1"/>
  <c r="V44" i="9"/>
  <c r="R45" i="9"/>
  <c r="Q45" i="9" s="1"/>
  <c r="S45" i="9" s="1"/>
  <c r="V45" i="9"/>
  <c r="R46" i="9"/>
  <c r="Q46" i="9" s="1"/>
  <c r="S46" i="9" s="1"/>
  <c r="V46" i="9"/>
  <c r="R47" i="9"/>
  <c r="Q47" i="9" s="1"/>
  <c r="S47" i="9" s="1"/>
  <c r="V47" i="9"/>
  <c r="R48" i="9"/>
  <c r="Q48" i="9" s="1"/>
  <c r="S48" i="9" s="1"/>
  <c r="V48" i="9"/>
  <c r="R49" i="9"/>
  <c r="Q49" i="9" s="1"/>
  <c r="S49" i="9" s="1"/>
  <c r="V49" i="9"/>
  <c r="R50" i="9"/>
  <c r="Q50" i="9" s="1"/>
  <c r="S50" i="9" s="1"/>
  <c r="V50" i="9"/>
  <c r="R51" i="9"/>
  <c r="Q51" i="9" s="1"/>
  <c r="S51" i="9" s="1"/>
  <c r="V51" i="9"/>
  <c r="R52" i="9"/>
  <c r="Q52" i="9" s="1"/>
  <c r="S52" i="9" s="1"/>
  <c r="V52" i="9"/>
  <c r="R53" i="9"/>
  <c r="Q53" i="9" s="1"/>
  <c r="S53" i="9" s="1"/>
  <c r="V53" i="9"/>
  <c r="R54" i="9"/>
  <c r="Q54" i="9" s="1"/>
  <c r="S54" i="9" s="1"/>
  <c r="V54" i="9"/>
  <c r="R55" i="9"/>
  <c r="Q55" i="9" s="1"/>
  <c r="S55" i="9" s="1"/>
  <c r="V55" i="9"/>
  <c r="G17" i="10"/>
  <c r="G20" i="10" s="1"/>
  <c r="T55" i="9" l="1"/>
  <c r="U55" i="9"/>
  <c r="T54" i="9"/>
  <c r="U54" i="9"/>
  <c r="T53" i="9"/>
  <c r="U53" i="9"/>
  <c r="T52" i="9"/>
  <c r="U52" i="9"/>
  <c r="T51" i="9"/>
  <c r="U51" i="9"/>
  <c r="T50" i="9"/>
  <c r="U50" i="9"/>
  <c r="T49" i="9"/>
  <c r="U49" i="9"/>
  <c r="T48" i="9"/>
  <c r="U48" i="9"/>
  <c r="T47" i="9"/>
  <c r="U47" i="9"/>
  <c r="T46" i="9"/>
  <c r="U46" i="9"/>
  <c r="T45" i="9"/>
  <c r="U45" i="9"/>
  <c r="T44" i="9"/>
  <c r="U44" i="9"/>
  <c r="T43" i="9"/>
  <c r="U43" i="9"/>
  <c r="T42" i="9"/>
  <c r="U42" i="9"/>
  <c r="T41" i="9"/>
  <c r="U41" i="9"/>
  <c r="T40" i="9"/>
  <c r="U40" i="9"/>
  <c r="T39" i="9"/>
  <c r="U39" i="9"/>
  <c r="T38" i="9"/>
  <c r="U38" i="9"/>
  <c r="T37" i="9"/>
  <c r="U37" i="9"/>
  <c r="T36" i="9"/>
  <c r="U36" i="9"/>
  <c r="T35" i="9"/>
  <c r="U35" i="9"/>
  <c r="T34" i="9"/>
  <c r="U34" i="9"/>
  <c r="T33" i="9"/>
  <c r="U33" i="9"/>
  <c r="T32" i="9"/>
  <c r="U32" i="9"/>
  <c r="T31" i="9"/>
  <c r="U31" i="9"/>
  <c r="T30" i="9"/>
  <c r="U30" i="9"/>
  <c r="T29" i="9"/>
  <c r="U29" i="9"/>
  <c r="T28" i="9"/>
  <c r="U28" i="9"/>
  <c r="T27" i="9"/>
  <c r="U27" i="9"/>
  <c r="T26" i="9"/>
  <c r="U26" i="9"/>
  <c r="T25" i="9"/>
  <c r="U25" i="9"/>
  <c r="T24" i="9"/>
  <c r="U24" i="9"/>
  <c r="T23" i="9"/>
  <c r="U23" i="9"/>
  <c r="T22" i="9"/>
  <c r="U22" i="9"/>
  <c r="T21" i="9"/>
  <c r="U21" i="9"/>
  <c r="T20" i="9"/>
  <c r="U20" i="9"/>
  <c r="T19" i="9"/>
  <c r="U19" i="9"/>
  <c r="T18" i="9"/>
  <c r="U18" i="9"/>
  <c r="T17" i="9"/>
  <c r="U17" i="9"/>
  <c r="T16" i="9"/>
  <c r="U16" i="9"/>
  <c r="T15" i="9"/>
  <c r="U15" i="9"/>
  <c r="T14" i="9"/>
  <c r="U14" i="9"/>
  <c r="T13" i="9"/>
  <c r="U13" i="9"/>
  <c r="T12" i="9"/>
  <c r="U12" i="9"/>
  <c r="Q11" i="9"/>
  <c r="S11" i="9" s="1"/>
  <c r="Q10" i="9"/>
  <c r="S10" i="9" s="1"/>
  <c r="Q9" i="9"/>
  <c r="S9" i="9" s="1"/>
  <c r="Q8" i="9"/>
  <c r="S8" i="9" s="1"/>
  <c r="Q7" i="9"/>
  <c r="S7" i="9" s="1"/>
  <c r="AU58" i="9"/>
  <c r="AW58" i="9"/>
  <c r="T58" i="9"/>
  <c r="U58" i="9"/>
  <c r="AU57" i="9"/>
  <c r="AW57" i="9"/>
  <c r="T57" i="9"/>
  <c r="U57" i="9"/>
  <c r="AU56" i="9"/>
  <c r="AW56" i="9"/>
  <c r="T56" i="9"/>
  <c r="U56" i="9"/>
  <c r="X5" i="9"/>
  <c r="T7" i="9" l="1"/>
  <c r="U7" i="9"/>
  <c r="T8" i="9"/>
  <c r="U8" i="9"/>
  <c r="T9" i="9"/>
  <c r="U9" i="9"/>
  <c r="T10" i="9"/>
  <c r="U10" i="9"/>
  <c r="T11" i="9"/>
  <c r="U11" i="9"/>
  <c r="G52" i="10"/>
  <c r="P5" i="4"/>
  <c r="I6" i="9" l="1"/>
  <c r="N6" i="9" s="1"/>
  <c r="G51" i="10"/>
  <c r="M12" i="5" l="1"/>
  <c r="AF6" i="9" s="1"/>
  <c r="AF5" i="9" s="1"/>
  <c r="S12" i="5"/>
  <c r="AL6" i="9" s="1"/>
  <c r="AL5" i="9" s="1"/>
  <c r="K12" i="5"/>
  <c r="AD6" i="9" s="1"/>
  <c r="AD5" i="9" s="1"/>
  <c r="T12" i="5"/>
  <c r="AM6" i="9" s="1"/>
  <c r="AM5" i="9" s="1"/>
  <c r="G12" i="5"/>
  <c r="Z6" i="9" s="1"/>
  <c r="Z5" i="9" s="1"/>
  <c r="E12" i="5"/>
  <c r="U12" i="5"/>
  <c r="AN6" i="9" s="1"/>
  <c r="AN5" i="9" s="1"/>
  <c r="Q12" i="5"/>
  <c r="AJ6" i="9" s="1"/>
  <c r="AJ5" i="9" s="1"/>
  <c r="L12" i="5"/>
  <c r="AE6" i="9" s="1"/>
  <c r="AE5" i="9" s="1"/>
  <c r="P12" i="5"/>
  <c r="AI6" i="9" s="1"/>
  <c r="AI5" i="9" s="1"/>
  <c r="H12" i="5"/>
  <c r="AA6" i="9" s="1"/>
  <c r="AA5" i="9" s="1"/>
  <c r="I12" i="5"/>
  <c r="AB6" i="9" s="1"/>
  <c r="AB5" i="9" s="1"/>
  <c r="O12" i="5"/>
  <c r="AH6" i="9" s="1"/>
  <c r="AH5" i="9" s="1"/>
  <c r="F12" i="5"/>
  <c r="Y6" i="9" s="1"/>
  <c r="R12" i="5"/>
  <c r="AK6" i="9" s="1"/>
  <c r="AK5" i="9" s="1"/>
  <c r="J12" i="5"/>
  <c r="AC6" i="9" s="1"/>
  <c r="AC5" i="9" s="1"/>
  <c r="O5" i="4"/>
  <c r="Y5" i="9" l="1"/>
  <c r="N12" i="5"/>
  <c r="N66" i="5" s="1"/>
  <c r="G38" i="10" s="1"/>
  <c r="G47" i="10" s="1"/>
  <c r="O6" i="9"/>
  <c r="O5" i="9" s="1"/>
  <c r="AG6" i="9" l="1"/>
  <c r="P6" i="9"/>
  <c r="P4" i="9" s="1"/>
  <c r="AG5" i="9" l="1"/>
  <c r="AP6" i="9"/>
  <c r="AP5" i="9" s="1"/>
  <c r="V6" i="9"/>
  <c r="V4" i="9" s="1"/>
  <c r="G27" i="10" s="1"/>
  <c r="R6" i="9"/>
  <c r="Q6" i="9" l="1"/>
  <c r="T6" i="9" s="1"/>
  <c r="T4" i="9" s="1"/>
  <c r="G25" i="10" s="1"/>
  <c r="R4" i="9"/>
  <c r="G23" i="10" s="1"/>
  <c r="U6" i="9" l="1"/>
  <c r="U4" i="9" s="1"/>
  <c r="G26" i="10" s="1"/>
  <c r="Q4" i="9"/>
  <c r="AS5" i="9" s="1"/>
  <c r="S6" i="9"/>
  <c r="S4" i="9" s="1"/>
  <c r="G24" i="10" s="1"/>
  <c r="X51" i="9"/>
  <c r="AS51" i="9" s="1"/>
  <c r="W56" i="9"/>
  <c r="AQ56" i="9" s="1"/>
  <c r="AT56" i="9" s="1"/>
  <c r="X52" i="9"/>
  <c r="AS52" i="9" s="1"/>
  <c r="W57" i="9"/>
  <c r="AQ57" i="9" s="1"/>
  <c r="X53" i="9"/>
  <c r="AS53" i="9" s="1"/>
  <c r="W58" i="9"/>
  <c r="AQ58" i="9" s="1"/>
  <c r="AT58" i="9" s="1"/>
  <c r="X54" i="9"/>
  <c r="AS54" i="9" s="1"/>
  <c r="X7" i="9"/>
  <c r="AS7" i="9" s="1"/>
  <c r="W12" i="9"/>
  <c r="AQ12" i="9" s="1"/>
  <c r="X8" i="9"/>
  <c r="AS8" i="9" s="1"/>
  <c r="W13" i="9"/>
  <c r="AQ13" i="9" s="1"/>
  <c r="X9" i="9"/>
  <c r="AS9" i="9" s="1"/>
  <c r="W14" i="9"/>
  <c r="AQ14" i="9" s="1"/>
  <c r="X10" i="9"/>
  <c r="AS10" i="9" s="1"/>
  <c r="W15" i="9"/>
  <c r="AQ15" i="9" s="1"/>
  <c r="X11" i="9"/>
  <c r="AS11" i="9" s="1"/>
  <c r="W16" i="9"/>
  <c r="AQ16" i="9" s="1"/>
  <c r="X12" i="9"/>
  <c r="AS12" i="9" s="1"/>
  <c r="W17" i="9"/>
  <c r="AQ17" i="9" s="1"/>
  <c r="AT17" i="9" s="1"/>
  <c r="X13" i="9"/>
  <c r="AS13" i="9" s="1"/>
  <c r="W18" i="9"/>
  <c r="AQ18" i="9" s="1"/>
  <c r="X14" i="9"/>
  <c r="AS14" i="9" s="1"/>
  <c r="W19" i="9"/>
  <c r="AQ19" i="9" s="1"/>
  <c r="AT19" i="9" s="1"/>
  <c r="X15" i="9"/>
  <c r="AS15" i="9" s="1"/>
  <c r="W20" i="9"/>
  <c r="AQ20" i="9" s="1"/>
  <c r="X16" i="9"/>
  <c r="AS16" i="9" s="1"/>
  <c r="W21" i="9"/>
  <c r="AQ21" i="9" s="1"/>
  <c r="AT21" i="9" s="1"/>
  <c r="X17" i="9"/>
  <c r="AS17" i="9" s="1"/>
  <c r="W22" i="9"/>
  <c r="AQ22" i="9" s="1"/>
  <c r="X18" i="9"/>
  <c r="AS18" i="9" s="1"/>
  <c r="W23" i="9"/>
  <c r="AQ23" i="9" s="1"/>
  <c r="AT23" i="9" s="1"/>
  <c r="X19" i="9"/>
  <c r="AS19" i="9" s="1"/>
  <c r="W24" i="9"/>
  <c r="AQ24" i="9" s="1"/>
  <c r="X20" i="9"/>
  <c r="AS20" i="9" s="1"/>
  <c r="W25" i="9"/>
  <c r="AQ25" i="9" s="1"/>
  <c r="AT25" i="9" s="1"/>
  <c r="X21" i="9"/>
  <c r="AS21" i="9" s="1"/>
  <c r="W26" i="9"/>
  <c r="AQ26" i="9" s="1"/>
  <c r="X22" i="9"/>
  <c r="AS22" i="9" s="1"/>
  <c r="W27" i="9"/>
  <c r="AQ27" i="9" s="1"/>
  <c r="AT27" i="9" s="1"/>
  <c r="X23" i="9"/>
  <c r="AS23" i="9" s="1"/>
  <c r="W28" i="9"/>
  <c r="AQ28" i="9" s="1"/>
  <c r="X24" i="9"/>
  <c r="AS24" i="9" s="1"/>
  <c r="W29" i="9"/>
  <c r="AQ29" i="9" s="1"/>
  <c r="AT29" i="9" s="1"/>
  <c r="X25" i="9"/>
  <c r="AS25" i="9" s="1"/>
  <c r="W30" i="9"/>
  <c r="AQ30" i="9" s="1"/>
  <c r="X26" i="9"/>
  <c r="AS26" i="9" s="1"/>
  <c r="W31" i="9"/>
  <c r="AQ31" i="9" s="1"/>
  <c r="AT31" i="9" s="1"/>
  <c r="X27" i="9"/>
  <c r="AS27" i="9" s="1"/>
  <c r="W32" i="9"/>
  <c r="AQ32" i="9" s="1"/>
  <c r="X28" i="9"/>
  <c r="AS28" i="9" s="1"/>
  <c r="W33" i="9"/>
  <c r="AQ33" i="9" s="1"/>
  <c r="AT33" i="9" s="1"/>
  <c r="X29" i="9"/>
  <c r="AS29" i="9" s="1"/>
  <c r="W34" i="9"/>
  <c r="AQ34" i="9" s="1"/>
  <c r="X30" i="9"/>
  <c r="AS30" i="9" s="1"/>
  <c r="W35" i="9"/>
  <c r="AQ35" i="9" s="1"/>
  <c r="AT35" i="9" s="1"/>
  <c r="X31" i="9"/>
  <c r="AS31" i="9" s="1"/>
  <c r="W36" i="9"/>
  <c r="AQ36" i="9" s="1"/>
  <c r="X32" i="9"/>
  <c r="AS32" i="9" s="1"/>
  <c r="W37" i="9"/>
  <c r="AQ37" i="9" s="1"/>
  <c r="AT37" i="9" s="1"/>
  <c r="X33" i="9"/>
  <c r="AS33" i="9" s="1"/>
  <c r="W38" i="9"/>
  <c r="AQ38" i="9" s="1"/>
  <c r="X34" i="9"/>
  <c r="AS34" i="9" s="1"/>
  <c r="W39" i="9"/>
  <c r="AQ39" i="9" s="1"/>
  <c r="AT39" i="9" s="1"/>
  <c r="X35" i="9"/>
  <c r="AS35" i="9" s="1"/>
  <c r="W40" i="9"/>
  <c r="AQ40" i="9" s="1"/>
  <c r="X36" i="9"/>
  <c r="AS36" i="9" s="1"/>
  <c r="W41" i="9"/>
  <c r="AQ41" i="9" s="1"/>
  <c r="AT41" i="9" s="1"/>
  <c r="X37" i="9"/>
  <c r="AS37" i="9" s="1"/>
  <c r="W42" i="9"/>
  <c r="AQ42" i="9" s="1"/>
  <c r="X38" i="9"/>
  <c r="AS38" i="9" s="1"/>
  <c r="W43" i="9"/>
  <c r="AQ43" i="9" s="1"/>
  <c r="AT43" i="9" s="1"/>
  <c r="X39" i="9"/>
  <c r="AS39" i="9" s="1"/>
  <c r="W44" i="9"/>
  <c r="AQ44" i="9" s="1"/>
  <c r="X40" i="9"/>
  <c r="AS40" i="9" s="1"/>
  <c r="W45" i="9"/>
  <c r="AQ45" i="9" s="1"/>
  <c r="AT45" i="9" s="1"/>
  <c r="X41" i="9"/>
  <c r="AS41" i="9" s="1"/>
  <c r="W46" i="9"/>
  <c r="AQ46" i="9" s="1"/>
  <c r="X42" i="9"/>
  <c r="AS42" i="9" s="1"/>
  <c r="W47" i="9"/>
  <c r="AQ47" i="9" s="1"/>
  <c r="AT47" i="9" s="1"/>
  <c r="X43" i="9"/>
  <c r="AS43" i="9" s="1"/>
  <c r="W48" i="9"/>
  <c r="AQ48" i="9" s="1"/>
  <c r="X44" i="9"/>
  <c r="AS44" i="9" s="1"/>
  <c r="W49" i="9"/>
  <c r="AQ49" i="9" s="1"/>
  <c r="AT49" i="9" s="1"/>
  <c r="X45" i="9"/>
  <c r="AS45" i="9" s="1"/>
  <c r="W50" i="9"/>
  <c r="AQ50" i="9" s="1"/>
  <c r="X46" i="9"/>
  <c r="AS46" i="9" s="1"/>
  <c r="W51" i="9"/>
  <c r="AQ51" i="9" s="1"/>
  <c r="AT51" i="9" s="1"/>
  <c r="X47" i="9"/>
  <c r="AS47" i="9" s="1"/>
  <c r="W52" i="9"/>
  <c r="AQ52" i="9" s="1"/>
  <c r="X48" i="9"/>
  <c r="AS48" i="9" s="1"/>
  <c r="W53" i="9"/>
  <c r="AQ53" i="9" s="1"/>
  <c r="AT53" i="9" s="1"/>
  <c r="X49" i="9"/>
  <c r="AS49" i="9" s="1"/>
  <c r="W54" i="9"/>
  <c r="AQ54" i="9" s="1"/>
  <c r="X50" i="9"/>
  <c r="AS50" i="9" s="1"/>
  <c r="W55" i="9"/>
  <c r="AQ55" i="9" s="1"/>
  <c r="AT55" i="9" s="1"/>
  <c r="X55" i="9"/>
  <c r="AS55" i="9" s="1"/>
  <c r="W8" i="9"/>
  <c r="AQ8" i="9" s="1"/>
  <c r="AT8" i="9" s="1"/>
  <c r="W9" i="9"/>
  <c r="AQ9" i="9" s="1"/>
  <c r="AT9" i="9" s="1"/>
  <c r="W10" i="9"/>
  <c r="AQ10" i="9" s="1"/>
  <c r="AT10" i="9" s="1"/>
  <c r="W7" i="9"/>
  <c r="AQ7" i="9" s="1"/>
  <c r="W11" i="9"/>
  <c r="AQ11" i="9" s="1"/>
  <c r="X6" i="9"/>
  <c r="AS6" i="9" s="1"/>
  <c r="G28" i="10" l="1"/>
  <c r="G48" i="10" s="1"/>
  <c r="W6" i="9"/>
  <c r="AQ6" i="9" s="1"/>
  <c r="AT54" i="9"/>
  <c r="AV54" i="9"/>
  <c r="R53" i="4" s="1"/>
  <c r="AT38" i="9"/>
  <c r="AV38" i="9"/>
  <c r="R37" i="4" s="1"/>
  <c r="AT30" i="9"/>
  <c r="AV30" i="9"/>
  <c r="R29" i="4" s="1"/>
  <c r="AT22" i="9"/>
  <c r="AV22" i="9"/>
  <c r="R21" i="4" s="1"/>
  <c r="AT57" i="9"/>
  <c r="AV57" i="9"/>
  <c r="R56" i="4" s="1"/>
  <c r="AU6" i="9"/>
  <c r="AW6" i="9"/>
  <c r="AT46" i="9"/>
  <c r="AV46" i="9"/>
  <c r="R45" i="4" s="1"/>
  <c r="AT52" i="9"/>
  <c r="AV52" i="9"/>
  <c r="R51" i="4" s="1"/>
  <c r="AT44" i="9"/>
  <c r="AV44" i="9"/>
  <c r="R43" i="4" s="1"/>
  <c r="AT36" i="9"/>
  <c r="AV36" i="9"/>
  <c r="R35" i="4" s="1"/>
  <c r="AT28" i="9"/>
  <c r="AV28" i="9"/>
  <c r="R27" i="4" s="1"/>
  <c r="AT20" i="9"/>
  <c r="AV20" i="9"/>
  <c r="R19" i="4" s="1"/>
  <c r="AT12" i="9"/>
  <c r="AV12" i="9"/>
  <c r="R11" i="4" s="1"/>
  <c r="AT50" i="9"/>
  <c r="AV50" i="9"/>
  <c r="R49" i="4" s="1"/>
  <c r="AT42" i="9"/>
  <c r="AV42" i="9"/>
  <c r="R41" i="4" s="1"/>
  <c r="AT34" i="9"/>
  <c r="AV34" i="9"/>
  <c r="R33" i="4" s="1"/>
  <c r="AT26" i="9"/>
  <c r="AV26" i="9"/>
  <c r="R25" i="4" s="1"/>
  <c r="AT18" i="9"/>
  <c r="AV18" i="9"/>
  <c r="R17" i="4" s="1"/>
  <c r="AT48" i="9"/>
  <c r="AV48" i="9"/>
  <c r="R47" i="4" s="1"/>
  <c r="AT40" i="9"/>
  <c r="AV40" i="9"/>
  <c r="R39" i="4" s="1"/>
  <c r="AT32" i="9"/>
  <c r="AV32" i="9"/>
  <c r="R31" i="4" s="1"/>
  <c r="AT24" i="9"/>
  <c r="AV24" i="9"/>
  <c r="R23" i="4" s="1"/>
  <c r="AT16" i="9"/>
  <c r="AV16" i="9"/>
  <c r="R15" i="4" s="1"/>
  <c r="AV10" i="9"/>
  <c r="R9" i="4" s="1"/>
  <c r="AV9" i="9"/>
  <c r="R8" i="4" s="1"/>
  <c r="AV8" i="9"/>
  <c r="R7" i="4" s="1"/>
  <c r="AV55" i="9"/>
  <c r="R54" i="4" s="1"/>
  <c r="AV51" i="9"/>
  <c r="R50" i="4" s="1"/>
  <c r="AV47" i="9"/>
  <c r="R46" i="4" s="1"/>
  <c r="AV43" i="9"/>
  <c r="R42" i="4" s="1"/>
  <c r="AV39" i="9"/>
  <c r="R38" i="4" s="1"/>
  <c r="AV35" i="9"/>
  <c r="R34" i="4" s="1"/>
  <c r="AV31" i="9"/>
  <c r="R30" i="4" s="1"/>
  <c r="AV27" i="9"/>
  <c r="R26" i="4" s="1"/>
  <c r="AV23" i="9"/>
  <c r="R22" i="4" s="1"/>
  <c r="AV19" i="9"/>
  <c r="R18" i="4" s="1"/>
  <c r="AV56" i="9"/>
  <c r="R55" i="4" s="1"/>
  <c r="AV53" i="9"/>
  <c r="R52" i="4" s="1"/>
  <c r="AV49" i="9"/>
  <c r="R48" i="4" s="1"/>
  <c r="AV45" i="9"/>
  <c r="R44" i="4" s="1"/>
  <c r="AV41" i="9"/>
  <c r="R40" i="4" s="1"/>
  <c r="AV37" i="9"/>
  <c r="R36" i="4" s="1"/>
  <c r="AV33" i="9"/>
  <c r="R32" i="4" s="1"/>
  <c r="AV29" i="9"/>
  <c r="R28" i="4" s="1"/>
  <c r="AV25" i="9"/>
  <c r="R24" i="4" s="1"/>
  <c r="AV21" i="9"/>
  <c r="R20" i="4" s="1"/>
  <c r="AV17" i="9"/>
  <c r="R16" i="4" s="1"/>
  <c r="AV58" i="9"/>
  <c r="R57" i="4" s="1"/>
  <c r="AT11" i="9"/>
  <c r="AV11" i="9"/>
  <c r="R10" i="4" s="1"/>
  <c r="AT7" i="9"/>
  <c r="AV7" i="9"/>
  <c r="R6" i="4" s="1"/>
  <c r="AU55" i="9"/>
  <c r="AW55" i="9"/>
  <c r="AU50" i="9"/>
  <c r="AW50" i="9"/>
  <c r="AU49" i="9"/>
  <c r="AW49" i="9"/>
  <c r="AU48" i="9"/>
  <c r="AW48" i="9"/>
  <c r="AU47" i="9"/>
  <c r="AW47" i="9"/>
  <c r="AU46" i="9"/>
  <c r="AW46" i="9"/>
  <c r="AU45" i="9"/>
  <c r="AW45" i="9"/>
  <c r="AU44" i="9"/>
  <c r="AW44" i="9"/>
  <c r="AU43" i="9"/>
  <c r="AW43" i="9"/>
  <c r="AU42" i="9"/>
  <c r="AW42" i="9"/>
  <c r="AU41" i="9"/>
  <c r="AW41" i="9"/>
  <c r="AU40" i="9"/>
  <c r="AW40" i="9"/>
  <c r="AU39" i="9"/>
  <c r="AW39" i="9"/>
  <c r="AU38" i="9"/>
  <c r="AW38" i="9"/>
  <c r="AU37" i="9"/>
  <c r="AW37" i="9"/>
  <c r="AU36" i="9"/>
  <c r="AW36" i="9"/>
  <c r="AU35" i="9"/>
  <c r="AW35" i="9"/>
  <c r="AU34" i="9"/>
  <c r="AW34" i="9"/>
  <c r="AU33" i="9"/>
  <c r="AW33" i="9"/>
  <c r="AU32" i="9"/>
  <c r="AW32" i="9"/>
  <c r="AU31" i="9"/>
  <c r="AW31" i="9"/>
  <c r="AU30" i="9"/>
  <c r="AW30" i="9"/>
  <c r="AU29" i="9"/>
  <c r="AW29" i="9"/>
  <c r="AU28" i="9"/>
  <c r="AW28" i="9"/>
  <c r="AU27" i="9"/>
  <c r="AW27" i="9"/>
  <c r="AU26" i="9"/>
  <c r="AW26" i="9"/>
  <c r="AU25" i="9"/>
  <c r="AW25" i="9"/>
  <c r="AU24" i="9"/>
  <c r="AW24" i="9"/>
  <c r="AU23" i="9"/>
  <c r="AW23" i="9"/>
  <c r="AU22" i="9"/>
  <c r="AW22" i="9"/>
  <c r="AU21" i="9"/>
  <c r="AW21" i="9"/>
  <c r="AU20" i="9"/>
  <c r="AW20" i="9"/>
  <c r="AU19" i="9"/>
  <c r="AW19" i="9"/>
  <c r="AU18" i="9"/>
  <c r="AW18" i="9"/>
  <c r="AU17" i="9"/>
  <c r="AW17" i="9"/>
  <c r="AU16" i="9"/>
  <c r="AW16" i="9"/>
  <c r="AU15" i="9"/>
  <c r="AW15" i="9"/>
  <c r="AU14" i="9"/>
  <c r="AW14" i="9"/>
  <c r="AU13" i="9"/>
  <c r="AW13" i="9"/>
  <c r="AU12" i="9"/>
  <c r="AW12" i="9"/>
  <c r="AU11" i="9"/>
  <c r="AW11" i="9"/>
  <c r="AV15" i="9"/>
  <c r="R14" i="4" s="1"/>
  <c r="AT15" i="9"/>
  <c r="AU10" i="9"/>
  <c r="AW10" i="9"/>
  <c r="AV14" i="9"/>
  <c r="R13" i="4" s="1"/>
  <c r="AT14" i="9"/>
  <c r="AU9" i="9"/>
  <c r="AW9" i="9"/>
  <c r="AV13" i="9"/>
  <c r="R12" i="4" s="1"/>
  <c r="AT13" i="9"/>
  <c r="AU8" i="9"/>
  <c r="AW8" i="9"/>
  <c r="AU7" i="9"/>
  <c r="AW7" i="9"/>
  <c r="AU54" i="9"/>
  <c r="AW54" i="9"/>
  <c r="AU53" i="9"/>
  <c r="AW53" i="9"/>
  <c r="AU52" i="9"/>
  <c r="AW52" i="9"/>
  <c r="AU51" i="9"/>
  <c r="AW51" i="9"/>
  <c r="W5" i="9" l="1"/>
  <c r="AQ5" i="9" s="1"/>
  <c r="C55" i="10" s="1"/>
  <c r="C54" i="10" s="1"/>
  <c r="AT6" i="9"/>
  <c r="BA6" i="9"/>
  <c r="AV6" i="9"/>
  <c r="R5" i="4" s="1"/>
  <c r="G50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tc={0C9ECCC5-3310-412D-8782-C1D3124F4B3E}</author>
  </authors>
  <commentList>
    <comment ref="E8" authorId="0" shapeId="0" xr:uid="{0C9ECCC5-3310-412D-8782-C1D3124F4B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Notar que regime tributário é o Simples Nacional, portanto a função não impacta no cálculo de impostos.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<sst xmlns="http://schemas.openxmlformats.org/spreadsheetml/2006/main" count="189" uniqueCount="132">
  <si>
    <t>Estimativa de Custo 100%</t>
  </si>
  <si>
    <t>USO: REVENDA</t>
  </si>
  <si>
    <t>PORTO SAÍDA: SHANGHAI</t>
  </si>
  <si>
    <t>PORTO ENTRADA: PARANAGUÁ</t>
  </si>
  <si>
    <t>SIMULAÇÃO 100%</t>
  </si>
  <si>
    <t xml:space="preserve">REFERÊNCIA CÁLCULO BASE </t>
  </si>
  <si>
    <t>R$/USD:</t>
  </si>
  <si>
    <t>NCM:</t>
  </si>
  <si>
    <t>VALORES ADUANEIROS</t>
  </si>
  <si>
    <t>ITEM</t>
  </si>
  <si>
    <t>QTY</t>
  </si>
  <si>
    <t>BRL UNIT PRICE</t>
  </si>
  <si>
    <t>DISCRIMINAÇÃO</t>
  </si>
  <si>
    <t>UNIDADE</t>
  </si>
  <si>
    <t>PREÇO USD</t>
  </si>
  <si>
    <t>PREÇO TOTAL USD</t>
  </si>
  <si>
    <t>R$</t>
  </si>
  <si>
    <t>-</t>
  </si>
  <si>
    <t>TOTAL FOB</t>
  </si>
  <si>
    <t>PRODUTO + FRETE</t>
  </si>
  <si>
    <t>Seguro</t>
  </si>
  <si>
    <t>Frete</t>
  </si>
  <si>
    <t>TOTAL VALOR ADUANEIRO</t>
  </si>
  <si>
    <t>IMPOSTOS</t>
  </si>
  <si>
    <t>PERCENTUAL</t>
  </si>
  <si>
    <t>VALOR (R$)</t>
  </si>
  <si>
    <t xml:space="preserve">IMPOSTO. IMPORTAÇÃO  </t>
  </si>
  <si>
    <t xml:space="preserve">IPI </t>
  </si>
  <si>
    <t>PIS</t>
  </si>
  <si>
    <t xml:space="preserve">COFINS </t>
  </si>
  <si>
    <t>ICMS</t>
  </si>
  <si>
    <t>TOTAL VALOR IMPOSTOS</t>
  </si>
  <si>
    <t>DESPESAS ADUANEIRAS E LOGÍSTICAS</t>
  </si>
  <si>
    <t>TAXA SISCOMEX</t>
  </si>
  <si>
    <t>LIBERAÇÃO DE B/L</t>
  </si>
  <si>
    <t>T.H.C|CAPATAZIA</t>
  </si>
  <si>
    <t>ISPS</t>
  </si>
  <si>
    <t>DAMAGE PROTECTION</t>
  </si>
  <si>
    <t>DESCONSOLIDAÇÃO</t>
  </si>
  <si>
    <t>DEVOLUÇÃO DE CONTAINER</t>
  </si>
  <si>
    <t>TRS</t>
  </si>
  <si>
    <t>AFRMM</t>
  </si>
  <si>
    <t>ARMAZENAGEM TCP</t>
  </si>
  <si>
    <t>5 DIAS DE ARMAZENAGEM</t>
  </si>
  <si>
    <t>SCANNER TCP</t>
  </si>
  <si>
    <t>HANDLING - TCP</t>
  </si>
  <si>
    <t>PESAGEM TCP</t>
  </si>
  <si>
    <t>TAXA DO PARCEIRO - PARANAGUÁ</t>
  </si>
  <si>
    <t>FRETE RODOVIÁRIO</t>
  </si>
  <si>
    <t>DESEMBARAÇO ADUANEIRO</t>
  </si>
  <si>
    <t>TOTAL VALOR DESEMBARAÇO ADUANEIRO</t>
  </si>
  <si>
    <t>TOTAL   (PARTE 1 + PARTE 2 + PARTE 3) ........................................................:</t>
  </si>
  <si>
    <t>TOTAL</t>
  </si>
  <si>
    <t>PREÇO FOB</t>
  </si>
  <si>
    <t>DESPESAS</t>
  </si>
  <si>
    <t>FAVOR NOTAR QUE A ESTIMATIVA DE CUSTOS NÃO CONTEMPLA VALORES DE COMISSÃO, POIS ELES VARIAM CONFORME CONTRATO.</t>
  </si>
  <si>
    <t>LISTA DE COMPRA</t>
  </si>
  <si>
    <t>Item</t>
  </si>
  <si>
    <t>Produto</t>
  </si>
  <si>
    <t>NCM</t>
  </si>
  <si>
    <t>II</t>
  </si>
  <si>
    <t>IPI</t>
  </si>
  <si>
    <t>COFINS</t>
  </si>
  <si>
    <t>Preço Unitário</t>
  </si>
  <si>
    <t>Preço Unitário Sub 50%</t>
  </si>
  <si>
    <t>Preço total por produto</t>
  </si>
  <si>
    <t>Preço total por produto Sub</t>
  </si>
  <si>
    <t>% Rateio Quantidade</t>
  </si>
  <si>
    <t>% Rateio Preço</t>
  </si>
  <si>
    <t>DETALHES DO PRODUTO</t>
  </si>
  <si>
    <t>VALOR ADUANEIRO</t>
  </si>
  <si>
    <t>TAXAS PORTUÁRIAS</t>
  </si>
  <si>
    <t>Nº</t>
  </si>
  <si>
    <t>Código</t>
  </si>
  <si>
    <t>Bitola (mm)</t>
  </si>
  <si>
    <t>Embal.</t>
  </si>
  <si>
    <t>QTD</t>
  </si>
  <si>
    <t>Preço unitário Fábrica (USD)</t>
  </si>
  <si>
    <t>Preço x QTD (Valor em USD)</t>
  </si>
  <si>
    <t>Preço x QTD (valor em BRL)</t>
  </si>
  <si>
    <t>Preço x QTD (valor em BRL) SUB</t>
  </si>
  <si>
    <t>THC (valor em BRL)</t>
  </si>
  <si>
    <t>Valor do frete (Valor em BRL)</t>
  </si>
  <si>
    <t>TOTAL VALOR ADUANEIRO + II</t>
  </si>
  <si>
    <t>IMPOSTO DE IMPORTAÇÃO</t>
  </si>
  <si>
    <t>TOTAL IMPOSTOS</t>
  </si>
  <si>
    <t>TOTAL IMPOSTOS (SUB)</t>
  </si>
  <si>
    <t>T.H.C|  CAPATAZIA</t>
  </si>
  <si>
    <t>TOTAL TAXAS DESEMBARAÇO</t>
  </si>
  <si>
    <t>TOTAL (sub)</t>
  </si>
  <si>
    <t xml:space="preserve">MÉTODO ANTIGO </t>
  </si>
  <si>
    <t>MÉTODO ANTIGO (sub)</t>
  </si>
  <si>
    <t xml:space="preserve">MÉTODO DANI </t>
  </si>
  <si>
    <t>MÉTODO DANI (sub)</t>
  </si>
  <si>
    <t xml:space="preserve">MÉTODO JULIANA </t>
  </si>
  <si>
    <t>MÉTODO JULIANA (sub)</t>
  </si>
  <si>
    <t>VALOR UNITÁRIO C/ COMISSÃO SEAWISE</t>
  </si>
  <si>
    <t>AAA</t>
  </si>
  <si>
    <t xml:space="preserve">                                                                                         </t>
  </si>
  <si>
    <t>CÂMBIO</t>
  </si>
  <si>
    <t>FRETE</t>
  </si>
  <si>
    <t>Quantidade</t>
  </si>
  <si>
    <t>Preço R$ nacionalizado</t>
  </si>
  <si>
    <t xml:space="preserve">Quantidade </t>
  </si>
  <si>
    <t>Cylinder Head Cummins ISB 5.9/6.7</t>
  </si>
  <si>
    <t>Cylinder Head Volvo FH13</t>
  </si>
  <si>
    <t xml:space="preserve">Cylinder Head Cummins 4BT </t>
  </si>
  <si>
    <t>Cylinder Head MB 457/460 Axor</t>
  </si>
  <si>
    <t>CABECOTE CUMMINS SERIE C</t>
  </si>
  <si>
    <t>CABECOTE MAN 4CIL D08</t>
  </si>
  <si>
    <t>CABECOTE MAN 6CIL D08</t>
  </si>
  <si>
    <t>CABECOTE CUMMINS 6BT</t>
  </si>
  <si>
    <t xml:space="preserve"> CABECOTE MAN TGX 460</t>
  </si>
  <si>
    <t>CABECOTE CATERPILAR C 7</t>
  </si>
  <si>
    <t>CABECOTE CATERPILAR C6.6</t>
  </si>
  <si>
    <t>BLOCO MB 352 A C/ ESGUICHO</t>
  </si>
  <si>
    <t>BLOCO MB 366 A C/ ESGUICHO</t>
  </si>
  <si>
    <t>BLOCO CUMMINS 4BT</t>
  </si>
  <si>
    <t xml:space="preserve">BLOCO CUMMINS 6BT </t>
  </si>
  <si>
    <t>BLOCO CUMMINS ISB 5.9</t>
  </si>
  <si>
    <t>BLOCO CUMMINS ISB 6.7</t>
  </si>
  <si>
    <t>BLOCO CUMMINS ISC 8.3/8.9</t>
  </si>
  <si>
    <t>BLOCO MB 924</t>
  </si>
  <si>
    <t>BLOCO MB 926</t>
  </si>
  <si>
    <t>BLOCO MAN D0834</t>
  </si>
  <si>
    <t>BLOCO MAN D0836</t>
  </si>
  <si>
    <t>BLOCOS SCANIA DC13</t>
  </si>
  <si>
    <t>BLOCO MOTOR SCANIA DC 12</t>
  </si>
  <si>
    <t>PRODUTO: CABEÇOTES E BLOCOS</t>
  </si>
  <si>
    <t>CONSIDERAR ICMS 6%</t>
  </si>
  <si>
    <t>COMISSÃO SEAWISE</t>
  </si>
  <si>
    <t>FRETE: FCL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</si>
</sst>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R$-416]\ #,##0.00;\-[$R$-416]\ #,##0.00"/>
    <numFmt numFmtId="165" formatCode="_-[$USD]\ * #,##0.00_-;\-[$USD]\ * #,##0.00_-;_-[$USD]\ * &quot;-&quot;??_-;_-@_-"/>
    <numFmt numFmtId="166" formatCode="[$R$-416]\ #,##0.00"/>
    <numFmt numFmtId="167" formatCode="0.0%"/>
    <numFmt numFmtId="168" formatCode="_-[$R$-416]\ * #,##0.00_-;\-[$R$-416]\ * #,##0.00_-;_-[$R$-416]\ * &quot;-&quot;??_-;_-@_-"/>
    <numFmt numFmtId="169" formatCode="_-[$R$-416]\ * #,##0.0000_-;\-[$R$-416]\ * #,##0.0000_-;_-[$R$-416]\ * &quot;-&quot;????_-;_-@_-"/>
    <numFmt numFmtId="170" formatCode="_-[$$-409]* #,##0.00_ ;_-[$$-409]* \-#,##0.00\ ;_-[$$-409]* &quot;-&quot;??_ ;_-@_ "/>
    <numFmt numFmtId="171" formatCode="&quot;R$&quot;\ #,##0.00"/>
    <numFmt numFmtId="172" formatCode="_(&quot;$&quot;* #,##0.00_);_(&quot;$&quot;* \(#,##0.00\);_(&quot;$&quot;* &quot;-&quot;??_);_(@_)"/>
    <numFmt numFmtId="173" formatCode="[$USD]\ #,##0.00"/>
    <numFmt numFmtId="174" formatCode="_-[$R$-416]\ * #,##0.00_-;\-[$R$-416]\ * #,##0.00_-;_-[$R$-416]\ * &quot;-&quot;????_-;_-@_-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4"/>
      <name val="Calibri"/>
      <family val="2"/>
      <scheme val="minor"/>
    </font>
    <font>
      <sz val="11"/>
      <color rgb="FF2A2E34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6"/>
      <name val="Calibri"/>
      <family val="2"/>
      <scheme val="minor"/>
    </font>
    <font>
      <sz val="10"/>
      <color rgb="FF000000"/>
      <name val="Calibri"/>
      <charset val="134"/>
      <scheme val="minor"/>
    </font>
    <font>
      <sz val="10"/>
      <name val="Calibri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9" fontId="0" fillId="0" borderId="0" xfId="0" applyNumberFormat="1"/>
    <xf numFmtId="0" fontId="1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9" fontId="0" fillId="0" borderId="0" xfId="2" applyFont="1"/>
    <xf numFmtId="168" fontId="0" fillId="6" borderId="0" xfId="0" applyNumberFormat="1" applyFill="1" applyAlignment="1">
      <alignment horizontal="center" vertical="center"/>
    </xf>
    <xf numFmtId="9" fontId="0" fillId="6" borderId="0" xfId="2" applyFont="1" applyFill="1" applyAlignment="1">
      <alignment horizontal="center" vertical="center"/>
    </xf>
    <xf numFmtId="168" fontId="0" fillId="0" borderId="0" xfId="0" applyNumberFormat="1"/>
    <xf numFmtId="10" fontId="0" fillId="0" borderId="0" xfId="2" applyNumberFormat="1" applyFont="1" applyFill="1"/>
    <xf numFmtId="170" fontId="0" fillId="0" borderId="0" xfId="0" applyNumberForma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8" fillId="7" borderId="0" xfId="0" applyFont="1" applyFill="1" applyAlignment="1">
      <alignment vertical="center"/>
    </xf>
    <xf numFmtId="0" fontId="8" fillId="7" borderId="5" xfId="0" applyFont="1" applyFill="1" applyBorder="1" applyAlignment="1">
      <alignment horizontal="left" vertical="center"/>
    </xf>
    <xf numFmtId="0" fontId="9" fillId="7" borderId="12" xfId="0" applyFont="1" applyFill="1" applyBorder="1" applyAlignment="1">
      <alignment vertical="center"/>
    </xf>
    <xf numFmtId="0" fontId="9" fillId="7" borderId="1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right" vertical="center"/>
    </xf>
    <xf numFmtId="171" fontId="11" fillId="8" borderId="0" xfId="0" applyNumberFormat="1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2" fillId="8" borderId="5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8" fontId="0" fillId="0" borderId="1" xfId="0" applyNumberFormat="1" applyBorder="1"/>
    <xf numFmtId="168" fontId="0" fillId="0" borderId="1" xfId="0" applyNumberFormat="1" applyBorder="1" applyAlignment="1">
      <alignment vertical="center"/>
    </xf>
    <xf numFmtId="0" fontId="5" fillId="11" borderId="4" xfId="0" applyFont="1" applyFill="1" applyBorder="1"/>
    <xf numFmtId="0" fontId="5" fillId="11" borderId="0" xfId="3" applyNumberFormat="1" applyFont="1" applyFill="1" applyAlignment="1">
      <alignment vertical="center"/>
    </xf>
    <xf numFmtId="1" fontId="5" fillId="11" borderId="0" xfId="4" applyNumberFormat="1" applyFont="1" applyFill="1" applyAlignment="1">
      <alignment horizontal="center" vertical="center"/>
    </xf>
    <xf numFmtId="0" fontId="5" fillId="0" borderId="4" xfId="0" applyFont="1" applyBorder="1" applyAlignment="1">
      <alignment vertical="center"/>
    </xf>
    <xf numFmtId="172" fontId="5" fillId="0" borderId="0" xfId="3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164" fontId="7" fillId="0" borderId="13" xfId="0" applyNumberFormat="1" applyFont="1" applyBorder="1" applyAlignment="1">
      <alignment vertical="center"/>
    </xf>
    <xf numFmtId="164" fontId="7" fillId="0" borderId="14" xfId="0" applyNumberFormat="1" applyFont="1" applyBorder="1" applyAlignment="1">
      <alignment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left" vertical="center"/>
    </xf>
    <xf numFmtId="43" fontId="0" fillId="0" borderId="0" xfId="0" applyNumberFormat="1" applyAlignment="1">
      <alignment vertical="center"/>
    </xf>
    <xf numFmtId="0" fontId="5" fillId="0" borderId="4" xfId="0" applyFont="1" applyBorder="1"/>
    <xf numFmtId="0" fontId="5" fillId="0" borderId="0" xfId="0" applyFont="1"/>
    <xf numFmtId="0" fontId="0" fillId="0" borderId="0" xfId="0" applyAlignment="1">
      <alignment horizontal="left" vertical="center"/>
    </xf>
    <xf numFmtId="9" fontId="5" fillId="0" borderId="0" xfId="2" applyFont="1"/>
    <xf numFmtId="171" fontId="7" fillId="0" borderId="14" xfId="0" applyNumberFormat="1" applyFont="1" applyBorder="1" applyAlignment="1">
      <alignment vertical="center"/>
    </xf>
    <xf numFmtId="0" fontId="8" fillId="12" borderId="6" xfId="0" applyFont="1" applyFill="1" applyBorder="1" applyAlignment="1">
      <alignment horizontal="left" vertical="center"/>
    </xf>
    <xf numFmtId="0" fontId="11" fillId="12" borderId="12" xfId="0" applyFont="1" applyFill="1" applyBorder="1" applyAlignment="1">
      <alignment horizontal="left" vertical="center"/>
    </xf>
    <xf numFmtId="0" fontId="11" fillId="12" borderId="7" xfId="0" applyFont="1" applyFill="1" applyBorder="1" applyAlignment="1">
      <alignment horizontal="left" vertical="center"/>
    </xf>
    <xf numFmtId="166" fontId="8" fillId="12" borderId="11" xfId="0" applyNumberFormat="1" applyFont="1" applyFill="1" applyBorder="1" applyAlignment="1">
      <alignment horizontal="right"/>
    </xf>
    <xf numFmtId="0" fontId="7" fillId="0" borderId="2" xfId="0" applyFont="1" applyBorder="1" applyAlignment="1">
      <alignment vertical="center"/>
    </xf>
    <xf numFmtId="164" fontId="7" fillId="0" borderId="9" xfId="0" applyNumberFormat="1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0" fontId="5" fillId="0" borderId="5" xfId="0" applyFont="1" applyBorder="1" applyAlignment="1">
      <alignment vertical="center"/>
    </xf>
    <xf numFmtId="165" fontId="5" fillId="0" borderId="0" xfId="0" applyNumberFormat="1" applyFont="1" applyAlignment="1">
      <alignment vertical="center"/>
    </xf>
    <xf numFmtId="168" fontId="5" fillId="0" borderId="0" xfId="1" applyNumberFormat="1" applyFont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9" fontId="0" fillId="0" borderId="0" xfId="2" applyFont="1" applyBorder="1" applyAlignment="1">
      <alignment vertical="center"/>
    </xf>
    <xf numFmtId="0" fontId="9" fillId="7" borderId="7" xfId="0" applyFont="1" applyFill="1" applyBorder="1" applyAlignment="1">
      <alignment horizontal="center" vertical="center"/>
    </xf>
    <xf numFmtId="0" fontId="10" fillId="11" borderId="4" xfId="0" applyFont="1" applyFill="1" applyBorder="1"/>
    <xf numFmtId="1" fontId="10" fillId="11" borderId="0" xfId="4" applyNumberFormat="1" applyFont="1" applyFill="1" applyAlignment="1">
      <alignment horizontal="center" vertical="center"/>
    </xf>
    <xf numFmtId="164" fontId="0" fillId="0" borderId="0" xfId="0" applyNumberForma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" fillId="0" borderId="17" xfId="0" applyFont="1" applyBorder="1"/>
    <xf numFmtId="0" fontId="1" fillId="13" borderId="17" xfId="0" applyFont="1" applyFill="1" applyBorder="1" applyAlignment="1">
      <alignment horizontal="centerContinuous"/>
    </xf>
    <xf numFmtId="0" fontId="1" fillId="14" borderId="17" xfId="0" applyFont="1" applyFill="1" applyBorder="1" applyAlignment="1">
      <alignment horizontal="centerContinuous"/>
    </xf>
    <xf numFmtId="0" fontId="1" fillId="14" borderId="17" xfId="0" applyFont="1" applyFill="1" applyBorder="1" applyAlignment="1">
      <alignment horizontal="centerContinuous" wrapText="1"/>
    </xf>
    <xf numFmtId="0" fontId="1" fillId="7" borderId="17" xfId="0" applyFont="1" applyFill="1" applyBorder="1" applyAlignment="1">
      <alignment horizontal="centerContinuous" wrapText="1"/>
    </xf>
    <xf numFmtId="0" fontId="1" fillId="7" borderId="17" xfId="0" applyFont="1" applyFill="1" applyBorder="1" applyAlignment="1">
      <alignment horizontal="centerContinuous"/>
    </xf>
    <xf numFmtId="0" fontId="1" fillId="15" borderId="17" xfId="0" applyFont="1" applyFill="1" applyBorder="1" applyAlignment="1">
      <alignment horizontal="centerContinuous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49" fontId="17" fillId="13" borderId="1" xfId="0" applyNumberFormat="1" applyFont="1" applyFill="1" applyBorder="1" applyAlignment="1">
      <alignment horizontal="center" vertical="center"/>
    </xf>
    <xf numFmtId="49" fontId="17" fillId="13" borderId="1" xfId="0" applyNumberFormat="1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49" fontId="10" fillId="13" borderId="1" xfId="0" applyNumberFormat="1" applyFont="1" applyFill="1" applyBorder="1" applyAlignment="1">
      <alignment horizontal="center" vertical="center"/>
    </xf>
    <xf numFmtId="49" fontId="8" fillId="13" borderId="1" xfId="0" applyNumberFormat="1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168" fontId="7" fillId="14" borderId="1" xfId="0" applyNumberFormat="1" applyFont="1" applyFill="1" applyBorder="1" applyAlignment="1">
      <alignment horizontal="center" vertical="center" wrapText="1"/>
    </xf>
    <xf numFmtId="168" fontId="20" fillId="14" borderId="1" xfId="0" applyNumberFormat="1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168" fontId="20" fillId="17" borderId="1" xfId="0" applyNumberFormat="1" applyFont="1" applyFill="1" applyBorder="1" applyAlignment="1">
      <alignment horizontal="center" vertical="center" wrapText="1"/>
    </xf>
    <xf numFmtId="4" fontId="20" fillId="17" borderId="1" xfId="0" applyNumberFormat="1" applyFont="1" applyFill="1" applyBorder="1" applyAlignment="1">
      <alignment horizontal="center" vertical="center"/>
    </xf>
    <xf numFmtId="168" fontId="7" fillId="15" borderId="1" xfId="0" applyNumberFormat="1" applyFont="1" applyFill="1" applyBorder="1" applyAlignment="1">
      <alignment horizontal="center" vertical="center"/>
    </xf>
    <xf numFmtId="10" fontId="1" fillId="15" borderId="1" xfId="0" applyNumberFormat="1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168" fontId="7" fillId="15" borderId="0" xfId="0" applyNumberFormat="1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49" fontId="10" fillId="13" borderId="0" xfId="0" applyNumberFormat="1" applyFont="1" applyFill="1" applyAlignment="1">
      <alignment horizontal="center" vertical="center"/>
    </xf>
    <xf numFmtId="49" fontId="8" fillId="13" borderId="0" xfId="0" applyNumberFormat="1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168" fontId="7" fillId="14" borderId="0" xfId="0" applyNumberFormat="1" applyFont="1" applyFill="1" applyAlignment="1">
      <alignment horizontal="center" vertical="center" wrapText="1"/>
    </xf>
    <xf numFmtId="168" fontId="20" fillId="14" borderId="0" xfId="0" applyNumberFormat="1" applyFont="1" applyFill="1" applyAlignment="1">
      <alignment horizontal="center" vertical="center" wrapText="1"/>
    </xf>
    <xf numFmtId="168" fontId="20" fillId="17" borderId="0" xfId="0" applyNumberFormat="1" applyFont="1" applyFill="1" applyAlignment="1">
      <alignment horizontal="center" vertical="center" wrapText="1"/>
    </xf>
    <xf numFmtId="9" fontId="0" fillId="18" borderId="0" xfId="5" applyFont="1" applyFill="1" applyBorder="1" applyAlignment="1">
      <alignment horizontal="center" vertical="center"/>
    </xf>
    <xf numFmtId="3" fontId="0" fillId="0" borderId="0" xfId="0" applyNumberFormat="1"/>
    <xf numFmtId="9" fontId="0" fillId="0" borderId="0" xfId="0" applyNumberFormat="1"/>
    <xf numFmtId="9" fontId="0" fillId="0" borderId="0" xfId="5" applyFont="1"/>
    <xf numFmtId="0" fontId="4" fillId="2" borderId="1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165" fontId="4" fillId="2" borderId="18" xfId="0" applyNumberFormat="1" applyFont="1" applyFill="1" applyBorder="1" applyAlignment="1">
      <alignment horizontal="center" vertical="center" wrapText="1"/>
    </xf>
    <xf numFmtId="168" fontId="4" fillId="2" borderId="18" xfId="0" applyNumberFormat="1" applyFont="1" applyFill="1" applyBorder="1" applyAlignment="1">
      <alignment horizontal="center" vertical="center" wrapText="1"/>
    </xf>
    <xf numFmtId="9" fontId="4" fillId="2" borderId="18" xfId="2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/>
    </xf>
    <xf numFmtId="167" fontId="0" fillId="0" borderId="18" xfId="2" applyNumberFormat="1" applyFont="1" applyBorder="1" applyAlignment="1">
      <alignment horizontal="center" vertical="center"/>
    </xf>
    <xf numFmtId="10" fontId="0" fillId="0" borderId="18" xfId="2" applyNumberFormat="1" applyFont="1" applyFill="1" applyBorder="1" applyAlignment="1">
      <alignment horizontal="center" vertical="center"/>
    </xf>
    <xf numFmtId="9" fontId="0" fillId="0" borderId="18" xfId="2" applyFont="1" applyFill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0" fontId="21" fillId="0" borderId="0" xfId="0" applyFont="1"/>
    <xf numFmtId="164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vertical="center"/>
    </xf>
    <xf numFmtId="168" fontId="20" fillId="17" borderId="0" xfId="0" applyNumberFormat="1" applyFont="1" applyFill="1" applyAlignment="1">
      <alignment horizontal="center" vertical="center"/>
    </xf>
    <xf numFmtId="173" fontId="10" fillId="11" borderId="0" xfId="3" applyNumberFormat="1" applyFont="1" applyFill="1" applyAlignment="1">
      <alignment horizontal="center" vertical="center"/>
    </xf>
    <xf numFmtId="173" fontId="10" fillId="0" borderId="0" xfId="3" applyNumberFormat="1" applyFont="1" applyAlignment="1">
      <alignment horizontal="center" vertical="center"/>
    </xf>
    <xf numFmtId="164" fontId="10" fillId="0" borderId="5" xfId="4" applyNumberFormat="1" applyFont="1" applyBorder="1" applyAlignment="1">
      <alignment horizontal="center"/>
    </xf>
    <xf numFmtId="173" fontId="5" fillId="11" borderId="0" xfId="3" applyNumberFormat="1" applyFont="1" applyFill="1" applyAlignment="1">
      <alignment horizontal="center" vertical="center"/>
    </xf>
    <xf numFmtId="164" fontId="5" fillId="11" borderId="5" xfId="4" applyNumberFormat="1" applyFont="1" applyFill="1" applyBorder="1" applyAlignment="1">
      <alignment horizontal="center"/>
    </xf>
    <xf numFmtId="173" fontId="5" fillId="0" borderId="0" xfId="3" applyNumberFormat="1" applyFont="1" applyAlignment="1">
      <alignment horizontal="center" vertical="center"/>
    </xf>
    <xf numFmtId="164" fontId="5" fillId="0" borderId="5" xfId="4" applyNumberFormat="1" applyFont="1" applyBorder="1" applyAlignment="1">
      <alignment horizontal="center"/>
    </xf>
    <xf numFmtId="173" fontId="5" fillId="0" borderId="12" xfId="3" applyNumberFormat="1" applyFont="1" applyBorder="1" applyAlignment="1">
      <alignment horizontal="center" vertical="center"/>
    </xf>
    <xf numFmtId="164" fontId="5" fillId="0" borderId="7" xfId="4" applyNumberFormat="1" applyFont="1" applyBorder="1" applyAlignment="1">
      <alignment horizontal="center"/>
    </xf>
    <xf numFmtId="164" fontId="7" fillId="0" borderId="15" xfId="0" applyNumberFormat="1" applyFont="1" applyBorder="1" applyAlignment="1">
      <alignment horizontal="center" vertical="center"/>
    </xf>
    <xf numFmtId="166" fontId="5" fillId="11" borderId="5" xfId="0" applyNumberFormat="1" applyFont="1" applyFill="1" applyBorder="1" applyAlignment="1">
      <alignment horizontal="center" vertical="center"/>
    </xf>
    <xf numFmtId="171" fontId="7" fillId="0" borderId="15" xfId="0" applyNumberFormat="1" applyFont="1" applyBorder="1" applyAlignment="1">
      <alignment horizontal="center" vertical="center"/>
    </xf>
    <xf numFmtId="171" fontId="5" fillId="0" borderId="5" xfId="0" applyNumberFormat="1" applyFont="1" applyBorder="1" applyAlignment="1">
      <alignment horizontal="center"/>
    </xf>
    <xf numFmtId="171" fontId="11" fillId="8" borderId="16" xfId="0" applyNumberFormat="1" applyFont="1" applyFill="1" applyBorder="1" applyAlignment="1">
      <alignment horizontal="center"/>
    </xf>
    <xf numFmtId="10" fontId="13" fillId="11" borderId="0" xfId="0" applyNumberFormat="1" applyFont="1" applyFill="1" applyAlignment="1">
      <alignment horizontal="center" vertical="center"/>
    </xf>
    <xf numFmtId="167" fontId="13" fillId="11" borderId="0" xfId="0" applyNumberFormat="1" applyFont="1" applyFill="1" applyAlignment="1">
      <alignment horizontal="center" vertical="center"/>
    </xf>
    <xf numFmtId="0" fontId="11" fillId="8" borderId="6" xfId="0" applyFont="1" applyFill="1" applyBorder="1" applyAlignment="1">
      <alignment horizontal="left" vertical="center"/>
    </xf>
    <xf numFmtId="0" fontId="11" fillId="8" borderId="12" xfId="0" applyFont="1" applyFill="1" applyBorder="1" applyAlignment="1">
      <alignment horizontal="left" vertical="center"/>
    </xf>
    <xf numFmtId="167" fontId="0" fillId="18" borderId="1" xfId="5" applyNumberFormat="1" applyFont="1" applyFill="1" applyBorder="1" applyAlignment="1">
      <alignment horizontal="center" vertical="center"/>
    </xf>
    <xf numFmtId="10" fontId="0" fillId="18" borderId="1" xfId="5" applyNumberFormat="1" applyFont="1" applyFill="1" applyBorder="1" applyAlignment="1">
      <alignment horizontal="center" vertical="center"/>
    </xf>
    <xf numFmtId="0" fontId="10" fillId="11" borderId="0" xfId="3" applyNumberFormat="1" applyFont="1" applyFill="1" applyAlignment="1">
      <alignment horizontal="center" vertical="center"/>
    </xf>
    <xf numFmtId="0" fontId="10" fillId="14" borderId="4" xfId="0" applyFont="1" applyFill="1" applyBorder="1"/>
    <xf numFmtId="0" fontId="10" fillId="14" borderId="0" xfId="3" applyNumberFormat="1" applyFont="1" applyFill="1" applyAlignment="1">
      <alignment vertical="center"/>
    </xf>
    <xf numFmtId="1" fontId="10" fillId="14" borderId="0" xfId="4" applyNumberFormat="1" applyFont="1" applyFill="1" applyAlignment="1">
      <alignment horizontal="center" vertical="center"/>
    </xf>
    <xf numFmtId="173" fontId="10" fillId="14" borderId="0" xfId="3" applyNumberFormat="1" applyFont="1" applyFill="1" applyAlignment="1">
      <alignment horizontal="center" vertical="center"/>
    </xf>
    <xf numFmtId="164" fontId="10" fillId="14" borderId="5" xfId="4" applyNumberFormat="1" applyFont="1" applyFill="1" applyBorder="1" applyAlignment="1">
      <alignment horizontal="center"/>
    </xf>
    <xf numFmtId="171" fontId="11" fillId="8" borderId="11" xfId="0" applyNumberFormat="1" applyFont="1" applyFill="1" applyBorder="1" applyAlignment="1">
      <alignment horizontal="center"/>
    </xf>
    <xf numFmtId="0" fontId="11" fillId="8" borderId="7" xfId="0" applyFont="1" applyFill="1" applyBorder="1" applyAlignment="1">
      <alignment horizontal="center" vertical="center"/>
    </xf>
    <xf numFmtId="166" fontId="8" fillId="12" borderId="11" xfId="0" applyNumberFormat="1" applyFont="1" applyFill="1" applyBorder="1" applyAlignment="1">
      <alignment horizontal="center"/>
    </xf>
    <xf numFmtId="14" fontId="8" fillId="7" borderId="5" xfId="0" applyNumberFormat="1" applyFont="1" applyFill="1" applyBorder="1" applyAlignment="1">
      <alignment horizontal="left" vertical="center"/>
    </xf>
    <xf numFmtId="174" fontId="0" fillId="0" borderId="0" xfId="0" applyNumberFormat="1"/>
    <xf numFmtId="0" fontId="14" fillId="0" borderId="19" xfId="0" applyFont="1" applyBorder="1" applyAlignment="1">
      <alignment vertical="center"/>
    </xf>
    <xf numFmtId="171" fontId="0" fillId="18" borderId="1" xfId="5" applyNumberFormat="1" applyFont="1" applyFill="1" applyBorder="1" applyAlignment="1">
      <alignment horizontal="center" vertical="center"/>
    </xf>
    <xf numFmtId="168" fontId="0" fillId="18" borderId="1" xfId="5" applyNumberFormat="1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1" fillId="0" borderId="0" xfId="0" applyFont="1" applyAlignment="1">
      <alignment vertical="center"/>
    </xf>
    <xf numFmtId="0" fontId="7" fillId="0" borderId="20" xfId="0" applyFont="1" applyBorder="1" applyAlignment="1">
      <alignment vertical="center"/>
    </xf>
    <xf numFmtId="166" fontId="7" fillId="0" borderId="21" xfId="0" applyNumberFormat="1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2" fillId="7" borderId="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left" vertical="center"/>
    </xf>
    <xf numFmtId="0" fontId="11" fillId="8" borderId="12" xfId="0" applyFont="1" applyFill="1" applyBorder="1" applyAlignment="1">
      <alignment horizontal="left" vertical="center"/>
    </xf>
    <xf numFmtId="0" fontId="11" fillId="8" borderId="7" xfId="0" applyFont="1" applyFill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top" wrapText="1"/>
    </xf>
    <xf numFmtId="0" fontId="8" fillId="7" borderId="0" xfId="0" applyFont="1" applyFill="1" applyAlignment="1">
      <alignment horizontal="left" vertical="top" wrapText="1"/>
    </xf>
    <xf numFmtId="0" fontId="11" fillId="9" borderId="2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167" fontId="0" fillId="6" borderId="0" xfId="5" applyNumberFormat="1" applyFont="1" applyFill="1" applyAlignment="1">
      <alignment horizontal="center" vertical="center"/>
    </xf>
    <xf numFmtId="0" fontId="3" fillId="0" borderId="0" xfId="0" applyFont="1"/>
    <xf numFmtId="167" fontId="5" fillId="0" borderId="0" xfId="5" applyNumberFormat="1" applyFont="1"/>
  </cellXfs>
  <cellStyles count="6">
    <cellStyle name="Moeda" xfId="1" builtinId="4"/>
    <cellStyle name="Moeda 2" xfId="3" xr:uid="{E0E3407B-4119-4CE1-B329-047C370A3B37}"/>
    <cellStyle name="Normal" xfId="0" builtinId="0"/>
    <cellStyle name="Porcentagem" xfId="5" builtinId="5"/>
    <cellStyle name="Porcentagem 2" xfId="2" xr:uid="{D9D601C8-BEA3-4A0D-8099-62F753563B82}"/>
    <cellStyle name="Vírgula 2" xfId="4" xr:uid="{D8108249-B196-416A-9FAC-57A2D0A0E4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ichStyles" Target="richData/rich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5" Type="http://schemas.microsoft.com/office/2017/06/relationships/rdSupportingPropertyBag" Target="richData/rdsupportingpropertybag.xml"/><Relationship Id="rId10" Type="http://schemas.openxmlformats.org/officeDocument/2006/relationships/sheetMetadata" Target="metadata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SupportingPropertyBagStructure" Target="richData/rdsupportingpropertybag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1000125</xdr:colOff>
      <xdr:row>0</xdr:row>
      <xdr:rowOff>63500</xdr:rowOff>
    </xdr:from>
    <xdr:to>
      <xdr:col>6</xdr:col>
      <xdr:colOff>2381251</xdr:colOff>
      <xdr:row>3</xdr:row>
      <xdr:rowOff>206374</xdr:rowOff>
    </xdr:to>
    <xdr:pic>
      <xdr:nvPicPr>
        <xdr:cNvPr id="2" name="Imagem 1" descr="Avaliações da empresa Seawise: Como é trabalhar nela? | Glassdoo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2725" y="63500"/>
          <a:ext cx="1381126" cy="1038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101600</xdr:colOff>
      <xdr:row>52</xdr:row>
      <xdr:rowOff>19050</xdr:rowOff>
    </xdr:from>
    <xdr:to>
      <xdr:col>7</xdr:col>
      <xdr:colOff>800100</xdr:colOff>
      <xdr:row>54</xdr:row>
      <xdr:rowOff>241300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98800" y="11668125"/>
          <a:ext cx="698500" cy="6985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304800</xdr:colOff>
      <xdr:row>8</xdr:row>
      <xdr:rowOff>66675</xdr:rowOff>
    </xdr:to>
    <xdr:sp macro="" textlink="">
      <xdr:nvSpPr>
        <xdr:cNvPr id="11267" name="AutoShape 3" descr="Magnetron Para Microondas 2m 219j">
          <a:extLst>
            <a:ext uri="{FF2B5EF4-FFF2-40B4-BE49-F238E27FC236}">
              <a16:creationId xmlns:a16="http://schemas.microsoft.com/office/drawing/2014/main" id="{00000000-0008-0000-0000-0000032C0000}"/>
            </a:ext>
          </a:extLst>
        </xdr:cNvPr>
        <xdr:cNvSpPr>
          <a:spLocks noChangeAspect="1" noChangeArrowheads="1"/>
        </xdr:cNvSpPr>
      </xdr:nvSpPr>
      <xdr:spPr bwMode="auto">
        <a:xfrm>
          <a:off x="1936432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963706</xdr:colOff>
      <xdr:row>0</xdr:row>
      <xdr:rowOff>0</xdr:rowOff>
    </xdr:from>
    <xdr:to>
      <xdr:col>18</xdr:col>
      <xdr:colOff>278856</xdr:colOff>
      <xdr:row>1</xdr:row>
      <xdr:rowOff>144556</xdr:rowOff>
    </xdr:to>
    <xdr:pic>
      <xdr:nvPicPr>
        <xdr:cNvPr id="9" name="Imagem 8" descr="Avaliações da empresa Seawise: Como é trabalhar nela? | Glassdoor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3735" y="0"/>
          <a:ext cx="637443" cy="480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493059</xdr:colOff>
      <xdr:row>57</xdr:row>
      <xdr:rowOff>112059</xdr:rowOff>
    </xdr:from>
    <xdr:to>
      <xdr:col>17</xdr:col>
      <xdr:colOff>1196601</xdr:colOff>
      <xdr:row>61</xdr:row>
      <xdr:rowOff>53602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100-00000A000000}"/>
            </a:ext>
            <a:ext uri="{147F2762-F138-4A5C-976F-8EAC2B608ADB}">
              <a16:predDERef xmlns:a16="http://schemas.microsoft.com/office/drawing/2014/main" pre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48147" y="9939618"/>
          <a:ext cx="703542" cy="7035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8a01a03989ce713/IMPORTA&#199;&#194;O/SEAWISE/CLIENTES/HORTAVIVA/Estimativas/2023/F&#225;brica%203/Estimativa%20de%20Custos%20-%20F&#193;BRICA%203%20-%20HORTAVIVA.xlsx" TargetMode="External"/><Relationship Id="rId1" Type="http://schemas.openxmlformats.org/officeDocument/2006/relationships/externalLinkPath" Target="https://seawiseexterior.sharepoint.com/68a01a03989ce713/IMPORTA&#199;&#194;O/SEAWISE/CLIENTES/HORTAVIVA/Estimativas/2023/F&#225;brica%203/Estimativa%20de%20Custos%20-%20F&#193;BRICA%203%20-%20HORTAVIV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8a01a03989ce713/IMPORTA&#199;&#194;O/SEAWISE/CLIENTES/PEVESUL/Estimativa%20de%20Custos%20-%20F&#225;brica%204.xlsx" TargetMode="External"/><Relationship Id="rId1" Type="http://schemas.openxmlformats.org/officeDocument/2006/relationships/externalLinkPath" Target="https://seawiseexterior.sharepoint.com/68a01a03989ce713/IMPORTA&#199;&#194;O/SEAWISE/CLIENTES/PEVESUL/Estimativa%20de%20Custos%20-%20F&#225;brica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1"/>
      <sheetName val="Estimativa (2)"/>
      <sheetName val="Est. Cust. Naci. 100%"/>
      <sheetName val="Rateio Custos Fixos"/>
      <sheetName val="Lista de Compra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26">
          <cell r="B26">
            <v>4.7972000000000001</v>
          </cell>
        </row>
      </sheetData>
      <sheetData sheetId="4" refreshError="1">
        <row r="4">
          <cell r="B4">
            <v>1</v>
          </cell>
          <cell r="J4">
            <v>15</v>
          </cell>
        </row>
        <row r="6">
          <cell r="B6">
            <v>3</v>
          </cell>
          <cell r="J6">
            <v>15</v>
          </cell>
        </row>
        <row r="7">
          <cell r="B7">
            <v>4</v>
          </cell>
          <cell r="J7">
            <v>15</v>
          </cell>
        </row>
        <row r="8">
          <cell r="B8">
            <v>5</v>
          </cell>
          <cell r="J8">
            <v>15</v>
          </cell>
        </row>
        <row r="9">
          <cell r="B9">
            <v>6</v>
          </cell>
          <cell r="J9">
            <v>15</v>
          </cell>
        </row>
      </sheetData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 de Compra"/>
      <sheetName val="Resumo 100%"/>
      <sheetName val="Estimativa 50%"/>
      <sheetName val="Resumo 50%"/>
      <sheetName val="Est. Cust. Naci. 50%"/>
      <sheetName val="Estimativa 100%"/>
      <sheetName val="Est. Cust. Naci."/>
      <sheetName val="Planilha2"/>
      <sheetName val="Rateio Custos Fixos"/>
      <sheetName val="Pedido"/>
      <sheetName val="Formulário"/>
      <sheetName val="Est. Cust. Nacionalização"/>
      <sheetName val="Resumo"/>
      <sheetName val="Planilha1"/>
    </sheetNames>
    <sheetDataSet>
      <sheetData sheetId="0">
        <row r="2">
          <cell r="Q2" t="str">
            <v>% Rateio Preço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F5">
            <v>0.47782963827304553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aroline Barbosa" id="{9814B698-D3DD-40C6-9CF7-C15691FC606F}" userId="640303dfd0d430f8" providerId="Windows Live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">
  <rv s="0">
    <v>pt-BR</v>
    <v>avylgh</v>
    <v>268435456</v>
    <v>1</v>
    <v>Da plataforma Refinitiv</v>
    <v>0</v>
    <v>1</v>
    <v>USD/BRL</v>
    <v>3</v>
    <v>4</v>
    <v>Finance</v>
    <v>5</v>
    <v>6.0959000000000003</v>
    <v>5.1147999999999998</v>
    <v>5.1826999999999996</v>
    <v>5.1471</v>
    <v>USD</v>
    <v>5.1593999999999998</v>
    <v>46092.744317129633</v>
    <v>BRL</v>
    <v>US Dollar/Brazilian Real FX Spot Rate</v>
    <v>5.1597</v>
    <v>5.1612</v>
    <v>USDBRL</v>
    <v>Par de Moedas</v>
    <v>USD/BRL</v>
    <v>1.8E-3</v>
    <v>3.4889999999999997E-4</v>
  </rv>
  <rv s="1">
    <v>0</v>
  </rv>
  <rv s="0">
    <v>pt-BR</v>
    <v>av8tf2</v>
    <v>268435456</v>
    <v>1</v>
    <v>Da plataforma Refinitiv</v>
    <v>0</v>
    <v>1</v>
    <v>EUR/BRL</v>
    <v>3</v>
    <v>4</v>
    <v>Finance</v>
    <v>5</v>
    <v>6.7522000000000002</v>
    <v>5.9573</v>
    <v>6.0133999999999999</v>
    <v>5.9573</v>
    <v>EUR</v>
    <v>5.9894999999999996</v>
    <v>46092.744305555556</v>
    <v>BRL</v>
    <v>Euro/Brazilian Real FX Cross Rate</v>
    <v>5.9901</v>
    <v>5.9729999999999999</v>
    <v>EURBRL</v>
    <v>Par de Moedas</v>
    <v>EUR/BRL</v>
    <v>-1.6500000000000001E-2</v>
    <v>-2.7550000000000001E-3</v>
  </rv>
  <rv s="1">
    <v>2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lto"/>
    <k n="Baixo"/>
    <k n="Da moed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Preço</v>
      <v t="s">_SubLabel</v>
      <v t="s">Hora da última transação</v>
      <v t="s">Símbolo do ticker</v>
      <v t="s">Variação</v>
      <v t="s">Variação (%)</v>
      <v t="s">Moeda</v>
      <v t="s">Da moeda</v>
      <v t="s">Fechamento anterior</v>
      <v t="s">Pendência</v>
      <v t="s">Alto</v>
      <v t="s">Baixo</v>
      <v t="s">52 semanas de alta</v>
      <v t="s">52 semanas de baixa</v>
      <v t="s">Tipo de instrumento</v>
      <v t="s">_Flags</v>
      <v t="s">UniqueName</v>
      <v t="s">_DisplayString</v>
      <v t="s">%ProviderInfo</v>
    </a>
  </spbArrays>
  <spbData count="6">
    <spb s="0">
      <v>High</v>
      <v>Name</v>
      <v>Low</v>
      <v>Currency</v>
      <v>Price</v>
      <v>From currency</v>
      <v>Change</v>
      <v>Open</v>
      <v>UniqueName</v>
      <v>Change (%)</v>
      <v>%ProviderInfo</v>
      <v>Ticker symbol</v>
      <v>52 week high</v>
      <v>52 week low</v>
      <v>Previous close</v>
      <v>Instrument type</v>
      <v>Last trade time</v>
    </spb>
    <spb s="1">
      <v>0</v>
      <v>Name</v>
    </spb>
    <spb s="2">
      <v>0</v>
      <v>0</v>
      <v>0</v>
    </spb>
    <spb s="3">
      <v>2</v>
      <v>2</v>
    </spb>
    <spb s="4">
      <v>1</v>
      <v>2</v>
      <v>1</v>
      <v>1</v>
      <v>1</v>
      <v>1</v>
      <v>3</v>
      <v>4</v>
      <v>1</v>
      <v>1</v>
      <v>1</v>
      <v>5</v>
    </spb>
    <spb s="5"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Alto" t="s"/>
    <k n="Nome" t="s"/>
    <k n="Baixo" t="s"/>
    <k n="Moeda" t="s"/>
    <k n="Preço" t="s"/>
    <k n="Da moeda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Hora da última transação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Alto" t="i"/>
    <k n="Nome" t="i"/>
    <k n="Baixo" t="i"/>
    <k n="Preço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Hora da última transação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" formatCode="0.00"/>
    </x:dxf>
    <x:dxf>
      <x:numFmt numFmtId="27" formatCode="dd/mm/yyyy\ hh:mm"/>
    </x:dxf>
  </dxfs>
  <richProperties>
    <rPr n="NumberFormat" t="s"/>
    <rPr n="IsTitleField" t="b"/>
  </richProperties>
  <richStyles>
    <rSty dxfid="0">
      <rpv i="0">_-[$R$-pt-BR] * #,##0.00_-;-[$R$-pt-BR] * #,##0.00_-;_-[$R$-pt-BR] * "-"??_-;_-@_-</rpv>
    </rSty>
    <rSty>
      <rpv i="1">1</rpv>
    </rSty>
    <rSty dxfid="1"/>
    <rSty dxfid="2">
      <rpv i="0">0.00</rpv>
    </rSty>
    <rSty dxfid="3"/>
  </richStyles>
</richStyleShee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3-01-11T19:16:55.26" personId="{9814B698-D3DD-40C6-9CF7-C15691FC606F}" id="{0C9ECCC5-3310-412D-8782-C1D3124F4B3E}">
    <text>Notar que regime tributário é o Simples Nacional, portanto a função não impacta no cálculo de impostos.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FCC9-79BD-4E29-9B49-19F72F5CBFA8}">
  <sheetPr>
    <tabColor theme="5" tint="-0.249977111117893"/>
    <pageSetUpPr fitToPage="1"/>
  </sheetPr>
  <dimension ref="A1:R59"/>
  <sheetViews>
    <sheetView showGridLines="0" tabSelected="1" topLeftCell="A23" zoomScale="60" zoomScaleNormal="60" workbookViewId="0">
      <selection activeCell="S20" sqref="S20"/>
    </sheetView>
  </sheetViews>
  <sheetFormatPr defaultColWidth="8.85546875" defaultRowHeight="18.75"/>
  <cols>
    <col min="1" max="1" width="11.7109375" style="1" customWidth="1"/>
    <col min="2" max="2" width="55.140625" style="13" customWidth="1"/>
    <col min="3" max="3" width="31.42578125" style="13" customWidth="1"/>
    <col min="4" max="4" width="30.140625" style="13" bestFit="1" customWidth="1"/>
    <col min="5" max="5" width="27" style="13" customWidth="1"/>
    <col min="6" max="6" width="42.28515625" style="13" customWidth="1"/>
    <col min="7" max="7" width="37.7109375" style="13" customWidth="1"/>
    <col min="8" max="8" width="41" style="1" customWidth="1"/>
    <col min="9" max="9" width="17.85546875" style="1" hidden="1" customWidth="1"/>
    <col min="10" max="10" width="43.28515625" style="1" hidden="1" customWidth="1"/>
    <col min="11" max="11" width="14.85546875" style="1" hidden="1" customWidth="1"/>
    <col min="12" max="12" width="8.85546875" style="1" hidden="1" customWidth="1"/>
    <col min="13" max="13" width="17.85546875" style="1" hidden="1" customWidth="1"/>
    <col min="14" max="14" width="18.140625" style="1" hidden="1" customWidth="1"/>
    <col min="15" max="15" width="24.42578125" style="1" hidden="1" customWidth="1"/>
    <col min="16" max="16" width="14" style="1" bestFit="1" customWidth="1"/>
    <col min="17" max="16384" width="8.85546875" style="1"/>
  </cols>
  <sheetData>
    <row r="1" spans="1:18" ht="20.25" customHeight="1"/>
    <row r="3" spans="1:18" ht="31.5">
      <c r="B3" s="14" t="s">
        <v>0</v>
      </c>
      <c r="J3" s="1" t="s">
        <v>103</v>
      </c>
      <c r="R3" s="1" t="s">
        <v>102</v>
      </c>
    </row>
    <row r="4" spans="1:18" ht="19.5" thickBot="1"/>
    <row r="5" spans="1:18" ht="27.75" customHeight="1">
      <c r="B5" s="15"/>
      <c r="C5" s="182"/>
      <c r="D5" s="183"/>
      <c r="E5" s="183"/>
      <c r="F5" s="183"/>
      <c r="G5" s="184"/>
      <c r="J5" s="181">
        <v>100</v>
      </c>
      <c r="K5" s="181">
        <v>5.8</v>
      </c>
    </row>
    <row r="6" spans="1:18">
      <c r="B6" s="16"/>
      <c r="C6" s="185"/>
      <c r="D6" s="186"/>
      <c r="E6" s="186"/>
      <c r="F6" s="186"/>
      <c r="G6" s="187"/>
      <c r="J6" s="181">
        <v>300</v>
      </c>
      <c r="K6" s="181">
        <v>2.1</v>
      </c>
    </row>
    <row r="7" spans="1:18">
      <c r="B7" s="16"/>
      <c r="C7" s="185"/>
      <c r="D7" s="186"/>
      <c r="E7" s="186"/>
      <c r="F7" s="186"/>
      <c r="G7" s="187"/>
      <c r="J7" s="181">
        <v>300</v>
      </c>
      <c r="K7" s="181">
        <v>10</v>
      </c>
    </row>
    <row r="8" spans="1:18">
      <c r="B8" s="16"/>
      <c r="C8" s="17"/>
      <c r="D8" s="17"/>
      <c r="E8" s="17" t="s">
        <v>1</v>
      </c>
      <c r="F8" s="17"/>
      <c r="G8" s="18" t="s">
        <v>129</v>
      </c>
      <c r="J8" s="181">
        <v>300</v>
      </c>
      <c r="K8" s="181">
        <v>10</v>
      </c>
      <c r="Q8"/>
    </row>
    <row r="9" spans="1:18">
      <c r="B9" s="16"/>
      <c r="C9" s="191" t="s">
        <v>128</v>
      </c>
      <c r="D9" s="192"/>
      <c r="E9" s="17" t="s">
        <v>2</v>
      </c>
      <c r="F9" s="17"/>
      <c r="G9" s="168">
        <f ca="1">TODAY()</f>
        <v>46148</v>
      </c>
      <c r="J9" s="181">
        <v>300</v>
      </c>
      <c r="K9" s="181">
        <v>10</v>
      </c>
    </row>
    <row r="10" spans="1:18" ht="15" customHeight="1">
      <c r="B10" s="16"/>
      <c r="C10" s="17" t="s">
        <v>131</v>
      </c>
      <c r="D10" s="67"/>
      <c r="E10" s="17" t="s">
        <v>3</v>
      </c>
      <c r="F10" s="17"/>
      <c r="G10" s="18" t="s">
        <v>4</v>
      </c>
      <c r="J10" s="181">
        <v>100</v>
      </c>
      <c r="K10" s="181">
        <v>11.5</v>
      </c>
    </row>
    <row r="11" spans="1:18" ht="15" customHeight="1" thickBot="1">
      <c r="B11" s="68"/>
      <c r="C11" s="19"/>
      <c r="D11" s="20"/>
      <c r="E11" s="19"/>
      <c r="F11" s="19"/>
      <c r="G11" s="70"/>
      <c r="J11" s="181">
        <v>100</v>
      </c>
      <c r="K11" s="181">
        <v>11.5</v>
      </c>
    </row>
    <row r="12" spans="1:18" ht="36.75" customHeight="1" thickBot="1">
      <c r="A12" s="13"/>
      <c r="B12" s="21" t="s">
        <v>5</v>
      </c>
      <c r="C12" s="22" t="s">
        <v>6</v>
      </c>
      <c r="D12" s="23">
        <f>'Rateio Custos Fixos'!B3</f>
        <v>5.0999999999999996</v>
      </c>
      <c r="E12" s="22" t="s">
        <v>7</v>
      </c>
      <c r="F12" s="24">
        <f>'LISTA DE COMPRAS'!D6</f>
        <v>84099959</v>
      </c>
      <c r="G12" s="25"/>
      <c r="I12"/>
      <c r="J12" s="181"/>
      <c r="K12" s="181">
        <v>0</v>
      </c>
    </row>
    <row r="13" spans="1:18" ht="18.600000000000001" customHeight="1" thickBot="1">
      <c r="B13" s="193" t="s">
        <v>8</v>
      </c>
      <c r="C13" s="194"/>
      <c r="D13" s="194"/>
      <c r="E13" s="194"/>
      <c r="F13" s="194"/>
      <c r="G13" s="195"/>
      <c r="I13" s="26" t="s">
        <v>9</v>
      </c>
      <c r="J13" s="181">
        <v>100</v>
      </c>
      <c r="K13" s="181">
        <v>10.8</v>
      </c>
      <c r="L13" s="26" t="s">
        <v>10</v>
      </c>
      <c r="M13" s="26"/>
      <c r="N13" s="26"/>
      <c r="O13" s="26" t="s">
        <v>11</v>
      </c>
    </row>
    <row r="14" spans="1:18">
      <c r="B14" s="27" t="s">
        <v>12</v>
      </c>
      <c r="C14" s="28"/>
      <c r="D14" s="28" t="s">
        <v>13</v>
      </c>
      <c r="E14" s="28" t="s">
        <v>14</v>
      </c>
      <c r="F14" s="28" t="s">
        <v>15</v>
      </c>
      <c r="G14" s="29" t="s">
        <v>16</v>
      </c>
      <c r="I14" s="30">
        <f>'[1]Lista de Compra'!B4</f>
        <v>1</v>
      </c>
      <c r="J14" s="181">
        <v>100</v>
      </c>
      <c r="K14" s="181">
        <v>10.8</v>
      </c>
      <c r="L14" s="30">
        <f>'[1]Lista de Compra'!J4</f>
        <v>15</v>
      </c>
      <c r="M14" s="31">
        <f>K14*L14*'[1]Rateio Custos Fixos'!$B$26</f>
        <v>777.14639999999997</v>
      </c>
      <c r="N14" s="32">
        <f t="shared" ref="N14:N20" si="0">M14+(M14*$K$11)</f>
        <v>9714.33</v>
      </c>
      <c r="O14" s="32">
        <f>N14/L14</f>
        <v>647.62199999999996</v>
      </c>
    </row>
    <row r="15" spans="1:18">
      <c r="B15" s="71"/>
      <c r="C15" s="159"/>
      <c r="D15" s="72">
        <f>'LISTA DE COMPRAS'!J4</f>
        <v>425</v>
      </c>
      <c r="E15" s="139" t="s">
        <v>17</v>
      </c>
      <c r="F15" s="140">
        <f>'LISTA DE COMPRAS'!M4</f>
        <v>144359.54999999999</v>
      </c>
      <c r="G15" s="141">
        <f>F15*$D$12</f>
        <v>736233.70499999984</v>
      </c>
      <c r="I15" s="30"/>
      <c r="J15" s="181">
        <v>100</v>
      </c>
      <c r="K15" s="181">
        <v>7.6</v>
      </c>
      <c r="L15" s="30"/>
      <c r="M15" s="31"/>
      <c r="N15" s="32"/>
      <c r="O15" s="32"/>
    </row>
    <row r="16" spans="1:18">
      <c r="B16" s="160" t="s">
        <v>18</v>
      </c>
      <c r="C16" s="161"/>
      <c r="D16" s="162"/>
      <c r="E16" s="163"/>
      <c r="F16" s="163">
        <f>SUM(F15:F15)</f>
        <v>144359.54999999999</v>
      </c>
      <c r="G16" s="164">
        <f>SUM(G15:G15)</f>
        <v>736233.70499999984</v>
      </c>
      <c r="I16" s="30"/>
      <c r="J16" s="181">
        <v>100</v>
      </c>
      <c r="K16" s="181">
        <v>14.4</v>
      </c>
      <c r="L16" s="30"/>
      <c r="M16" s="31"/>
      <c r="N16" s="32"/>
      <c r="O16" s="32"/>
    </row>
    <row r="17" spans="1:16">
      <c r="B17" s="33" t="s">
        <v>19</v>
      </c>
      <c r="C17" s="34"/>
      <c r="D17" s="35"/>
      <c r="E17" s="142"/>
      <c r="F17" s="2"/>
      <c r="G17" s="143">
        <f>G16+G19</f>
        <v>755729.00499999989</v>
      </c>
      <c r="I17" s="30">
        <f>'[1]Lista de Compra'!B6</f>
        <v>3</v>
      </c>
      <c r="J17" s="181">
        <v>100</v>
      </c>
      <c r="K17" s="181">
        <v>7.6</v>
      </c>
      <c r="L17" s="30">
        <f>'[1]Lista de Compra'!J6</f>
        <v>15</v>
      </c>
      <c r="M17" s="31">
        <f>K17*L17*'[1]Rateio Custos Fixos'!$B$26</f>
        <v>546.88080000000002</v>
      </c>
      <c r="N17" s="32">
        <f t="shared" si="0"/>
        <v>6836.01</v>
      </c>
      <c r="O17" s="32">
        <f>N17/L17</f>
        <v>455.73400000000004</v>
      </c>
    </row>
    <row r="18" spans="1:16">
      <c r="B18" s="36" t="s">
        <v>20</v>
      </c>
      <c r="C18" s="37"/>
      <c r="D18" s="38"/>
      <c r="E18" s="144"/>
      <c r="F18" s="144"/>
      <c r="G18" s="145"/>
      <c r="I18" s="30">
        <f>'[1]Lista de Compra'!B7</f>
        <v>4</v>
      </c>
      <c r="J18" s="181">
        <v>100</v>
      </c>
      <c r="K18" s="181">
        <v>14.4</v>
      </c>
      <c r="L18" s="30">
        <f>'[1]Lista de Compra'!J7</f>
        <v>15</v>
      </c>
      <c r="M18" s="31">
        <f>K18*L18*'[1]Rateio Custos Fixos'!$B$26</f>
        <v>1036.1952000000001</v>
      </c>
      <c r="N18" s="32">
        <f t="shared" si="0"/>
        <v>12952.44</v>
      </c>
      <c r="O18" s="32">
        <f>N18/L18</f>
        <v>863.49599999999998</v>
      </c>
    </row>
    <row r="19" spans="1:16" ht="19.5" thickBot="1">
      <c r="B19" s="39" t="s">
        <v>21</v>
      </c>
      <c r="C19" s="40"/>
      <c r="D19" s="41"/>
      <c r="E19" s="146"/>
      <c r="F19" s="144">
        <f>'Rateio Custos Fixos'!G5</f>
        <v>3822.6078431372548</v>
      </c>
      <c r="G19" s="147">
        <f>F19*D12</f>
        <v>19495.3</v>
      </c>
      <c r="I19" s="30">
        <f>'[1]Lista de Compra'!B8</f>
        <v>5</v>
      </c>
      <c r="J19" s="181">
        <v>100</v>
      </c>
      <c r="K19" s="181">
        <v>17.8</v>
      </c>
      <c r="L19" s="30">
        <f>'[1]Lista de Compra'!J8</f>
        <v>15</v>
      </c>
      <c r="M19" s="31">
        <f>K19*L19*'[1]Rateio Custos Fixos'!$B$26</f>
        <v>1280.8524</v>
      </c>
      <c r="N19" s="32">
        <f t="shared" si="0"/>
        <v>16010.654999999999</v>
      </c>
      <c r="O19" s="32">
        <f>N19/L19</f>
        <v>1067.377</v>
      </c>
    </row>
    <row r="20" spans="1:16" ht="15.75" customHeight="1" thickBot="1">
      <c r="B20" s="42" t="s">
        <v>22</v>
      </c>
      <c r="C20" s="43"/>
      <c r="D20" s="43"/>
      <c r="E20" s="43"/>
      <c r="F20" s="43"/>
      <c r="G20" s="148">
        <f>G17</f>
        <v>755729.00499999989</v>
      </c>
      <c r="I20" s="30">
        <f>'[1]Lista de Compra'!B9</f>
        <v>6</v>
      </c>
      <c r="J20" s="181">
        <v>100</v>
      </c>
      <c r="K20" s="181">
        <v>17.8</v>
      </c>
      <c r="L20" s="30">
        <f>'[1]Lista de Compra'!J9</f>
        <v>15</v>
      </c>
      <c r="M20" s="31">
        <f>K20*L20*'[1]Rateio Custos Fixos'!$B$26</f>
        <v>1280.8524</v>
      </c>
      <c r="N20" s="32">
        <f t="shared" si="0"/>
        <v>16010.654999999999</v>
      </c>
      <c r="O20" s="32">
        <f>N20/L20</f>
        <v>1067.377</v>
      </c>
    </row>
    <row r="21" spans="1:16" ht="18.600000000000001" customHeight="1">
      <c r="B21" s="193" t="s">
        <v>23</v>
      </c>
      <c r="C21" s="194"/>
      <c r="D21" s="194"/>
      <c r="E21" s="194"/>
      <c r="F21" s="194"/>
      <c r="G21" s="195"/>
      <c r="J21" s="181">
        <v>100</v>
      </c>
      <c r="K21" s="181">
        <v>4.4000000000000004</v>
      </c>
    </row>
    <row r="22" spans="1:16" s="2" customFormat="1" ht="15" customHeight="1">
      <c r="B22" s="44" t="s">
        <v>23</v>
      </c>
      <c r="C22" s="45" t="s">
        <v>24</v>
      </c>
      <c r="D22" s="45"/>
      <c r="E22" s="45"/>
      <c r="F22" s="45"/>
      <c r="G22" s="46" t="s">
        <v>25</v>
      </c>
      <c r="J22" s="181">
        <v>100</v>
      </c>
      <c r="K22" s="181">
        <v>6.4</v>
      </c>
      <c r="P22" s="1"/>
    </row>
    <row r="23" spans="1:16" s="2" customFormat="1">
      <c r="B23" s="47" t="s">
        <v>26</v>
      </c>
      <c r="C23" s="153">
        <f>'LISTA DE COMPRAS'!E5</f>
        <v>0.16</v>
      </c>
      <c r="D23" s="45"/>
      <c r="E23" s="45"/>
      <c r="F23" s="45"/>
      <c r="G23" s="149">
        <f>'Est. Cust. Naci.'!R$4</f>
        <v>120916.64079999999</v>
      </c>
      <c r="J23" s="181">
        <v>100</v>
      </c>
      <c r="K23" s="181">
        <v>4.5999999999999996</v>
      </c>
    </row>
    <row r="24" spans="1:16" s="2" customFormat="1">
      <c r="B24" s="47" t="s">
        <v>27</v>
      </c>
      <c r="C24" s="154">
        <f>'LISTA DE COMPRAS'!F5</f>
        <v>3.0099999999999998E-2</v>
      </c>
      <c r="D24" s="45"/>
      <c r="E24" s="45"/>
      <c r="F24" s="45"/>
      <c r="G24" s="149">
        <f>'Est. Cust. Naci.'!S$4</f>
        <v>26387.03393858</v>
      </c>
      <c r="J24" s="181">
        <v>100</v>
      </c>
      <c r="K24" s="181">
        <v>5.0999999999999996</v>
      </c>
    </row>
    <row r="25" spans="1:16" s="2" customFormat="1">
      <c r="B25" s="47" t="s">
        <v>28</v>
      </c>
      <c r="C25" s="153">
        <f>'LISTA DE COMPRAS'!G5</f>
        <v>3.1199999999999999E-2</v>
      </c>
      <c r="D25" s="45"/>
      <c r="E25" s="45"/>
      <c r="F25" s="45"/>
      <c r="G25" s="149">
        <f>'Est. Cust. Naci.'!T$4</f>
        <v>27351.34414895999</v>
      </c>
      <c r="J25" s="181"/>
      <c r="K25" s="181">
        <v>0</v>
      </c>
    </row>
    <row r="26" spans="1:16" s="2" customFormat="1">
      <c r="B26" s="47" t="s">
        <v>29</v>
      </c>
      <c r="C26" s="153">
        <f>'LISTA DE COMPRAS'!H5</f>
        <v>0.1497</v>
      </c>
      <c r="D26" s="45"/>
      <c r="E26" s="45"/>
      <c r="F26" s="45"/>
      <c r="G26" s="149">
        <f>'Est. Cust. Naci.'!U$4</f>
        <v>131233.85317625999</v>
      </c>
      <c r="J26" s="181">
        <v>100</v>
      </c>
      <c r="K26" s="181">
        <v>9.3000000000000007</v>
      </c>
    </row>
    <row r="27" spans="1:16" s="2" customFormat="1" ht="19.5" thickBot="1">
      <c r="B27" s="47" t="s">
        <v>30</v>
      </c>
      <c r="C27" s="153">
        <f>'LISTA DE COMPRAS'!I5</f>
        <v>0.06</v>
      </c>
      <c r="D27" s="45"/>
      <c r="E27" s="45"/>
      <c r="F27" s="45"/>
      <c r="G27" s="149">
        <f>'Est. Cust. Naci.'!V$4</f>
        <v>45343.740299999998</v>
      </c>
      <c r="J27" s="181">
        <v>100</v>
      </c>
      <c r="K27" s="181">
        <v>9.3000000000000007</v>
      </c>
    </row>
    <row r="28" spans="1:16" s="2" customFormat="1" ht="19.5" thickBot="1">
      <c r="B28" s="42" t="s">
        <v>31</v>
      </c>
      <c r="C28" s="43"/>
      <c r="D28" s="43"/>
      <c r="E28" s="43"/>
      <c r="F28" s="43"/>
      <c r="G28" s="148">
        <f>SUM(G23:G27)</f>
        <v>351232.6123638</v>
      </c>
      <c r="J28" s="181">
        <v>100</v>
      </c>
      <c r="K28" s="181">
        <v>11</v>
      </c>
    </row>
    <row r="29" spans="1:16" ht="18.600000000000001" customHeight="1">
      <c r="A29" s="48"/>
      <c r="B29" s="193" t="s">
        <v>32</v>
      </c>
      <c r="C29" s="194"/>
      <c r="D29" s="194"/>
      <c r="E29" s="194"/>
      <c r="F29" s="194"/>
      <c r="G29" s="195"/>
      <c r="J29" s="181">
        <v>100</v>
      </c>
      <c r="K29" s="181">
        <v>11</v>
      </c>
    </row>
    <row r="30" spans="1:16" ht="18.600000000000001" customHeight="1">
      <c r="A30" s="48"/>
      <c r="B30" s="49" t="s">
        <v>33</v>
      </c>
      <c r="C30" s="50"/>
      <c r="D30" s="50"/>
      <c r="E30" s="50"/>
      <c r="F30" s="50"/>
      <c r="G30" s="151">
        <f>'Rateio Custos Fixos'!F$11</f>
        <v>214.5</v>
      </c>
      <c r="J30" s="181">
        <v>100</v>
      </c>
      <c r="K30" s="181">
        <v>9.8000000000000007</v>
      </c>
    </row>
    <row r="31" spans="1:16" ht="18.600000000000001" customHeight="1">
      <c r="A31" s="48"/>
      <c r="B31" s="49" t="s">
        <v>34</v>
      </c>
      <c r="C31" s="50"/>
      <c r="D31" s="50"/>
      <c r="E31" s="50"/>
      <c r="F31" s="50"/>
      <c r="G31" s="151">
        <f>'Rateio Custos Fixos'!G$11</f>
        <v>540</v>
      </c>
      <c r="J31" s="181">
        <v>100</v>
      </c>
      <c r="K31" s="181">
        <v>10.199999999999999</v>
      </c>
    </row>
    <row r="32" spans="1:16" ht="18.600000000000001" customHeight="1">
      <c r="A32" s="48"/>
      <c r="B32" s="49" t="s">
        <v>35</v>
      </c>
      <c r="C32" s="50"/>
      <c r="D32" s="50"/>
      <c r="E32" s="50"/>
      <c r="F32" s="50"/>
      <c r="G32" s="151">
        <f>'Rateio Custos Fixos'!H$11</f>
        <v>1547</v>
      </c>
      <c r="H32" s="51"/>
      <c r="J32" s="181">
        <v>100</v>
      </c>
      <c r="K32" s="181">
        <v>10.199999999999999</v>
      </c>
    </row>
    <row r="33" spans="1:11" ht="18.600000000000001" customHeight="1">
      <c r="A33" s="48"/>
      <c r="B33" s="49" t="s">
        <v>36</v>
      </c>
      <c r="C33" s="50"/>
      <c r="D33" s="50"/>
      <c r="E33" s="50"/>
      <c r="F33" s="50"/>
      <c r="G33" s="151">
        <f>'Rateio Custos Fixos'!I$11</f>
        <v>60</v>
      </c>
      <c r="J33" s="181">
        <v>100</v>
      </c>
      <c r="K33" s="181">
        <v>11</v>
      </c>
    </row>
    <row r="34" spans="1:11" ht="18.600000000000001" customHeight="1">
      <c r="A34" s="48"/>
      <c r="B34" s="49" t="s">
        <v>37</v>
      </c>
      <c r="C34" s="50"/>
      <c r="D34" s="50"/>
      <c r="E34" s="50"/>
      <c r="F34" s="50"/>
      <c r="G34" s="151">
        <f>'Rateio Custos Fixos'!J$11</f>
        <v>300</v>
      </c>
      <c r="J34" s="181">
        <v>100</v>
      </c>
      <c r="K34" s="181">
        <v>13.6</v>
      </c>
    </row>
    <row r="35" spans="1:11" ht="18.600000000000001" customHeight="1">
      <c r="A35" s="48"/>
      <c r="B35" s="49" t="s">
        <v>38</v>
      </c>
      <c r="C35" s="50"/>
      <c r="D35" s="50"/>
      <c r="E35" s="50"/>
      <c r="F35" s="50"/>
      <c r="G35" s="151">
        <f>'Rateio Custos Fixos'!K$11</f>
        <v>400</v>
      </c>
      <c r="H35"/>
      <c r="J35" s="181"/>
      <c r="K35" s="181">
        <v>0</v>
      </c>
    </row>
    <row r="36" spans="1:11" ht="18.600000000000001" customHeight="1">
      <c r="A36" s="48"/>
      <c r="B36" s="49" t="s">
        <v>39</v>
      </c>
      <c r="C36" s="50"/>
      <c r="D36" s="50"/>
      <c r="E36" s="50"/>
      <c r="F36" s="50"/>
      <c r="G36" s="151">
        <f>'Rateio Custos Fixos'!L$11</f>
        <v>774.9</v>
      </c>
      <c r="J36" s="181"/>
      <c r="K36" s="181">
        <v>0</v>
      </c>
    </row>
    <row r="37" spans="1:11">
      <c r="A37" s="48"/>
      <c r="B37" s="49" t="s">
        <v>40</v>
      </c>
      <c r="C37" s="50"/>
      <c r="D37" s="50"/>
      <c r="E37" s="50"/>
      <c r="F37" s="50"/>
      <c r="G37" s="151">
        <f>'Rateio Custos Fixos'!M$11</f>
        <v>140</v>
      </c>
      <c r="J37" s="181">
        <v>100</v>
      </c>
      <c r="K37" s="181">
        <v>5.4</v>
      </c>
    </row>
    <row r="38" spans="1:11" ht="18.600000000000001" customHeight="1">
      <c r="A38" s="48"/>
      <c r="B38" s="49" t="s">
        <v>41</v>
      </c>
      <c r="C38" s="52">
        <v>0.08</v>
      </c>
      <c r="D38" s="50"/>
      <c r="E38" s="50"/>
      <c r="F38" s="50"/>
      <c r="G38" s="151">
        <f>'Rateio Custos Fixos'!N66</f>
        <v>1559.6239999999998</v>
      </c>
      <c r="J38" s="181">
        <v>100</v>
      </c>
      <c r="K38" s="181">
        <v>4.7</v>
      </c>
    </row>
    <row r="39" spans="1:11" ht="18.600000000000001" customHeight="1">
      <c r="A39" s="48"/>
      <c r="B39" s="49" t="s">
        <v>42</v>
      </c>
      <c r="C39" s="50"/>
      <c r="D39" s="50"/>
      <c r="E39" s="50"/>
      <c r="F39" s="50"/>
      <c r="G39" s="151">
        <v>0</v>
      </c>
      <c r="H39" s="174" t="s">
        <v>43</v>
      </c>
      <c r="J39" s="181">
        <v>100</v>
      </c>
      <c r="K39" s="181">
        <v>9.3000000000000007</v>
      </c>
    </row>
    <row r="40" spans="1:11" ht="18.600000000000001" customHeight="1">
      <c r="A40" s="48"/>
      <c r="B40" s="49" t="s">
        <v>44</v>
      </c>
      <c r="D40" s="50"/>
      <c r="E40" s="50"/>
      <c r="F40" s="50"/>
      <c r="G40" s="151">
        <f>'Rateio Custos Fixos'!P11</f>
        <v>756.95</v>
      </c>
      <c r="J40" s="181"/>
      <c r="K40" s="181">
        <v>0</v>
      </c>
    </row>
    <row r="41" spans="1:11" ht="18.600000000000001" customHeight="1">
      <c r="A41" s="48"/>
      <c r="B41" s="49" t="s">
        <v>45</v>
      </c>
      <c r="C41" s="50"/>
      <c r="D41" s="50"/>
      <c r="E41" s="50"/>
      <c r="F41" s="50"/>
      <c r="G41" s="151">
        <f>'Rateio Custos Fixos'!Q11</f>
        <v>225</v>
      </c>
      <c r="J41" s="181">
        <v>100</v>
      </c>
      <c r="K41" s="181">
        <v>4.4000000000000004</v>
      </c>
    </row>
    <row r="42" spans="1:11" ht="18.600000000000001" customHeight="1">
      <c r="A42" s="48"/>
      <c r="B42" s="49" t="s">
        <v>46</v>
      </c>
      <c r="C42" s="50"/>
      <c r="D42" s="50"/>
      <c r="E42" s="50"/>
      <c r="F42" s="50"/>
      <c r="G42" s="151">
        <f>'Rateio Custos Fixos'!R11</f>
        <v>117.45</v>
      </c>
      <c r="J42" s="181">
        <v>100</v>
      </c>
      <c r="K42" s="181">
        <v>13.5</v>
      </c>
    </row>
    <row r="43" spans="1:11" ht="18.600000000000001" customHeight="1">
      <c r="A43" s="48"/>
      <c r="B43" s="49" t="s">
        <v>47</v>
      </c>
      <c r="C43" s="50"/>
      <c r="D43" s="50"/>
      <c r="E43" s="50"/>
      <c r="F43" s="50"/>
      <c r="G43" s="151">
        <f>'Rateio Custos Fixos'!S11</f>
        <v>286</v>
      </c>
      <c r="J43" s="181">
        <v>100</v>
      </c>
      <c r="K43" s="181">
        <v>15.2</v>
      </c>
    </row>
    <row r="44" spans="1:11" ht="18.600000000000001" customHeight="1">
      <c r="A44" s="48"/>
      <c r="B44" s="49" t="s">
        <v>48</v>
      </c>
      <c r="C44" s="50"/>
      <c r="D44" s="50"/>
      <c r="E44" s="50"/>
      <c r="F44" s="50"/>
      <c r="G44" s="151">
        <f>'Rateio Custos Fixos'!T11</f>
        <v>6000</v>
      </c>
      <c r="J44" s="181">
        <v>100</v>
      </c>
      <c r="K44" s="181">
        <v>11.5</v>
      </c>
    </row>
    <row r="45" spans="1:11" ht="18.600000000000001" customHeight="1">
      <c r="A45" s="48"/>
      <c r="B45" s="49" t="s">
        <v>49</v>
      </c>
      <c r="C45" s="50"/>
      <c r="D45" s="50"/>
      <c r="E45" s="50"/>
      <c r="F45" s="50"/>
      <c r="G45" s="151">
        <f>'Rateio Custos Fixos'!U11</f>
        <v>2400</v>
      </c>
      <c r="J45" s="181">
        <v>100</v>
      </c>
      <c r="K45" s="181">
        <v>6.9</v>
      </c>
    </row>
    <row r="46" spans="1:11" ht="18.600000000000001" customHeight="1" thickBot="1">
      <c r="A46" s="48"/>
      <c r="B46" s="49" t="str">
        <f>'Rateio Custos Fixos'!V10</f>
        <v>COMISSÃO SEAWISE</v>
      </c>
      <c r="C46" s="198">
        <v>3.5000000000000003E-2</v>
      </c>
      <c r="D46" s="50"/>
      <c r="E46" s="50"/>
      <c r="F46" s="50"/>
      <c r="G46" s="151">
        <f>'Rateio Custos Fixos'!V66</f>
        <v>25768.179674999999</v>
      </c>
      <c r="J46" s="181"/>
      <c r="K46" s="181"/>
    </row>
    <row r="47" spans="1:11" ht="18.600000000000001" customHeight="1" thickBot="1">
      <c r="A47" s="48"/>
      <c r="B47" s="42" t="s">
        <v>50</v>
      </c>
      <c r="C47" s="53"/>
      <c r="D47" s="53"/>
      <c r="E47" s="53"/>
      <c r="F47" s="53"/>
      <c r="G47" s="150">
        <f>SUM(G30:G46)</f>
        <v>41089.603674999998</v>
      </c>
      <c r="J47" s="181">
        <v>100</v>
      </c>
      <c r="K47" s="181">
        <v>11.5</v>
      </c>
    </row>
    <row r="48" spans="1:11" ht="19.5" thickBot="1">
      <c r="B48" s="188" t="s">
        <v>51</v>
      </c>
      <c r="C48" s="189"/>
      <c r="D48" s="189"/>
      <c r="E48" s="189"/>
      <c r="F48" s="190"/>
      <c r="G48" s="152">
        <f>G20+G28+G47</f>
        <v>1148051.2210387997</v>
      </c>
      <c r="J48" s="181">
        <v>100</v>
      </c>
      <c r="K48" s="181">
        <v>19.5</v>
      </c>
    </row>
    <row r="49" spans="1:16" ht="19.5" thickBot="1">
      <c r="B49" s="155"/>
      <c r="C49" s="156"/>
      <c r="D49" s="156"/>
      <c r="E49" s="156"/>
      <c r="F49" s="166"/>
      <c r="G49" s="165" t="s">
        <v>52</v>
      </c>
      <c r="J49" s="181">
        <v>100</v>
      </c>
      <c r="K49" s="181">
        <v>7.6</v>
      </c>
    </row>
    <row r="50" spans="1:16" ht="19.5" hidden="1" customHeight="1" thickBot="1">
      <c r="B50" s="54">
        <f>B15</f>
        <v>0</v>
      </c>
      <c r="C50" s="55"/>
      <c r="D50" s="55"/>
      <c r="E50" s="55"/>
      <c r="F50" s="167"/>
      <c r="G50" s="167">
        <f>'LISTA DE COMPRAS'!R5</f>
        <v>2541.1747981419176</v>
      </c>
      <c r="J50" s="181">
        <v>100</v>
      </c>
      <c r="K50" s="181">
        <v>11.5</v>
      </c>
    </row>
    <row r="51" spans="1:16" ht="19.5" hidden="1" customHeight="1" thickBot="1">
      <c r="B51" s="54" t="e">
        <f>#REF!</f>
        <v>#REF!</v>
      </c>
      <c r="C51" s="55"/>
      <c r="D51" s="55"/>
      <c r="E51" s="55"/>
      <c r="F51" s="56"/>
      <c r="G51" s="57" t="e">
        <f>'Est. Cust. Naci.'!#REF!</f>
        <v>#REF!</v>
      </c>
      <c r="J51" s="181">
        <v>300</v>
      </c>
      <c r="K51" s="181">
        <v>13.1</v>
      </c>
    </row>
    <row r="52" spans="1:16" ht="19.5" hidden="1" customHeight="1" thickBot="1">
      <c r="B52" s="54" t="e">
        <f>#REF!</f>
        <v>#REF!</v>
      </c>
      <c r="C52" s="55"/>
      <c r="D52" s="55"/>
      <c r="E52" s="55"/>
      <c r="F52" s="56"/>
      <c r="G52" s="57" t="e">
        <f>'Est. Cust. Naci.'!#REF!</f>
        <v>#REF!</v>
      </c>
      <c r="J52" s="181">
        <v>100</v>
      </c>
      <c r="K52" s="181">
        <v>11.5</v>
      </c>
    </row>
    <row r="53" spans="1:16">
      <c r="B53" s="58" t="s">
        <v>53</v>
      </c>
      <c r="C53" s="59">
        <f>'Est. Cust. Naci.'!L5</f>
        <v>736233.70499999996</v>
      </c>
      <c r="D53" s="60"/>
      <c r="E53" s="60"/>
      <c r="F53" s="60"/>
      <c r="G53" s="61"/>
      <c r="J53" s="181">
        <v>100</v>
      </c>
      <c r="K53" s="181">
        <v>4.4000000000000004</v>
      </c>
    </row>
    <row r="54" spans="1:16">
      <c r="B54" s="62" t="s">
        <v>54</v>
      </c>
      <c r="C54" s="63">
        <f>C55-C53</f>
        <v>411817.51603880024</v>
      </c>
      <c r="G54" s="64"/>
      <c r="J54" s="181"/>
      <c r="K54" s="181">
        <v>0</v>
      </c>
    </row>
    <row r="55" spans="1:16" ht="19.5" thickBot="1">
      <c r="B55" s="175" t="s">
        <v>52</v>
      </c>
      <c r="C55" s="176">
        <f>'Est. Cust. Naci.'!AQ5</f>
        <v>1148051.2210388002</v>
      </c>
      <c r="D55" s="177"/>
      <c r="E55" s="177"/>
      <c r="F55" s="177"/>
      <c r="G55" s="178"/>
      <c r="J55" s="181">
        <v>100</v>
      </c>
      <c r="K55" s="181">
        <v>6.2</v>
      </c>
    </row>
    <row r="56" spans="1:16">
      <c r="J56" s="181">
        <v>100</v>
      </c>
      <c r="K56" s="181">
        <v>17.8</v>
      </c>
    </row>
    <row r="57" spans="1:16">
      <c r="J57" s="181">
        <v>100</v>
      </c>
      <c r="K57" s="181">
        <v>10.199999999999999</v>
      </c>
    </row>
    <row r="58" spans="1:16" s="13" customFormat="1">
      <c r="A58" s="1"/>
      <c r="B58" s="197" t="s">
        <v>55</v>
      </c>
      <c r="F58"/>
      <c r="H58" s="1"/>
      <c r="I58" s="1"/>
      <c r="J58" s="181">
        <v>100</v>
      </c>
      <c r="K58" s="181">
        <v>17.8</v>
      </c>
      <c r="L58" s="1"/>
      <c r="M58" s="1"/>
      <c r="N58" s="1"/>
      <c r="O58" s="1"/>
      <c r="P58" s="1"/>
    </row>
    <row r="59" spans="1:16" s="13" customFormat="1" hidden="1">
      <c r="A59" s="1"/>
      <c r="B59" s="65">
        <f>F16+(F16*3.5%)</f>
        <v>149412.13425</v>
      </c>
      <c r="D59" s="66">
        <f>(B59-F16)*D12</f>
        <v>25768.179675000072</v>
      </c>
      <c r="H59" s="1"/>
      <c r="I59" s="1"/>
      <c r="J59" s="1"/>
      <c r="K59" s="1"/>
      <c r="L59" s="1"/>
      <c r="M59" s="1"/>
      <c r="N59" s="1"/>
      <c r="O59" s="1"/>
      <c r="P59" s="1"/>
    </row>
  </sheetData>
  <mergeCells count="6">
    <mergeCell ref="C5:G7"/>
    <mergeCell ref="B48:F48"/>
    <mergeCell ref="C9:D9"/>
    <mergeCell ref="B13:G13"/>
    <mergeCell ref="B21:G21"/>
    <mergeCell ref="B29:G29"/>
  </mergeCells>
  <phoneticPr fontId="15" type="noConversion"/>
  <pageMargins left="0.70866141732283472" right="0.23622047244094491" top="0.74803149606299213" bottom="0.74803149606299213" header="0.31496062992125984" footer="0.31496062992125984"/>
  <pageSetup paperSize="9" scale="4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3868-631E-4CA2-9AA0-E67134B0A4CB}">
  <sheetPr>
    <pageSetUpPr fitToPage="1"/>
  </sheetPr>
  <dimension ref="A1:AA59"/>
  <sheetViews>
    <sheetView tabSelected="1" topLeftCell="A15" zoomScale="85" zoomScaleNormal="85" workbookViewId="0">
      <selection activeCell="S20" sqref="S20"/>
    </sheetView>
  </sheetViews>
  <sheetFormatPr defaultRowHeight="15"/>
  <cols>
    <col min="1" max="1" width="9.28515625" customWidth="1"/>
    <col min="2" max="2" width="14.42578125" hidden="1" customWidth="1"/>
    <col min="3" max="3" width="14" customWidth="1"/>
    <col min="4" max="4" width="10.28515625" customWidth="1"/>
    <col min="5" max="5" width="6.42578125" bestFit="1" customWidth="1"/>
    <col min="6" max="6" width="8.7109375" bestFit="1" customWidth="1"/>
    <col min="7" max="7" width="6.42578125" bestFit="1" customWidth="1"/>
    <col min="8" max="8" width="8" bestFit="1" customWidth="1"/>
    <col min="9" max="9" width="5.85546875" bestFit="1" customWidth="1"/>
    <col min="10" max="10" width="13.140625" bestFit="1" customWidth="1"/>
    <col min="11" max="11" width="16.7109375" customWidth="1"/>
    <col min="12" max="12" width="14.7109375" hidden="1" customWidth="1"/>
    <col min="13" max="13" width="17.28515625" customWidth="1"/>
    <col min="14" max="14" width="17.42578125" customWidth="1"/>
    <col min="15" max="15" width="14.7109375" hidden="1" customWidth="1"/>
    <col min="16" max="16" width="10.5703125" customWidth="1"/>
    <col min="17" max="17" width="12.7109375" customWidth="1"/>
    <col min="18" max="18" width="19.85546875" bestFit="1" customWidth="1"/>
    <col min="19" max="21" width="16.28515625" customWidth="1"/>
    <col min="22" max="22" width="10.28515625" customWidth="1"/>
    <col min="23" max="23" width="9.140625" customWidth="1"/>
    <col min="24" max="24" width="16.28515625" customWidth="1"/>
    <col min="25" max="25" width="13.28515625" customWidth="1"/>
    <col min="26" max="26" width="9.140625" customWidth="1"/>
    <col min="27" max="27" width="11.7109375" customWidth="1"/>
  </cols>
  <sheetData>
    <row r="1" spans="1:27" ht="26.25">
      <c r="A1" s="134" t="s">
        <v>56</v>
      </c>
      <c r="W1" s="137"/>
      <c r="X1" s="137"/>
      <c r="Y1" s="137"/>
      <c r="Z1" s="137"/>
    </row>
    <row r="2" spans="1:27">
      <c r="W2" s="137"/>
      <c r="X2" s="137"/>
      <c r="Y2" s="137"/>
      <c r="Z2" s="137"/>
    </row>
    <row r="3" spans="1:27" ht="47.25">
      <c r="A3" s="121" t="s">
        <v>57</v>
      </c>
      <c r="B3" s="121" t="s">
        <v>0</v>
      </c>
      <c r="C3" s="122" t="s">
        <v>58</v>
      </c>
      <c r="D3" s="121" t="s">
        <v>59</v>
      </c>
      <c r="E3" s="123" t="s">
        <v>60</v>
      </c>
      <c r="F3" s="123" t="s">
        <v>61</v>
      </c>
      <c r="G3" s="123" t="s">
        <v>28</v>
      </c>
      <c r="H3" s="123" t="s">
        <v>62</v>
      </c>
      <c r="I3" s="123" t="s">
        <v>30</v>
      </c>
      <c r="J3" s="122" t="s">
        <v>103</v>
      </c>
      <c r="K3" s="122" t="s">
        <v>63</v>
      </c>
      <c r="L3" s="122" t="s">
        <v>64</v>
      </c>
      <c r="M3" s="122" t="s">
        <v>65</v>
      </c>
      <c r="N3" s="122" t="s">
        <v>65</v>
      </c>
      <c r="O3" s="122" t="s">
        <v>66</v>
      </c>
      <c r="P3" s="122" t="s">
        <v>67</v>
      </c>
      <c r="Q3" s="122" t="s">
        <v>68</v>
      </c>
      <c r="R3" s="124" t="s">
        <v>102</v>
      </c>
      <c r="S3" s="73"/>
      <c r="T3" s="73"/>
      <c r="U3" s="73"/>
      <c r="V3" s="73"/>
      <c r="W3" s="137"/>
      <c r="X3" s="137"/>
      <c r="Y3" s="137"/>
      <c r="Z3" s="137"/>
      <c r="AA3" s="135"/>
    </row>
    <row r="4" spans="1:27" ht="15.75">
      <c r="A4" s="121"/>
      <c r="B4" s="121"/>
      <c r="C4" s="122"/>
      <c r="D4" s="121"/>
      <c r="E4" s="123"/>
      <c r="F4" s="123"/>
      <c r="G4" s="123"/>
      <c r="H4" s="123"/>
      <c r="I4" s="123"/>
      <c r="J4" s="122">
        <f>SUM(J5:J57)</f>
        <v>425</v>
      </c>
      <c r="K4" s="125">
        <f>SUM(K5:K57)</f>
        <v>17152.75</v>
      </c>
      <c r="L4" s="125"/>
      <c r="M4" s="125">
        <f>SUM(M5:M57)</f>
        <v>144359.54999999999</v>
      </c>
      <c r="N4" s="126">
        <f>F59</f>
        <v>5.0999999999999996</v>
      </c>
      <c r="O4" s="126"/>
      <c r="P4" s="127">
        <v>1</v>
      </c>
      <c r="Q4" s="127">
        <v>1</v>
      </c>
      <c r="R4" s="128"/>
      <c r="S4" s="137"/>
      <c r="T4" s="137"/>
      <c r="U4" s="137"/>
      <c r="V4" s="137"/>
      <c r="W4" s="137"/>
      <c r="X4" s="137"/>
      <c r="Y4" s="137"/>
      <c r="Z4" s="137"/>
      <c r="AA4" s="136"/>
    </row>
    <row r="5" spans="1:27" ht="38.25">
      <c r="A5" s="173">
        <v>1</v>
      </c>
      <c r="B5" s="173"/>
      <c r="C5" s="179" t="s">
        <v>104</v>
      </c>
      <c r="D5" s="1">
        <v>84099959</v>
      </c>
      <c r="E5" s="129">
        <v>0.16</v>
      </c>
      <c r="F5" s="130">
        <v>3.0099999999999998E-2</v>
      </c>
      <c r="G5" s="130">
        <v>3.1199999999999999E-2</v>
      </c>
      <c r="H5" s="130">
        <v>0.1497</v>
      </c>
      <c r="I5" s="131">
        <v>0.06</v>
      </c>
      <c r="J5" s="181">
        <v>30</v>
      </c>
      <c r="K5" s="181">
        <v>328.57</v>
      </c>
      <c r="L5" s="132">
        <f>K5/2</f>
        <v>164.285</v>
      </c>
      <c r="M5" s="132">
        <f>K5*J5</f>
        <v>9857.1</v>
      </c>
      <c r="N5" s="133">
        <f>M5*$N$4</f>
        <v>50271.21</v>
      </c>
      <c r="O5" s="133">
        <f>L5*J5*$N$4</f>
        <v>25135.605</v>
      </c>
      <c r="P5" s="130">
        <f>(J5*$P$4)/$J$4</f>
        <v>7.0588235294117646E-2</v>
      </c>
      <c r="Q5" s="130">
        <f>(K5*$Q$4)/$K$4</f>
        <v>1.9155528996808092E-2</v>
      </c>
      <c r="R5" s="133">
        <f>'Est. Cust. Naci.'!AV6</f>
        <v>2541.1747981419176</v>
      </c>
      <c r="S5" s="69"/>
      <c r="T5" s="69"/>
      <c r="U5" s="69"/>
      <c r="V5" s="69"/>
      <c r="W5" s="137"/>
      <c r="X5" s="137"/>
      <c r="Y5" s="137"/>
      <c r="Z5" s="137"/>
      <c r="AA5" s="119"/>
    </row>
    <row r="6" spans="1:27" ht="25.5">
      <c r="A6" s="1">
        <v>2</v>
      </c>
      <c r="B6" s="1"/>
      <c r="C6" s="179" t="s">
        <v>105</v>
      </c>
      <c r="D6" s="170">
        <v>84099959</v>
      </c>
      <c r="E6" s="129">
        <v>0.16</v>
      </c>
      <c r="F6" s="130">
        <v>3.0099999999999998E-2</v>
      </c>
      <c r="G6" s="130">
        <v>3.1199999999999999E-2</v>
      </c>
      <c r="H6" s="130">
        <v>0.1497</v>
      </c>
      <c r="I6" s="131">
        <v>0.06</v>
      </c>
      <c r="J6" s="181">
        <v>30</v>
      </c>
      <c r="K6" s="181">
        <v>1275</v>
      </c>
      <c r="M6" s="132">
        <f t="shared" ref="M6:M9" si="0">K6*J6</f>
        <v>38250</v>
      </c>
      <c r="N6" s="133">
        <f t="shared" ref="N6:N9" si="1">M6*$N$4</f>
        <v>195075</v>
      </c>
      <c r="O6" s="133">
        <f t="shared" ref="O6:O9" si="2">L6*J6*$N$4</f>
        <v>0</v>
      </c>
      <c r="P6" s="130">
        <f t="shared" ref="P6:P9" si="3">(J6*$P$4)/$J$4</f>
        <v>7.0588235294117646E-2</v>
      </c>
      <c r="Q6" s="130">
        <f t="shared" ref="Q6:Q57" si="4">(K6*$Q$4)/$K$4</f>
        <v>7.4332104181545233E-2</v>
      </c>
      <c r="R6" s="133">
        <f>'Est. Cust. Naci.'!AV7</f>
        <v>9860.9059489026549</v>
      </c>
    </row>
    <row r="7" spans="1:27" ht="25.5">
      <c r="A7" s="1">
        <v>3</v>
      </c>
      <c r="B7" s="1"/>
      <c r="C7" s="179" t="s">
        <v>106</v>
      </c>
      <c r="D7" s="1">
        <v>84099959</v>
      </c>
      <c r="E7" s="129">
        <v>0.16</v>
      </c>
      <c r="F7" s="130">
        <v>3.0099999999999998E-2</v>
      </c>
      <c r="G7" s="130">
        <v>3.1199999999999999E-2</v>
      </c>
      <c r="H7" s="130">
        <v>0.1497</v>
      </c>
      <c r="I7" s="131">
        <v>0.06</v>
      </c>
      <c r="J7" s="181">
        <v>20</v>
      </c>
      <c r="K7" s="181">
        <v>200</v>
      </c>
      <c r="M7" s="132">
        <f t="shared" si="0"/>
        <v>4000</v>
      </c>
      <c r="N7" s="133">
        <f t="shared" si="1"/>
        <v>20400</v>
      </c>
      <c r="O7" s="133">
        <f t="shared" si="2"/>
        <v>0</v>
      </c>
      <c r="P7" s="130">
        <f t="shared" si="3"/>
        <v>4.7058823529411764E-2</v>
      </c>
      <c r="Q7" s="130">
        <f t="shared" si="4"/>
        <v>1.1659937910830625E-2</v>
      </c>
      <c r="R7" s="133">
        <f>'Est. Cust. Naci.'!AV8</f>
        <v>1555.3355644476835</v>
      </c>
    </row>
    <row r="8" spans="1:27" ht="38.25">
      <c r="A8" s="1">
        <v>4</v>
      </c>
      <c r="B8" s="1"/>
      <c r="C8" s="179" t="s">
        <v>107</v>
      </c>
      <c r="D8" s="170">
        <v>84099959</v>
      </c>
      <c r="E8" s="129">
        <v>0.16</v>
      </c>
      <c r="F8" s="130">
        <v>3.0099999999999998E-2</v>
      </c>
      <c r="G8" s="130">
        <v>3.1199999999999999E-2</v>
      </c>
      <c r="H8" s="130">
        <v>0.1497</v>
      </c>
      <c r="I8" s="131">
        <v>0.06</v>
      </c>
      <c r="J8" s="181">
        <v>240</v>
      </c>
      <c r="K8" s="181">
        <v>132.43</v>
      </c>
      <c r="M8" s="132">
        <f t="shared" si="0"/>
        <v>31783.200000000001</v>
      </c>
      <c r="N8" s="133">
        <f t="shared" si="1"/>
        <v>162094.31999999998</v>
      </c>
      <c r="O8" s="133">
        <f t="shared" si="2"/>
        <v>0</v>
      </c>
      <c r="P8" s="130">
        <f t="shared" si="3"/>
        <v>0.56470588235294117</v>
      </c>
      <c r="Q8" s="130">
        <f t="shared" si="4"/>
        <v>7.7206278876564985E-3</v>
      </c>
      <c r="R8" s="133">
        <f>'Est. Cust. Naci.'!AV9</f>
        <v>1014.3389088732526</v>
      </c>
    </row>
    <row r="9" spans="1:27" ht="38.25">
      <c r="A9" s="1">
        <v>5</v>
      </c>
      <c r="B9" s="1"/>
      <c r="C9" s="179" t="s">
        <v>108</v>
      </c>
      <c r="D9" s="1">
        <v>84099959</v>
      </c>
      <c r="E9" s="129">
        <v>0.16</v>
      </c>
      <c r="F9" s="130">
        <v>3.0099999999999998E-2</v>
      </c>
      <c r="G9" s="130">
        <v>3.1199999999999999E-2</v>
      </c>
      <c r="H9" s="130">
        <v>0.1497</v>
      </c>
      <c r="I9" s="131">
        <v>0.06</v>
      </c>
      <c r="J9" s="181">
        <v>20</v>
      </c>
      <c r="K9" s="181">
        <v>229.43</v>
      </c>
      <c r="M9" s="132">
        <f t="shared" si="0"/>
        <v>4588.6000000000004</v>
      </c>
      <c r="N9" s="133">
        <f t="shared" si="1"/>
        <v>23401.86</v>
      </c>
      <c r="O9" s="133">
        <f t="shared" si="2"/>
        <v>0</v>
      </c>
      <c r="P9" s="130">
        <f t="shared" si="3"/>
        <v>4.7058823529411764E-2</v>
      </c>
      <c r="Q9" s="130">
        <f t="shared" si="4"/>
        <v>1.3375697774409352E-2</v>
      </c>
      <c r="R9" s="133">
        <f>'Est. Cust. Naci.'!AV10</f>
        <v>1784.2031927561598</v>
      </c>
    </row>
    <row r="10" spans="1:27" ht="25.5">
      <c r="A10" s="1">
        <v>6</v>
      </c>
      <c r="B10" s="1"/>
      <c r="C10" s="180" t="s">
        <v>109</v>
      </c>
      <c r="D10" s="170">
        <v>84099959</v>
      </c>
      <c r="E10" s="129">
        <v>0.16</v>
      </c>
      <c r="F10" s="130">
        <v>3.0099999999999998E-2</v>
      </c>
      <c r="G10" s="130">
        <v>3.1199999999999999E-2</v>
      </c>
      <c r="H10" s="130">
        <v>0.1497</v>
      </c>
      <c r="I10" s="131">
        <v>0.06</v>
      </c>
      <c r="J10" s="181">
        <v>3</v>
      </c>
      <c r="K10" s="181">
        <v>707.96</v>
      </c>
      <c r="M10" s="132">
        <f t="shared" ref="M10:M28" si="5">K10*J10</f>
        <v>2123.88</v>
      </c>
      <c r="N10" s="133">
        <f t="shared" ref="N10:N28" si="6">M10*$N$4</f>
        <v>10831.788</v>
      </c>
      <c r="O10" s="133">
        <f t="shared" ref="O10:O28" si="7">L10*J10*$N$4</f>
        <v>0</v>
      </c>
      <c r="P10" s="130">
        <f t="shared" ref="P10:P28" si="8">(J10*$P$4)/$J$4</f>
        <v>7.058823529411765E-3</v>
      </c>
      <c r="Q10" s="130">
        <f t="shared" si="4"/>
        <v>4.1273848216758245E-2</v>
      </c>
      <c r="R10" s="133">
        <f>'Est. Cust. Naci.'!AV11</f>
        <v>6018.6899507727285</v>
      </c>
    </row>
    <row r="11" spans="1:27" ht="25.5">
      <c r="A11" s="1">
        <v>7</v>
      </c>
      <c r="B11" s="1"/>
      <c r="C11" s="180" t="s">
        <v>110</v>
      </c>
      <c r="D11" s="1">
        <v>84099959</v>
      </c>
      <c r="E11" s="129">
        <v>0.16</v>
      </c>
      <c r="F11" s="130">
        <v>3.0099999999999998E-2</v>
      </c>
      <c r="G11" s="130">
        <v>3.1199999999999999E-2</v>
      </c>
      <c r="H11" s="130">
        <v>0.1497</v>
      </c>
      <c r="I11" s="131">
        <v>0.06</v>
      </c>
      <c r="J11" s="181">
        <v>10</v>
      </c>
      <c r="K11" s="181">
        <v>583.41</v>
      </c>
      <c r="M11" s="132">
        <f t="shared" si="5"/>
        <v>5834.0999999999995</v>
      </c>
      <c r="N11" s="133">
        <f t="shared" si="6"/>
        <v>29753.909999999996</v>
      </c>
      <c r="O11" s="133">
        <f t="shared" si="7"/>
        <v>0</v>
      </c>
      <c r="P11" s="130">
        <f t="shared" si="8"/>
        <v>2.3529411764705882E-2</v>
      </c>
      <c r="Q11" s="130">
        <f t="shared" si="4"/>
        <v>3.4012621882788474E-2</v>
      </c>
      <c r="R11" s="133">
        <f>'Est. Cust. Naci.'!AV12</f>
        <v>4611.6108103842289</v>
      </c>
    </row>
    <row r="12" spans="1:27" ht="25.5">
      <c r="A12" s="1">
        <v>8</v>
      </c>
      <c r="B12" s="1"/>
      <c r="C12" s="180" t="s">
        <v>111</v>
      </c>
      <c r="D12" s="170">
        <v>84099959</v>
      </c>
      <c r="E12" s="129">
        <v>0.16</v>
      </c>
      <c r="F12" s="130">
        <v>3.0099999999999998E-2</v>
      </c>
      <c r="G12" s="130">
        <v>3.1199999999999999E-2</v>
      </c>
      <c r="H12" s="130">
        <v>0.1497</v>
      </c>
      <c r="I12" s="131">
        <v>0.06</v>
      </c>
      <c r="J12" s="181">
        <v>20</v>
      </c>
      <c r="K12" s="181">
        <v>152.08000000000001</v>
      </c>
      <c r="M12" s="132">
        <f t="shared" si="5"/>
        <v>3041.6000000000004</v>
      </c>
      <c r="N12" s="133">
        <f t="shared" si="6"/>
        <v>15512.160000000002</v>
      </c>
      <c r="O12" s="133">
        <f t="shared" si="7"/>
        <v>0</v>
      </c>
      <c r="P12" s="130">
        <f t="shared" si="8"/>
        <v>4.7058823529411764E-2</v>
      </c>
      <c r="Q12" s="130">
        <f t="shared" si="4"/>
        <v>8.8662167873956085E-3</v>
      </c>
      <c r="R12" s="133">
        <f>'Est. Cust. Naci.'!AV13</f>
        <v>1182.6771632060186</v>
      </c>
    </row>
    <row r="13" spans="1:27" ht="25.5">
      <c r="A13" s="1">
        <v>9</v>
      </c>
      <c r="B13" s="1"/>
      <c r="C13" s="180" t="s">
        <v>112</v>
      </c>
      <c r="D13" s="1">
        <v>84099959</v>
      </c>
      <c r="E13" s="129">
        <v>0.16</v>
      </c>
      <c r="F13" s="130">
        <v>3.0099999999999998E-2</v>
      </c>
      <c r="G13" s="130">
        <v>3.1199999999999999E-2</v>
      </c>
      <c r="H13" s="130">
        <v>0.1497</v>
      </c>
      <c r="I13" s="131">
        <v>0.06</v>
      </c>
      <c r="J13" s="181">
        <v>5</v>
      </c>
      <c r="K13" s="181">
        <v>1088.1600000000001</v>
      </c>
      <c r="M13" s="132">
        <f t="shared" si="5"/>
        <v>5440.8</v>
      </c>
      <c r="N13" s="133">
        <f t="shared" si="6"/>
        <v>27748.079999999998</v>
      </c>
      <c r="O13" s="133">
        <f t="shared" si="7"/>
        <v>0</v>
      </c>
      <c r="P13" s="130">
        <f t="shared" si="8"/>
        <v>1.1764705882352941E-2</v>
      </c>
      <c r="Q13" s="130">
        <f t="shared" si="4"/>
        <v>6.3439390185247274E-2</v>
      </c>
      <c r="R13" s="133">
        <f>'Est. Cust. Naci.'!AV14</f>
        <v>8879.8026797078219</v>
      </c>
    </row>
    <row r="14" spans="1:27" ht="25.5">
      <c r="A14" s="1">
        <v>10</v>
      </c>
      <c r="B14" s="1"/>
      <c r="C14" s="180" t="s">
        <v>113</v>
      </c>
      <c r="D14" s="170">
        <v>84099959</v>
      </c>
      <c r="E14" s="129">
        <v>0.16</v>
      </c>
      <c r="F14" s="130">
        <v>3.0099999999999998E-2</v>
      </c>
      <c r="G14" s="130">
        <v>3.1199999999999999E-2</v>
      </c>
      <c r="H14" s="130">
        <v>0.1497</v>
      </c>
      <c r="I14" s="131">
        <v>0.06</v>
      </c>
      <c r="J14" s="181">
        <v>5</v>
      </c>
      <c r="K14" s="181">
        <v>938.7</v>
      </c>
      <c r="M14" s="132">
        <f t="shared" si="5"/>
        <v>4693.5</v>
      </c>
      <c r="N14" s="133">
        <f t="shared" si="6"/>
        <v>23936.85</v>
      </c>
      <c r="O14" s="133">
        <f t="shared" si="7"/>
        <v>0</v>
      </c>
      <c r="P14" s="130">
        <f t="shared" si="8"/>
        <v>1.1764705882352941E-2</v>
      </c>
      <c r="Q14" s="130">
        <f t="shared" si="4"/>
        <v>5.4725918584483543E-2</v>
      </c>
      <c r="R14" s="133">
        <f>'Est. Cust. Naci.'!AV15</f>
        <v>7660.1517933408059</v>
      </c>
    </row>
    <row r="15" spans="1:27" ht="25.5">
      <c r="A15" s="1">
        <v>11</v>
      </c>
      <c r="B15" s="1"/>
      <c r="C15" s="180" t="s">
        <v>114</v>
      </c>
      <c r="D15" s="1">
        <v>84099959</v>
      </c>
      <c r="E15" s="129">
        <v>0.16</v>
      </c>
      <c r="F15" s="130">
        <v>3.0099999999999998E-2</v>
      </c>
      <c r="G15" s="130">
        <v>3.1199999999999999E-2</v>
      </c>
      <c r="H15" s="130">
        <v>0.1497</v>
      </c>
      <c r="I15" s="131">
        <v>0.06</v>
      </c>
      <c r="J15" s="181">
        <v>3</v>
      </c>
      <c r="K15" s="181">
        <v>812.84</v>
      </c>
      <c r="M15" s="132">
        <f t="shared" si="5"/>
        <v>2438.52</v>
      </c>
      <c r="N15" s="133">
        <f t="shared" si="6"/>
        <v>12436.451999999999</v>
      </c>
      <c r="O15" s="133">
        <f t="shared" si="7"/>
        <v>0</v>
      </c>
      <c r="P15" s="130">
        <f t="shared" si="8"/>
        <v>7.058823529411765E-3</v>
      </c>
      <c r="Q15" s="130">
        <f t="shared" si="4"/>
        <v>4.7388319657197829E-2</v>
      </c>
      <c r="R15" s="133">
        <f>'Est. Cust. Naci.'!AV16</f>
        <v>6910.3225317618299</v>
      </c>
    </row>
    <row r="16" spans="1:27" ht="25.5">
      <c r="A16" s="1">
        <v>12</v>
      </c>
      <c r="B16" s="1"/>
      <c r="C16" s="180" t="s">
        <v>115</v>
      </c>
      <c r="D16" s="170">
        <v>84099112</v>
      </c>
      <c r="E16" s="129">
        <v>0.16</v>
      </c>
      <c r="F16" s="130">
        <v>3.7699999999999997E-2</v>
      </c>
      <c r="G16" s="130">
        <v>3.1199999999999999E-2</v>
      </c>
      <c r="H16" s="130">
        <v>0.1497</v>
      </c>
      <c r="I16" s="131">
        <v>0.06</v>
      </c>
      <c r="J16" s="181">
        <v>0</v>
      </c>
      <c r="K16" s="181">
        <v>634.54</v>
      </c>
      <c r="M16" s="132">
        <f t="shared" si="5"/>
        <v>0</v>
      </c>
      <c r="N16" s="133">
        <f t="shared" si="6"/>
        <v>0</v>
      </c>
      <c r="O16" s="133">
        <f t="shared" si="7"/>
        <v>0</v>
      </c>
      <c r="P16" s="130">
        <f t="shared" si="8"/>
        <v>0</v>
      </c>
      <c r="Q16" s="130">
        <f t="shared" si="4"/>
        <v>3.6993485009692323E-2</v>
      </c>
      <c r="R16" s="133" t="e">
        <f>'Est. Cust. Naci.'!AV17</f>
        <v>#DIV/0!</v>
      </c>
    </row>
    <row r="17" spans="1:18" ht="25.5">
      <c r="A17" s="1">
        <v>13</v>
      </c>
      <c r="B17" s="1"/>
      <c r="C17" s="180" t="s">
        <v>116</v>
      </c>
      <c r="D17" s="1">
        <v>84099112</v>
      </c>
      <c r="E17" s="129">
        <v>0.16</v>
      </c>
      <c r="F17" s="130">
        <v>3.7699999999999997E-2</v>
      </c>
      <c r="G17" s="130">
        <v>3.1199999999999999E-2</v>
      </c>
      <c r="H17" s="130">
        <v>0.1497</v>
      </c>
      <c r="I17" s="131">
        <v>0.06</v>
      </c>
      <c r="J17" s="181">
        <v>0</v>
      </c>
      <c r="K17" s="181">
        <v>634.54</v>
      </c>
      <c r="M17" s="132">
        <f t="shared" si="5"/>
        <v>0</v>
      </c>
      <c r="N17" s="133">
        <f t="shared" si="6"/>
        <v>0</v>
      </c>
      <c r="O17" s="133">
        <f t="shared" si="7"/>
        <v>0</v>
      </c>
      <c r="P17" s="130">
        <f t="shared" si="8"/>
        <v>0</v>
      </c>
      <c r="Q17" s="130">
        <f t="shared" si="4"/>
        <v>3.6993485009692323E-2</v>
      </c>
      <c r="R17" s="133" t="e">
        <f>'Est. Cust. Naci.'!AV18</f>
        <v>#DIV/0!</v>
      </c>
    </row>
    <row r="18" spans="1:18" ht="25.5">
      <c r="A18" s="1">
        <v>14</v>
      </c>
      <c r="B18" s="1"/>
      <c r="C18" s="180" t="s">
        <v>117</v>
      </c>
      <c r="D18" s="170">
        <v>84099112</v>
      </c>
      <c r="E18" s="129">
        <v>0.16</v>
      </c>
      <c r="F18" s="130">
        <v>3.7699999999999997E-2</v>
      </c>
      <c r="G18" s="130">
        <v>3.1199999999999999E-2</v>
      </c>
      <c r="H18" s="130">
        <v>0.1497</v>
      </c>
      <c r="I18" s="131">
        <v>0.06</v>
      </c>
      <c r="J18" s="181">
        <v>5</v>
      </c>
      <c r="K18" s="181">
        <v>301.54000000000002</v>
      </c>
      <c r="M18" s="132">
        <f t="shared" si="5"/>
        <v>1507.7</v>
      </c>
      <c r="N18" s="133">
        <f t="shared" si="6"/>
        <v>7689.2699999999995</v>
      </c>
      <c r="O18" s="133">
        <f t="shared" si="7"/>
        <v>0</v>
      </c>
      <c r="P18" s="130">
        <f t="shared" si="8"/>
        <v>1.1764705882352941E-2</v>
      </c>
      <c r="Q18" s="130">
        <f t="shared" si="4"/>
        <v>1.7579688388159334E-2</v>
      </c>
      <c r="R18" s="133">
        <f>'Est. Cust. Naci.'!AV19</f>
        <v>2460.6819769510885</v>
      </c>
    </row>
    <row r="19" spans="1:18" ht="25.5">
      <c r="A19" s="1">
        <v>15</v>
      </c>
      <c r="B19" s="1"/>
      <c r="C19" s="180" t="s">
        <v>118</v>
      </c>
      <c r="D19" s="1">
        <v>84099112</v>
      </c>
      <c r="E19" s="129">
        <v>0.16</v>
      </c>
      <c r="F19" s="130">
        <v>3.7699999999999997E-2</v>
      </c>
      <c r="G19" s="130">
        <v>3.1199999999999999E-2</v>
      </c>
      <c r="H19" s="130">
        <v>0.1497</v>
      </c>
      <c r="I19" s="131">
        <v>0.06</v>
      </c>
      <c r="J19" s="181">
        <v>5</v>
      </c>
      <c r="K19" s="181">
        <v>360.53</v>
      </c>
      <c r="M19" s="132">
        <f t="shared" si="5"/>
        <v>1802.6499999999999</v>
      </c>
      <c r="N19" s="133">
        <f t="shared" si="6"/>
        <v>9193.5149999999994</v>
      </c>
      <c r="O19" s="133">
        <f t="shared" si="7"/>
        <v>0</v>
      </c>
      <c r="P19" s="130">
        <f t="shared" si="8"/>
        <v>1.1764705882352941E-2</v>
      </c>
      <c r="Q19" s="130">
        <f t="shared" si="4"/>
        <v>2.1018787074958824E-2</v>
      </c>
      <c r="R19" s="133">
        <f>'Est. Cust. Naci.'!AV20</f>
        <v>2942.0629871664651</v>
      </c>
    </row>
    <row r="20" spans="1:18" ht="38.25">
      <c r="A20" s="1">
        <v>16</v>
      </c>
      <c r="B20" s="1"/>
      <c r="C20" s="180" t="s">
        <v>119</v>
      </c>
      <c r="D20" s="170">
        <v>84099112</v>
      </c>
      <c r="E20" s="129">
        <v>0.16</v>
      </c>
      <c r="F20" s="130">
        <v>3.7699999999999997E-2</v>
      </c>
      <c r="G20" s="130">
        <v>3.1199999999999999E-2</v>
      </c>
      <c r="H20" s="130">
        <v>0.1497</v>
      </c>
      <c r="I20" s="131">
        <v>0.06</v>
      </c>
      <c r="J20" s="181">
        <v>3</v>
      </c>
      <c r="K20" s="181">
        <v>852.17</v>
      </c>
      <c r="M20" s="132">
        <f t="shared" si="5"/>
        <v>2556.5099999999998</v>
      </c>
      <c r="N20" s="133">
        <f t="shared" si="6"/>
        <v>13038.200999999997</v>
      </c>
      <c r="O20" s="133">
        <f t="shared" si="7"/>
        <v>0</v>
      </c>
      <c r="P20" s="130">
        <f t="shared" si="8"/>
        <v>7.058823529411765E-3</v>
      </c>
      <c r="Q20" s="130">
        <f t="shared" si="4"/>
        <v>4.9681246447362666E-2</v>
      </c>
      <c r="R20" s="133">
        <f>'Est. Cust. Naci.'!AV21</f>
        <v>7244.6847496327418</v>
      </c>
    </row>
    <row r="21" spans="1:18" ht="38.25">
      <c r="A21" s="1">
        <v>17</v>
      </c>
      <c r="B21" s="1"/>
      <c r="C21" s="180" t="s">
        <v>120</v>
      </c>
      <c r="D21" s="1">
        <v>84099112</v>
      </c>
      <c r="E21" s="129">
        <v>0.16</v>
      </c>
      <c r="F21" s="130">
        <v>3.7699999999999997E-2</v>
      </c>
      <c r="G21" s="130">
        <v>3.1199999999999999E-2</v>
      </c>
      <c r="H21" s="130">
        <v>0.1497</v>
      </c>
      <c r="I21" s="131">
        <v>0.06</v>
      </c>
      <c r="J21" s="181">
        <v>5</v>
      </c>
      <c r="K21" s="181">
        <v>471.97</v>
      </c>
      <c r="M21" s="132">
        <f t="shared" si="5"/>
        <v>2359.8500000000004</v>
      </c>
      <c r="N21" s="133">
        <f t="shared" si="6"/>
        <v>12035.235000000001</v>
      </c>
      <c r="O21" s="133">
        <f t="shared" si="7"/>
        <v>0</v>
      </c>
      <c r="P21" s="130">
        <f t="shared" si="8"/>
        <v>1.1764705882352941E-2</v>
      </c>
      <c r="Q21" s="130">
        <f t="shared" si="4"/>
        <v>2.7515704478873651E-2</v>
      </c>
      <c r="R21" s="133">
        <f>'Est. Cust. Naci.'!AV22</f>
        <v>3851.4561008874616</v>
      </c>
    </row>
    <row r="22" spans="1:18" ht="38.25">
      <c r="A22" s="1">
        <v>18</v>
      </c>
      <c r="B22" s="1"/>
      <c r="C22" s="180" t="s">
        <v>121</v>
      </c>
      <c r="D22" s="170">
        <v>84099112</v>
      </c>
      <c r="E22" s="129">
        <v>0.16</v>
      </c>
      <c r="F22" s="130">
        <v>3.7699999999999997E-2</v>
      </c>
      <c r="G22" s="130">
        <v>3.1199999999999999E-2</v>
      </c>
      <c r="H22" s="130">
        <v>0.1497</v>
      </c>
      <c r="I22" s="131">
        <v>0.06</v>
      </c>
      <c r="J22" s="181">
        <v>3</v>
      </c>
      <c r="K22" s="181">
        <v>642.41</v>
      </c>
      <c r="M22" s="132">
        <f t="shared" si="5"/>
        <v>1927.23</v>
      </c>
      <c r="N22" s="133">
        <f t="shared" si="6"/>
        <v>9828.8729999999996</v>
      </c>
      <c r="O22" s="133">
        <f t="shared" si="7"/>
        <v>0</v>
      </c>
      <c r="P22" s="130">
        <f t="shared" si="8"/>
        <v>7.058823529411765E-3</v>
      </c>
      <c r="Q22" s="130">
        <f t="shared" si="4"/>
        <v>3.7452303566483505E-2</v>
      </c>
      <c r="R22" s="133">
        <f>'Est. Cust. Naci.'!AV23</f>
        <v>5461.4195876545409</v>
      </c>
    </row>
    <row r="23" spans="1:18">
      <c r="A23" s="1">
        <v>19</v>
      </c>
      <c r="B23" s="1"/>
      <c r="C23" s="180" t="s">
        <v>122</v>
      </c>
      <c r="D23" s="1">
        <v>84099112</v>
      </c>
      <c r="E23" s="129">
        <v>0.16</v>
      </c>
      <c r="F23" s="130">
        <v>3.7699999999999997E-2</v>
      </c>
      <c r="G23" s="130">
        <v>3.1199999999999999E-2</v>
      </c>
      <c r="H23" s="130">
        <v>0.1497</v>
      </c>
      <c r="I23" s="131">
        <v>0.06</v>
      </c>
      <c r="J23" s="181">
        <v>1</v>
      </c>
      <c r="K23" s="181">
        <v>904.62</v>
      </c>
      <c r="M23" s="132">
        <f t="shared" si="5"/>
        <v>904.62</v>
      </c>
      <c r="N23" s="133">
        <f t="shared" si="6"/>
        <v>4613.5619999999999</v>
      </c>
      <c r="O23" s="133">
        <f t="shared" si="7"/>
        <v>0</v>
      </c>
      <c r="P23" s="130">
        <f t="shared" si="8"/>
        <v>2.352941176470588E-3</v>
      </c>
      <c r="Q23" s="130">
        <f t="shared" si="4"/>
        <v>5.2739065164478002E-2</v>
      </c>
      <c r="R23" s="133">
        <f>'Est. Cust. Naci.'!AV24</f>
        <v>9233.2866737863278</v>
      </c>
    </row>
    <row r="24" spans="1:18">
      <c r="A24" s="1">
        <v>20</v>
      </c>
      <c r="B24" s="1"/>
      <c r="C24" s="180" t="s">
        <v>123</v>
      </c>
      <c r="D24" s="170">
        <v>84099112</v>
      </c>
      <c r="E24" s="129">
        <v>0.16</v>
      </c>
      <c r="F24" s="130">
        <v>3.7699999999999997E-2</v>
      </c>
      <c r="G24" s="130">
        <v>3.1199999999999999E-2</v>
      </c>
      <c r="H24" s="130">
        <v>0.1497</v>
      </c>
      <c r="I24" s="131">
        <v>0.06</v>
      </c>
      <c r="J24" s="181">
        <v>1</v>
      </c>
      <c r="K24" s="181">
        <v>1297.93</v>
      </c>
      <c r="M24" s="132">
        <f t="shared" si="5"/>
        <v>1297.93</v>
      </c>
      <c r="N24" s="133">
        <f t="shared" si="6"/>
        <v>6619.4430000000002</v>
      </c>
      <c r="O24" s="133">
        <f t="shared" si="7"/>
        <v>0</v>
      </c>
      <c r="P24" s="130">
        <f t="shared" si="8"/>
        <v>2.352941176470588E-3</v>
      </c>
      <c r="Q24" s="130">
        <f t="shared" si="4"/>
        <v>7.5668916063021965E-2</v>
      </c>
      <c r="R24" s="133">
        <f>'Est. Cust. Naci.'!AV25</f>
        <v>13247.728076438161</v>
      </c>
    </row>
    <row r="25" spans="1:18" ht="25.5">
      <c r="A25" s="1">
        <v>21</v>
      </c>
      <c r="B25" s="1"/>
      <c r="C25" s="180" t="s">
        <v>124</v>
      </c>
      <c r="D25" s="1">
        <v>84099112</v>
      </c>
      <c r="E25" s="129">
        <v>0.16</v>
      </c>
      <c r="F25" s="130">
        <v>3.7699999999999997E-2</v>
      </c>
      <c r="G25" s="130">
        <v>3.1199999999999999E-2</v>
      </c>
      <c r="H25" s="130">
        <v>0.1497</v>
      </c>
      <c r="I25" s="131">
        <v>0.06</v>
      </c>
      <c r="J25" s="181">
        <v>3</v>
      </c>
      <c r="K25" s="181">
        <v>629.29999999999995</v>
      </c>
      <c r="M25" s="132">
        <f t="shared" si="5"/>
        <v>1887.8999999999999</v>
      </c>
      <c r="N25" s="133">
        <f t="shared" si="6"/>
        <v>9628.2899999999991</v>
      </c>
      <c r="O25" s="133">
        <f t="shared" si="7"/>
        <v>0</v>
      </c>
      <c r="P25" s="130">
        <f t="shared" si="8"/>
        <v>7.058823529411765E-3</v>
      </c>
      <c r="Q25" s="130">
        <f t="shared" si="4"/>
        <v>3.6687994636428557E-2</v>
      </c>
      <c r="R25" s="133">
        <f>'Est. Cust. Naci.'!AV26</f>
        <v>5349.9655150309036</v>
      </c>
    </row>
    <row r="26" spans="1:18" ht="25.5">
      <c r="A26" s="1">
        <v>22</v>
      </c>
      <c r="B26" s="1"/>
      <c r="C26" s="180" t="s">
        <v>125</v>
      </c>
      <c r="D26" s="170">
        <v>84099112</v>
      </c>
      <c r="E26" s="129">
        <v>0.16</v>
      </c>
      <c r="F26" s="130">
        <v>3.7699999999999997E-2</v>
      </c>
      <c r="G26" s="130">
        <v>3.1199999999999999E-2</v>
      </c>
      <c r="H26" s="130">
        <v>0.1497</v>
      </c>
      <c r="I26" s="131">
        <v>0.06</v>
      </c>
      <c r="J26" s="181">
        <v>3</v>
      </c>
      <c r="K26" s="181">
        <v>904.62</v>
      </c>
      <c r="M26" s="132">
        <f t="shared" si="5"/>
        <v>2713.86</v>
      </c>
      <c r="N26" s="133">
        <f t="shared" si="6"/>
        <v>13840.686</v>
      </c>
      <c r="O26" s="133">
        <f t="shared" si="7"/>
        <v>0</v>
      </c>
      <c r="P26" s="130">
        <f t="shared" si="8"/>
        <v>7.058823529411765E-3</v>
      </c>
      <c r="Q26" s="130">
        <f t="shared" si="4"/>
        <v>5.2739065164478002E-2</v>
      </c>
      <c r="R26" s="133">
        <f>'Est. Cust. Naci.'!AV27</f>
        <v>7690.5860546754438</v>
      </c>
    </row>
    <row r="27" spans="1:18" ht="27" customHeight="1">
      <c r="A27" s="1">
        <v>23</v>
      </c>
      <c r="B27" s="1"/>
      <c r="C27" s="180" t="s">
        <v>126</v>
      </c>
      <c r="D27" s="1">
        <v>84099112</v>
      </c>
      <c r="E27" s="129">
        <v>0.16</v>
      </c>
      <c r="F27" s="130">
        <v>3.7699999999999997E-2</v>
      </c>
      <c r="G27" s="130">
        <v>3.1199999999999999E-2</v>
      </c>
      <c r="H27" s="130">
        <v>0.1497</v>
      </c>
      <c r="I27" s="131">
        <v>0.06</v>
      </c>
      <c r="J27" s="181">
        <v>5</v>
      </c>
      <c r="K27" s="181">
        <v>1480</v>
      </c>
      <c r="M27" s="132">
        <f t="shared" si="5"/>
        <v>7400</v>
      </c>
      <c r="N27" s="133">
        <f t="shared" si="6"/>
        <v>37740</v>
      </c>
      <c r="O27" s="133">
        <f t="shared" si="7"/>
        <v>0</v>
      </c>
      <c r="P27" s="130">
        <f t="shared" si="8"/>
        <v>1.1764705882352941E-2</v>
      </c>
      <c r="Q27" s="130">
        <f t="shared" si="4"/>
        <v>8.6283540540146628E-2</v>
      </c>
      <c r="R27" s="133">
        <f>'Est. Cust. Naci.'!AV28</f>
        <v>12077.367267651427</v>
      </c>
    </row>
    <row r="28" spans="1:18" ht="25.5">
      <c r="A28" s="1">
        <v>24</v>
      </c>
      <c r="B28" s="1"/>
      <c r="C28" s="180" t="s">
        <v>127</v>
      </c>
      <c r="D28" s="170">
        <v>84099112</v>
      </c>
      <c r="E28" s="129">
        <v>0.16</v>
      </c>
      <c r="F28" s="130">
        <v>3.7699999999999997E-2</v>
      </c>
      <c r="G28" s="130">
        <v>3.1199999999999999E-2</v>
      </c>
      <c r="H28" s="130">
        <v>0.1497</v>
      </c>
      <c r="I28" s="131">
        <v>0.06</v>
      </c>
      <c r="J28" s="181">
        <v>5</v>
      </c>
      <c r="K28" s="181">
        <v>1590</v>
      </c>
      <c r="M28" s="132">
        <f t="shared" si="5"/>
        <v>7950</v>
      </c>
      <c r="N28" s="133">
        <f t="shared" si="6"/>
        <v>40545</v>
      </c>
      <c r="O28" s="133">
        <f t="shared" si="7"/>
        <v>0</v>
      </c>
      <c r="P28" s="130">
        <f t="shared" si="8"/>
        <v>1.1764705882352941E-2</v>
      </c>
      <c r="Q28" s="130">
        <f t="shared" si="4"/>
        <v>9.2696506391103467E-2</v>
      </c>
      <c r="R28" s="133">
        <f>'Est. Cust. Naci.'!AV29</f>
        <v>12975.00942943633</v>
      </c>
    </row>
    <row r="29" spans="1:18" hidden="1">
      <c r="A29" s="1">
        <v>25</v>
      </c>
      <c r="B29" s="1"/>
      <c r="C29" s="180"/>
      <c r="D29" s="1"/>
      <c r="E29" s="129"/>
      <c r="F29" s="130"/>
      <c r="G29" s="130"/>
      <c r="H29" s="130"/>
      <c r="I29" s="131"/>
      <c r="J29" s="181"/>
      <c r="K29" s="181"/>
      <c r="M29" s="132"/>
      <c r="N29" s="133"/>
      <c r="O29" s="133"/>
      <c r="P29" s="130"/>
      <c r="Q29" s="130">
        <f t="shared" si="4"/>
        <v>0</v>
      </c>
      <c r="R29" s="133" t="e">
        <f>'Est. Cust. Naci.'!AV30</f>
        <v>#DIV/0!</v>
      </c>
    </row>
    <row r="30" spans="1:18" hidden="1">
      <c r="A30" s="1">
        <v>26</v>
      </c>
      <c r="B30" s="1"/>
      <c r="C30" s="180"/>
      <c r="D30" s="170"/>
      <c r="E30" s="129"/>
      <c r="F30" s="130"/>
      <c r="G30" s="130"/>
      <c r="H30" s="130"/>
      <c r="I30" s="131"/>
      <c r="J30" s="181"/>
      <c r="K30" s="181"/>
      <c r="M30" s="132"/>
      <c r="N30" s="133"/>
      <c r="O30" s="133"/>
      <c r="P30" s="130"/>
      <c r="Q30" s="130">
        <f t="shared" si="4"/>
        <v>0</v>
      </c>
      <c r="R30" s="133" t="e">
        <f>'Est. Cust. Naci.'!AV31</f>
        <v>#DIV/0!</v>
      </c>
    </row>
    <row r="31" spans="1:18" hidden="1">
      <c r="A31" s="1">
        <v>27</v>
      </c>
      <c r="B31" s="1"/>
      <c r="C31" s="180"/>
      <c r="D31" s="1"/>
      <c r="E31" s="129"/>
      <c r="F31" s="130"/>
      <c r="G31" s="130"/>
      <c r="H31" s="130"/>
      <c r="I31" s="131"/>
      <c r="J31" s="181"/>
      <c r="K31" s="181"/>
      <c r="M31" s="132"/>
      <c r="N31" s="133"/>
      <c r="O31" s="133"/>
      <c r="P31" s="130"/>
      <c r="Q31" s="130">
        <f t="shared" si="4"/>
        <v>0</v>
      </c>
      <c r="R31" s="133" t="e">
        <f>'Est. Cust. Naci.'!AV32</f>
        <v>#DIV/0!</v>
      </c>
    </row>
    <row r="32" spans="1:18" hidden="1">
      <c r="A32" s="1">
        <v>28</v>
      </c>
      <c r="B32" s="1"/>
      <c r="C32" s="180"/>
      <c r="D32" s="170"/>
      <c r="E32" s="129"/>
      <c r="F32" s="130"/>
      <c r="G32" s="130"/>
      <c r="H32" s="130"/>
      <c r="I32" s="131"/>
      <c r="J32" s="181"/>
      <c r="K32" s="181"/>
      <c r="M32" s="132"/>
      <c r="N32" s="133"/>
      <c r="O32" s="133"/>
      <c r="P32" s="130"/>
      <c r="Q32" s="130">
        <f t="shared" si="4"/>
        <v>0</v>
      </c>
      <c r="R32" s="133" t="e">
        <f>'Est. Cust. Naci.'!AV33</f>
        <v>#DIV/0!</v>
      </c>
    </row>
    <row r="33" spans="1:18" hidden="1">
      <c r="A33" s="1">
        <v>29</v>
      </c>
      <c r="B33" s="1"/>
      <c r="C33" s="180"/>
      <c r="D33" s="1"/>
      <c r="E33" s="129"/>
      <c r="F33" s="130"/>
      <c r="G33" s="130"/>
      <c r="H33" s="130"/>
      <c r="I33" s="131"/>
      <c r="J33" s="181"/>
      <c r="K33" s="181"/>
      <c r="M33" s="132"/>
      <c r="N33" s="133"/>
      <c r="O33" s="133"/>
      <c r="P33" s="130"/>
      <c r="Q33" s="130">
        <f t="shared" si="4"/>
        <v>0</v>
      </c>
      <c r="R33" s="133" t="e">
        <f>'Est. Cust. Naci.'!AV34</f>
        <v>#DIV/0!</v>
      </c>
    </row>
    <row r="34" spans="1:18" hidden="1">
      <c r="A34" s="1">
        <v>30</v>
      </c>
      <c r="B34" s="1"/>
      <c r="C34" s="180"/>
      <c r="D34" s="170"/>
      <c r="E34" s="129"/>
      <c r="F34" s="130"/>
      <c r="G34" s="130"/>
      <c r="H34" s="130"/>
      <c r="I34" s="131"/>
      <c r="J34" s="181"/>
      <c r="K34" s="181"/>
      <c r="M34" s="132"/>
      <c r="N34" s="133"/>
      <c r="O34" s="133"/>
      <c r="P34" s="130"/>
      <c r="Q34" s="130">
        <f t="shared" si="4"/>
        <v>0</v>
      </c>
      <c r="R34" s="133" t="e">
        <f>'Est. Cust. Naci.'!AV35</f>
        <v>#DIV/0!</v>
      </c>
    </row>
    <row r="35" spans="1:18" hidden="1">
      <c r="A35" s="1">
        <v>31</v>
      </c>
      <c r="B35" s="1"/>
      <c r="C35" s="180"/>
      <c r="D35" s="1"/>
      <c r="E35" s="129"/>
      <c r="F35" s="130"/>
      <c r="G35" s="130"/>
      <c r="H35" s="130"/>
      <c r="I35" s="131"/>
      <c r="J35" s="181"/>
      <c r="K35" s="181"/>
      <c r="M35" s="132"/>
      <c r="N35" s="133"/>
      <c r="O35" s="133"/>
      <c r="P35" s="130"/>
      <c r="Q35" s="130">
        <f t="shared" si="4"/>
        <v>0</v>
      </c>
      <c r="R35" s="133" t="e">
        <f>'Est. Cust. Naci.'!AV36</f>
        <v>#DIV/0!</v>
      </c>
    </row>
    <row r="36" spans="1:18" hidden="1">
      <c r="A36" s="1">
        <v>32</v>
      </c>
      <c r="B36" s="1"/>
      <c r="C36" s="180"/>
      <c r="D36" s="170"/>
      <c r="E36" s="129"/>
      <c r="F36" s="130"/>
      <c r="G36" s="130"/>
      <c r="H36" s="130"/>
      <c r="I36" s="131"/>
      <c r="J36" s="181"/>
      <c r="K36" s="181"/>
      <c r="M36" s="132"/>
      <c r="N36" s="133"/>
      <c r="O36" s="133"/>
      <c r="P36" s="130"/>
      <c r="Q36" s="130">
        <f t="shared" si="4"/>
        <v>0</v>
      </c>
      <c r="R36" s="133" t="e">
        <f>'Est. Cust. Naci.'!AV37</f>
        <v>#DIV/0!</v>
      </c>
    </row>
    <row r="37" spans="1:18" hidden="1">
      <c r="A37" s="1">
        <v>33</v>
      </c>
      <c r="B37" s="1"/>
      <c r="C37" s="180"/>
      <c r="D37" s="1"/>
      <c r="E37" s="129"/>
      <c r="F37" s="130"/>
      <c r="G37" s="130"/>
      <c r="H37" s="130"/>
      <c r="I37" s="131"/>
      <c r="J37" s="181"/>
      <c r="K37" s="181"/>
      <c r="M37" s="132"/>
      <c r="N37" s="133"/>
      <c r="O37" s="133"/>
      <c r="P37" s="130"/>
      <c r="Q37" s="130">
        <f t="shared" si="4"/>
        <v>0</v>
      </c>
      <c r="R37" s="133" t="e">
        <f>'Est. Cust. Naci.'!AV38</f>
        <v>#DIV/0!</v>
      </c>
    </row>
    <row r="38" spans="1:18" hidden="1">
      <c r="A38" s="1">
        <v>34</v>
      </c>
      <c r="B38" s="1"/>
      <c r="C38" s="180"/>
      <c r="D38" s="170"/>
      <c r="E38" s="129"/>
      <c r="F38" s="130"/>
      <c r="G38" s="130"/>
      <c r="H38" s="130"/>
      <c r="I38" s="131"/>
      <c r="J38" s="181"/>
      <c r="K38" s="181"/>
      <c r="M38" s="132"/>
      <c r="N38" s="133"/>
      <c r="O38" s="133"/>
      <c r="P38" s="130"/>
      <c r="Q38" s="130">
        <f t="shared" si="4"/>
        <v>0</v>
      </c>
      <c r="R38" s="133" t="e">
        <f>'Est. Cust. Naci.'!AV39</f>
        <v>#DIV/0!</v>
      </c>
    </row>
    <row r="39" spans="1:18" hidden="1">
      <c r="A39" s="1">
        <v>35</v>
      </c>
      <c r="B39" s="1"/>
      <c r="C39" s="180"/>
      <c r="D39" s="1"/>
      <c r="E39" s="129"/>
      <c r="F39" s="130"/>
      <c r="G39" s="130"/>
      <c r="H39" s="130"/>
      <c r="I39" s="131"/>
      <c r="J39" s="181"/>
      <c r="K39" s="181"/>
      <c r="M39" s="132"/>
      <c r="N39" s="133"/>
      <c r="O39" s="133"/>
      <c r="P39" s="130"/>
      <c r="Q39" s="130">
        <f t="shared" si="4"/>
        <v>0</v>
      </c>
      <c r="R39" s="133" t="e">
        <f>'Est. Cust. Naci.'!AV40</f>
        <v>#DIV/0!</v>
      </c>
    </row>
    <row r="40" spans="1:18" hidden="1">
      <c r="A40" s="1">
        <v>36</v>
      </c>
      <c r="B40" s="1"/>
      <c r="C40" s="180"/>
      <c r="D40" s="170"/>
      <c r="E40" s="129"/>
      <c r="F40" s="130"/>
      <c r="G40" s="130"/>
      <c r="H40" s="130"/>
      <c r="I40" s="131"/>
      <c r="J40" s="181"/>
      <c r="K40" s="181"/>
      <c r="M40" s="132"/>
      <c r="N40" s="133"/>
      <c r="O40" s="133"/>
      <c r="P40" s="130"/>
      <c r="Q40" s="130">
        <f t="shared" si="4"/>
        <v>0</v>
      </c>
      <c r="R40" s="133" t="e">
        <f>'Est. Cust. Naci.'!AV41</f>
        <v>#DIV/0!</v>
      </c>
    </row>
    <row r="41" spans="1:18" hidden="1">
      <c r="A41" s="1">
        <v>37</v>
      </c>
      <c r="B41" s="1"/>
      <c r="C41" s="180"/>
      <c r="D41" s="1"/>
      <c r="E41" s="129"/>
      <c r="F41" s="130"/>
      <c r="G41" s="130"/>
      <c r="H41" s="130"/>
      <c r="I41" s="131"/>
      <c r="J41" s="181"/>
      <c r="K41" s="181"/>
      <c r="M41" s="132"/>
      <c r="N41" s="133"/>
      <c r="O41" s="133"/>
      <c r="P41" s="130"/>
      <c r="Q41" s="130">
        <f t="shared" si="4"/>
        <v>0</v>
      </c>
      <c r="R41" s="133" t="e">
        <f>'Est. Cust. Naci.'!AV42</f>
        <v>#DIV/0!</v>
      </c>
    </row>
    <row r="42" spans="1:18" hidden="1">
      <c r="A42" s="1">
        <v>38</v>
      </c>
      <c r="B42" s="1"/>
      <c r="C42" s="180"/>
      <c r="D42" s="170"/>
      <c r="E42" s="129"/>
      <c r="F42" s="130"/>
      <c r="G42" s="130"/>
      <c r="H42" s="130"/>
      <c r="I42" s="131"/>
      <c r="J42" s="181"/>
      <c r="K42" s="181"/>
      <c r="M42" s="132"/>
      <c r="N42" s="133"/>
      <c r="O42" s="133"/>
      <c r="P42" s="130"/>
      <c r="Q42" s="130">
        <f t="shared" si="4"/>
        <v>0</v>
      </c>
      <c r="R42" s="133" t="e">
        <f>'Est. Cust. Naci.'!AV43</f>
        <v>#DIV/0!</v>
      </c>
    </row>
    <row r="43" spans="1:18" hidden="1">
      <c r="A43" s="1">
        <v>39</v>
      </c>
      <c r="B43" s="1"/>
      <c r="C43" s="180"/>
      <c r="D43" s="1"/>
      <c r="E43" s="129"/>
      <c r="F43" s="130"/>
      <c r="G43" s="130"/>
      <c r="H43" s="130"/>
      <c r="I43" s="131"/>
      <c r="J43" s="181"/>
      <c r="K43" s="181"/>
      <c r="M43" s="132"/>
      <c r="N43" s="133"/>
      <c r="O43" s="133"/>
      <c r="P43" s="130"/>
      <c r="Q43" s="130">
        <f t="shared" si="4"/>
        <v>0</v>
      </c>
      <c r="R43" s="133" t="e">
        <f>'Est. Cust. Naci.'!AV44</f>
        <v>#DIV/0!</v>
      </c>
    </row>
    <row r="44" spans="1:18" hidden="1">
      <c r="A44" s="1">
        <v>40</v>
      </c>
      <c r="B44" s="1"/>
      <c r="C44" s="180"/>
      <c r="D44" s="170"/>
      <c r="E44" s="129"/>
      <c r="F44" s="130"/>
      <c r="G44" s="130"/>
      <c r="H44" s="130"/>
      <c r="I44" s="131"/>
      <c r="J44" s="181"/>
      <c r="K44" s="181"/>
      <c r="M44" s="132"/>
      <c r="N44" s="133"/>
      <c r="O44" s="133"/>
      <c r="P44" s="130"/>
      <c r="Q44" s="130">
        <f t="shared" si="4"/>
        <v>0</v>
      </c>
      <c r="R44" s="133" t="e">
        <f>'Est. Cust. Naci.'!AV45</f>
        <v>#DIV/0!</v>
      </c>
    </row>
    <row r="45" spans="1:18" hidden="1">
      <c r="A45" s="1">
        <v>41</v>
      </c>
      <c r="B45" s="1"/>
      <c r="C45" s="180"/>
      <c r="D45" s="1"/>
      <c r="E45" s="129"/>
      <c r="F45" s="130"/>
      <c r="G45" s="130"/>
      <c r="H45" s="130"/>
      <c r="I45" s="131"/>
      <c r="J45" s="181"/>
      <c r="K45" s="181"/>
      <c r="M45" s="132"/>
      <c r="N45" s="133"/>
      <c r="O45" s="133"/>
      <c r="P45" s="130"/>
      <c r="Q45" s="130">
        <f t="shared" si="4"/>
        <v>0</v>
      </c>
      <c r="R45" s="133" t="e">
        <f>'Est. Cust. Naci.'!AV46</f>
        <v>#DIV/0!</v>
      </c>
    </row>
    <row r="46" spans="1:18" hidden="1">
      <c r="A46" s="1">
        <v>42</v>
      </c>
      <c r="B46" s="1"/>
      <c r="C46" s="180"/>
      <c r="D46" s="170"/>
      <c r="E46" s="129"/>
      <c r="F46" s="130"/>
      <c r="G46" s="130"/>
      <c r="H46" s="130"/>
      <c r="I46" s="131"/>
      <c r="J46" s="181"/>
      <c r="K46" s="181"/>
      <c r="M46" s="132"/>
      <c r="N46" s="133"/>
      <c r="O46" s="133"/>
      <c r="P46" s="130"/>
      <c r="Q46" s="130">
        <f t="shared" si="4"/>
        <v>0</v>
      </c>
      <c r="R46" s="133" t="e">
        <f>'Est. Cust. Naci.'!AV47</f>
        <v>#DIV/0!</v>
      </c>
    </row>
    <row r="47" spans="1:18" hidden="1">
      <c r="A47" s="1">
        <v>43</v>
      </c>
      <c r="B47" s="1"/>
      <c r="C47" s="180"/>
      <c r="D47" s="1"/>
      <c r="E47" s="129"/>
      <c r="F47" s="130"/>
      <c r="G47" s="130"/>
      <c r="H47" s="130"/>
      <c r="I47" s="131"/>
      <c r="J47" s="181"/>
      <c r="K47" s="181"/>
      <c r="M47" s="132"/>
      <c r="N47" s="133"/>
      <c r="O47" s="133"/>
      <c r="P47" s="130"/>
      <c r="Q47" s="130">
        <f t="shared" si="4"/>
        <v>0</v>
      </c>
      <c r="R47" s="133" t="e">
        <f>'Est. Cust. Naci.'!AV48</f>
        <v>#DIV/0!</v>
      </c>
    </row>
    <row r="48" spans="1:18" hidden="1">
      <c r="A48" s="1">
        <v>44</v>
      </c>
      <c r="B48" s="1"/>
      <c r="C48" s="180"/>
      <c r="D48" s="170"/>
      <c r="E48" s="129"/>
      <c r="F48" s="130"/>
      <c r="G48" s="130"/>
      <c r="H48" s="130"/>
      <c r="I48" s="131"/>
      <c r="J48" s="181"/>
      <c r="K48" s="181"/>
      <c r="M48" s="132"/>
      <c r="N48" s="133"/>
      <c r="O48" s="133"/>
      <c r="P48" s="130"/>
      <c r="Q48" s="130">
        <f t="shared" si="4"/>
        <v>0</v>
      </c>
      <c r="R48" s="133" t="e">
        <f>'Est. Cust. Naci.'!AV49</f>
        <v>#DIV/0!</v>
      </c>
    </row>
    <row r="49" spans="1:18" hidden="1">
      <c r="A49" s="1">
        <v>45</v>
      </c>
      <c r="B49" s="1"/>
      <c r="C49" s="180"/>
      <c r="D49" s="1"/>
      <c r="E49" s="129"/>
      <c r="F49" s="130"/>
      <c r="G49" s="130"/>
      <c r="H49" s="130"/>
      <c r="I49" s="131"/>
      <c r="J49" s="181"/>
      <c r="K49" s="181"/>
      <c r="M49" s="132"/>
      <c r="N49" s="133"/>
      <c r="O49" s="133"/>
      <c r="P49" s="130"/>
      <c r="Q49" s="130">
        <f t="shared" si="4"/>
        <v>0</v>
      </c>
      <c r="R49" s="133" t="e">
        <f>'Est. Cust. Naci.'!AV50</f>
        <v>#DIV/0!</v>
      </c>
    </row>
    <row r="50" spans="1:18" hidden="1">
      <c r="A50" s="1">
        <v>46</v>
      </c>
      <c r="B50" s="1"/>
      <c r="C50" s="180"/>
      <c r="D50" s="170"/>
      <c r="E50" s="129"/>
      <c r="F50" s="130"/>
      <c r="G50" s="130"/>
      <c r="H50" s="130"/>
      <c r="I50" s="131"/>
      <c r="J50" s="181"/>
      <c r="K50" s="181"/>
      <c r="M50" s="132"/>
      <c r="N50" s="133"/>
      <c r="O50" s="133"/>
      <c r="P50" s="130"/>
      <c r="Q50" s="130">
        <f t="shared" si="4"/>
        <v>0</v>
      </c>
      <c r="R50" s="133" t="e">
        <f>'Est. Cust. Naci.'!AV51</f>
        <v>#DIV/0!</v>
      </c>
    </row>
    <row r="51" spans="1:18" hidden="1">
      <c r="A51" s="1">
        <v>47</v>
      </c>
      <c r="B51" s="1"/>
      <c r="C51" s="180"/>
      <c r="D51" s="1"/>
      <c r="E51" s="129"/>
      <c r="F51" s="130"/>
      <c r="G51" s="130"/>
      <c r="H51" s="130"/>
      <c r="I51" s="131"/>
      <c r="J51" s="181"/>
      <c r="K51" s="181"/>
      <c r="M51" s="132"/>
      <c r="N51" s="133"/>
      <c r="O51" s="133"/>
      <c r="P51" s="130"/>
      <c r="Q51" s="130">
        <f t="shared" si="4"/>
        <v>0</v>
      </c>
      <c r="R51" s="133" t="e">
        <f>'Est. Cust. Naci.'!AV52</f>
        <v>#DIV/0!</v>
      </c>
    </row>
    <row r="52" spans="1:18" hidden="1">
      <c r="A52" s="1">
        <v>48</v>
      </c>
      <c r="B52" s="1"/>
      <c r="C52" s="180"/>
      <c r="D52" s="170"/>
      <c r="E52" s="129"/>
      <c r="F52" s="130"/>
      <c r="G52" s="130"/>
      <c r="H52" s="130"/>
      <c r="I52" s="131"/>
      <c r="J52" s="181"/>
      <c r="K52" s="181"/>
      <c r="M52" s="132"/>
      <c r="N52" s="133"/>
      <c r="O52" s="133"/>
      <c r="P52" s="130"/>
      <c r="Q52" s="130">
        <f t="shared" si="4"/>
        <v>0</v>
      </c>
      <c r="R52" s="133" t="e">
        <f>'Est. Cust. Naci.'!AV53</f>
        <v>#DIV/0!</v>
      </c>
    </row>
    <row r="53" spans="1:18" hidden="1">
      <c r="A53" s="1">
        <v>49</v>
      </c>
      <c r="B53" s="1"/>
      <c r="C53" s="180"/>
      <c r="D53" s="1"/>
      <c r="E53" s="129"/>
      <c r="F53" s="130"/>
      <c r="G53" s="130"/>
      <c r="H53" s="130"/>
      <c r="I53" s="131"/>
      <c r="J53" s="181"/>
      <c r="K53" s="181"/>
      <c r="M53" s="132"/>
      <c r="N53" s="133"/>
      <c r="O53" s="133"/>
      <c r="P53" s="130"/>
      <c r="Q53" s="130">
        <f t="shared" si="4"/>
        <v>0</v>
      </c>
      <c r="R53" s="133" t="e">
        <f>'Est. Cust. Naci.'!AV54</f>
        <v>#DIV/0!</v>
      </c>
    </row>
    <row r="54" spans="1:18" hidden="1">
      <c r="A54" s="1">
        <v>50</v>
      </c>
      <c r="B54" s="1"/>
      <c r="C54" s="180"/>
      <c r="D54" s="170"/>
      <c r="E54" s="129"/>
      <c r="F54" s="130"/>
      <c r="G54" s="130"/>
      <c r="H54" s="130"/>
      <c r="I54" s="131"/>
      <c r="J54" s="181"/>
      <c r="K54" s="181"/>
      <c r="M54" s="132"/>
      <c r="N54" s="133"/>
      <c r="O54" s="133"/>
      <c r="P54" s="130"/>
      <c r="Q54" s="130">
        <f t="shared" si="4"/>
        <v>0</v>
      </c>
      <c r="R54" s="133" t="e">
        <f>'Est. Cust. Naci.'!AV55</f>
        <v>#DIV/0!</v>
      </c>
    </row>
    <row r="55" spans="1:18" hidden="1">
      <c r="A55" s="1">
        <v>51</v>
      </c>
      <c r="B55" s="1"/>
      <c r="C55" s="180"/>
      <c r="D55" s="1"/>
      <c r="E55" s="129"/>
      <c r="F55" s="130"/>
      <c r="G55" s="130"/>
      <c r="H55" s="130"/>
      <c r="I55" s="131"/>
      <c r="J55" s="181"/>
      <c r="K55" s="181"/>
      <c r="M55" s="132"/>
      <c r="N55" s="133"/>
      <c r="O55" s="133"/>
      <c r="P55" s="130"/>
      <c r="Q55" s="130">
        <f t="shared" si="4"/>
        <v>0</v>
      </c>
      <c r="R55" s="133" t="e">
        <f>'Est. Cust. Naci.'!AV56</f>
        <v>#DIV/0!</v>
      </c>
    </row>
    <row r="56" spans="1:18" hidden="1">
      <c r="A56" s="1">
        <v>52</v>
      </c>
      <c r="B56" s="1"/>
      <c r="C56" s="180"/>
      <c r="D56" s="170"/>
      <c r="E56" s="129"/>
      <c r="F56" s="130"/>
      <c r="G56" s="130"/>
      <c r="H56" s="130"/>
      <c r="I56" s="131"/>
      <c r="J56" s="181"/>
      <c r="K56" s="181"/>
      <c r="M56" s="132"/>
      <c r="N56" s="133"/>
      <c r="O56" s="133"/>
      <c r="P56" s="130"/>
      <c r="Q56" s="130">
        <f t="shared" si="4"/>
        <v>0</v>
      </c>
      <c r="R56" s="133" t="e">
        <f>'Est. Cust. Naci.'!AV57</f>
        <v>#DIV/0!</v>
      </c>
    </row>
    <row r="57" spans="1:18" hidden="1">
      <c r="A57" s="1">
        <v>53</v>
      </c>
      <c r="B57" s="1"/>
      <c r="C57" s="180"/>
      <c r="D57" s="1"/>
      <c r="E57" s="129"/>
      <c r="F57" s="130"/>
      <c r="G57" s="130"/>
      <c r="H57" s="130"/>
      <c r="I57" s="131"/>
      <c r="J57" s="181"/>
      <c r="K57" s="181"/>
      <c r="M57" s="132"/>
      <c r="N57" s="133"/>
      <c r="O57" s="133"/>
      <c r="P57" s="130"/>
      <c r="Q57" s="130">
        <f t="shared" si="4"/>
        <v>0</v>
      </c>
      <c r="R57" s="133" t="e">
        <f>'Est. Cust. Naci.'!AV58</f>
        <v>#DIV/0!</v>
      </c>
    </row>
    <row r="59" spans="1:18">
      <c r="E59" t="e" vm="1">
        <v>#VALUE!</v>
      </c>
      <c r="F59" s="10">
        <v>5.0999999999999996</v>
      </c>
    </row>
  </sheetData>
  <phoneticPr fontId="15" type="noConversion"/>
  <pageMargins left="0.70866141732283472" right="0.23622047244094491" top="0.74803149606299213" bottom="0.74803149606299213" header="0.31496062992125984" footer="0.31496062992125984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4502-76C4-43B2-B029-6AE535E32796}">
  <dimension ref="A1:BC62"/>
  <sheetViews>
    <sheetView topLeftCell="B18" zoomScale="90" zoomScaleNormal="90" workbookViewId="0">
      <selection activeCell="N62" sqref="N62"/>
    </sheetView>
  </sheetViews>
  <sheetFormatPr defaultRowHeight="15"/>
  <cols>
    <col min="1" max="1" width="9.140625" hidden="1" customWidth="1"/>
    <col min="2" max="2" width="9.140625" customWidth="1"/>
    <col min="3" max="3" width="13.5703125" customWidth="1"/>
    <col min="4" max="6" width="8.140625" customWidth="1"/>
    <col min="7" max="7" width="10.85546875" bestFit="1" customWidth="1"/>
    <col min="8" max="8" width="20.28515625" customWidth="1"/>
    <col min="9" max="9" width="9.140625" customWidth="1"/>
    <col min="10" max="10" width="11" bestFit="1" customWidth="1"/>
    <col min="11" max="11" width="13.28515625" bestFit="1" customWidth="1"/>
    <col min="12" max="12" width="19.5703125" bestFit="1" customWidth="1"/>
    <col min="13" max="13" width="15.5703125" hidden="1" customWidth="1"/>
    <col min="14" max="14" width="16" bestFit="1" customWidth="1"/>
    <col min="15" max="15" width="17.85546875" bestFit="1" customWidth="1"/>
    <col min="16" max="16" width="17.28515625" customWidth="1"/>
    <col min="17" max="17" width="20.140625" customWidth="1"/>
    <col min="18" max="18" width="14.85546875" bestFit="1" customWidth="1"/>
    <col min="19" max="19" width="13.85546875" bestFit="1" customWidth="1"/>
    <col min="20" max="20" width="14.85546875" bestFit="1" customWidth="1"/>
    <col min="21" max="22" width="14.5703125" bestFit="1" customWidth="1"/>
    <col min="23" max="23" width="19.28515625" bestFit="1" customWidth="1"/>
    <col min="24" max="24" width="19.28515625" hidden="1" customWidth="1"/>
    <col min="25" max="26" width="14.5703125" bestFit="1" customWidth="1"/>
    <col min="27" max="27" width="16.85546875" bestFit="1" customWidth="1"/>
    <col min="28" max="28" width="13" bestFit="1" customWidth="1"/>
    <col min="29" max="29" width="14.5703125" bestFit="1" customWidth="1"/>
    <col min="30" max="30" width="16.7109375" bestFit="1" customWidth="1"/>
    <col min="31" max="31" width="16.85546875" bestFit="1" customWidth="1"/>
    <col min="32" max="32" width="14.5703125" bestFit="1" customWidth="1"/>
    <col min="33" max="33" width="16.85546875" bestFit="1" customWidth="1"/>
    <col min="34" max="34" width="10.28515625" bestFit="1" customWidth="1"/>
    <col min="35" max="35" width="16.7109375" bestFit="1" customWidth="1"/>
    <col min="36" max="38" width="14.5703125" bestFit="1" customWidth="1"/>
    <col min="39" max="39" width="18.28515625" bestFit="1" customWidth="1"/>
    <col min="40" max="40" width="16.7109375" bestFit="1" customWidth="1"/>
    <col min="41" max="42" width="18.28515625" bestFit="1" customWidth="1"/>
    <col min="43" max="43" width="24" customWidth="1"/>
    <col min="44" max="47" width="19.7109375" hidden="1" customWidth="1"/>
    <col min="48" max="48" width="19.7109375" customWidth="1"/>
    <col min="49" max="49" width="19.7109375" hidden="1" customWidth="1"/>
    <col min="50" max="50" width="19.7109375" customWidth="1"/>
    <col min="51" max="51" width="19.7109375" hidden="1" customWidth="1"/>
    <col min="52" max="52" width="19.7109375" customWidth="1"/>
    <col min="53" max="53" width="14.28515625" hidden="1" customWidth="1"/>
    <col min="54" max="54" width="13.140625" customWidth="1"/>
  </cols>
  <sheetData>
    <row r="1" spans="1:55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5"/>
      <c r="AR1" s="75"/>
      <c r="AS1" s="75"/>
      <c r="AT1" s="75"/>
      <c r="AU1" s="75"/>
      <c r="AV1" s="75"/>
      <c r="AW1" s="75"/>
      <c r="AX1" s="75"/>
      <c r="AY1" s="75"/>
      <c r="AZ1" s="75"/>
    </row>
    <row r="2" spans="1:55">
      <c r="A2" s="76"/>
      <c r="B2" s="76"/>
      <c r="C2" s="77" t="s">
        <v>69</v>
      </c>
      <c r="D2" s="77"/>
      <c r="E2" s="77"/>
      <c r="F2" s="77"/>
      <c r="G2" s="77"/>
      <c r="H2" s="77"/>
      <c r="I2" s="77"/>
      <c r="J2" s="77"/>
      <c r="K2" s="77"/>
      <c r="L2" s="78" t="s">
        <v>70</v>
      </c>
      <c r="M2" s="78"/>
      <c r="N2" s="78"/>
      <c r="O2" s="78"/>
      <c r="P2" s="79"/>
      <c r="Q2" s="79"/>
      <c r="R2" s="80" t="s">
        <v>23</v>
      </c>
      <c r="S2" s="81"/>
      <c r="T2" s="81"/>
      <c r="U2" s="81"/>
      <c r="V2" s="81"/>
      <c r="W2" s="81"/>
      <c r="X2" s="81"/>
      <c r="Y2" s="82" t="s">
        <v>71</v>
      </c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3"/>
      <c r="AR2" s="83"/>
      <c r="AS2" s="83"/>
      <c r="AT2" s="83"/>
      <c r="AU2" s="83"/>
      <c r="AV2" s="83"/>
      <c r="AW2" s="83"/>
      <c r="AX2" s="83"/>
      <c r="AY2" s="83"/>
      <c r="AZ2" s="83"/>
    </row>
    <row r="3" spans="1:55" ht="60">
      <c r="A3" s="84"/>
      <c r="B3" s="85" t="s">
        <v>72</v>
      </c>
      <c r="C3" s="85" t="s">
        <v>9</v>
      </c>
      <c r="D3" s="86" t="s">
        <v>73</v>
      </c>
      <c r="E3" s="86" t="s">
        <v>74</v>
      </c>
      <c r="F3" s="86" t="s">
        <v>75</v>
      </c>
      <c r="G3" s="85" t="s">
        <v>59</v>
      </c>
      <c r="H3" s="87" t="s">
        <v>76</v>
      </c>
      <c r="I3" s="88" t="s">
        <v>68</v>
      </c>
      <c r="J3" s="89" t="s">
        <v>77</v>
      </c>
      <c r="K3" s="86" t="s">
        <v>78</v>
      </c>
      <c r="L3" s="90" t="s">
        <v>79</v>
      </c>
      <c r="M3" s="90" t="s">
        <v>80</v>
      </c>
      <c r="N3" s="90" t="s">
        <v>81</v>
      </c>
      <c r="O3" s="90" t="s">
        <v>82</v>
      </c>
      <c r="P3" s="90" t="s">
        <v>22</v>
      </c>
      <c r="Q3" s="90" t="s">
        <v>83</v>
      </c>
      <c r="R3" s="91" t="s">
        <v>84</v>
      </c>
      <c r="S3" s="92" t="s">
        <v>61</v>
      </c>
      <c r="T3" s="92" t="s">
        <v>28</v>
      </c>
      <c r="U3" s="92" t="s">
        <v>62</v>
      </c>
      <c r="V3" s="92" t="s">
        <v>30</v>
      </c>
      <c r="W3" s="91" t="s">
        <v>85</v>
      </c>
      <c r="X3" s="91" t="s">
        <v>86</v>
      </c>
      <c r="Y3" s="93" t="s">
        <v>33</v>
      </c>
      <c r="Z3" s="93" t="s">
        <v>34</v>
      </c>
      <c r="AA3" s="93" t="s">
        <v>87</v>
      </c>
      <c r="AB3" s="93" t="s">
        <v>36</v>
      </c>
      <c r="AC3" s="93" t="s">
        <v>37</v>
      </c>
      <c r="AD3" s="93" t="s">
        <v>38</v>
      </c>
      <c r="AE3" s="93" t="s">
        <v>39</v>
      </c>
      <c r="AF3" s="93" t="s">
        <v>40</v>
      </c>
      <c r="AG3" s="93" t="s">
        <v>41</v>
      </c>
      <c r="AH3" s="93" t="s">
        <v>42</v>
      </c>
      <c r="AI3" s="93" t="s">
        <v>44</v>
      </c>
      <c r="AJ3" s="93" t="s">
        <v>45</v>
      </c>
      <c r="AK3" s="93" t="s">
        <v>46</v>
      </c>
      <c r="AL3" s="93" t="s">
        <v>47</v>
      </c>
      <c r="AM3" s="93" t="s">
        <v>48</v>
      </c>
      <c r="AN3" s="93" t="s">
        <v>49</v>
      </c>
      <c r="AO3" s="93" t="s">
        <v>130</v>
      </c>
      <c r="AP3" s="93" t="s">
        <v>88</v>
      </c>
      <c r="AQ3" s="94" t="s">
        <v>52</v>
      </c>
      <c r="AR3" s="94" t="s">
        <v>89</v>
      </c>
      <c r="AS3" s="94" t="s">
        <v>89</v>
      </c>
      <c r="AT3" s="94" t="s">
        <v>90</v>
      </c>
      <c r="AU3" s="94" t="s">
        <v>91</v>
      </c>
      <c r="AV3" s="94" t="s">
        <v>92</v>
      </c>
      <c r="AW3" s="94" t="s">
        <v>93</v>
      </c>
      <c r="AX3" s="94" t="s">
        <v>94</v>
      </c>
      <c r="AY3" s="94" t="s">
        <v>95</v>
      </c>
      <c r="AZ3" s="94"/>
      <c r="BA3" s="94" t="s">
        <v>96</v>
      </c>
      <c r="BB3" s="3"/>
    </row>
    <row r="4" spans="1:55" ht="18.75">
      <c r="A4" s="84" t="s">
        <v>72</v>
      </c>
      <c r="B4" s="84"/>
      <c r="C4" s="95"/>
      <c r="D4" s="95"/>
      <c r="E4" s="95"/>
      <c r="F4" s="95"/>
      <c r="G4" s="95"/>
      <c r="H4" s="96"/>
      <c r="I4" s="97"/>
      <c r="J4" s="98"/>
      <c r="K4" s="99"/>
      <c r="L4" s="100">
        <f>N62</f>
        <v>5.0999999999999996</v>
      </c>
      <c r="M4" s="100">
        <v>4.8887</v>
      </c>
      <c r="N4" s="101">
        <v>0</v>
      </c>
      <c r="O4" s="102"/>
      <c r="P4" s="103">
        <f t="shared" ref="P4:V4" si="0">SUM(P6:P58)</f>
        <v>755729.005</v>
      </c>
      <c r="Q4" s="103">
        <f t="shared" si="0"/>
        <v>876645.64579999982</v>
      </c>
      <c r="R4" s="171">
        <f t="shared" si="0"/>
        <v>120916.64079999999</v>
      </c>
      <c r="S4" s="172">
        <f t="shared" si="0"/>
        <v>26387.03393858</v>
      </c>
      <c r="T4" s="171">
        <f t="shared" si="0"/>
        <v>27351.34414895999</v>
      </c>
      <c r="U4" s="172">
        <f t="shared" si="0"/>
        <v>131233.85317625999</v>
      </c>
      <c r="V4" s="172">
        <f t="shared" si="0"/>
        <v>45343.740299999998</v>
      </c>
      <c r="W4" s="104"/>
      <c r="X4" s="104"/>
      <c r="Y4" s="105"/>
      <c r="Z4" s="105"/>
      <c r="AA4" s="105"/>
      <c r="AB4" s="105"/>
      <c r="AC4" s="105"/>
      <c r="AD4" s="105"/>
      <c r="AE4" s="105"/>
      <c r="AF4" s="105"/>
      <c r="AG4" s="106">
        <v>0.08</v>
      </c>
      <c r="AH4" s="107"/>
      <c r="AI4" s="105"/>
      <c r="AJ4" s="105"/>
      <c r="AK4" s="105"/>
      <c r="AL4" s="105"/>
      <c r="AM4" s="105"/>
      <c r="AN4" s="105"/>
      <c r="AO4" s="105"/>
      <c r="AP4" s="105"/>
      <c r="AQ4" s="108"/>
      <c r="AR4" s="108"/>
      <c r="AS4" s="108"/>
      <c r="AT4" s="108"/>
      <c r="AU4" s="108"/>
      <c r="AV4" s="108"/>
      <c r="AW4" s="108"/>
      <c r="AX4" s="108"/>
      <c r="AY4" s="108"/>
      <c r="AZ4" s="108"/>
    </row>
    <row r="5" spans="1:55" ht="18.75">
      <c r="A5" s="5" t="s">
        <v>97</v>
      </c>
      <c r="B5" s="5"/>
      <c r="C5" s="109"/>
      <c r="D5" s="109"/>
      <c r="E5" s="109"/>
      <c r="F5" s="109"/>
      <c r="G5" s="109"/>
      <c r="H5" s="110"/>
      <c r="I5" s="111"/>
      <c r="J5" s="112"/>
      <c r="K5" s="113"/>
      <c r="L5" s="114">
        <f>SUM(L6:L58)</f>
        <v>736233.70499999996</v>
      </c>
      <c r="M5" s="114"/>
      <c r="N5" s="115"/>
      <c r="O5" s="114">
        <f>SUM(O6:O58)</f>
        <v>19495.3</v>
      </c>
      <c r="P5" s="116"/>
      <c r="Q5" s="116"/>
      <c r="R5" s="117">
        <f>'LISTA DE COMPRAS'!E5</f>
        <v>0.16</v>
      </c>
      <c r="S5" s="117">
        <f>'LISTA DE COMPRAS'!F5</f>
        <v>3.0099999999999998E-2</v>
      </c>
      <c r="T5" s="157">
        <f>'LISTA DE COMPRAS'!G5</f>
        <v>3.1199999999999999E-2</v>
      </c>
      <c r="U5" s="158">
        <f>'LISTA DE COMPRAS'!H5</f>
        <v>0.1497</v>
      </c>
      <c r="V5" s="117">
        <f>'LISTA DE COMPRAS'!I5</f>
        <v>0.06</v>
      </c>
      <c r="W5" s="138">
        <f>SUM(W6:W58)</f>
        <v>351232.61236380006</v>
      </c>
      <c r="X5" s="138" t="e">
        <f>SUM(#REF!,X6)</f>
        <v>#REF!</v>
      </c>
      <c r="Y5" s="108">
        <f t="shared" ref="Y5:AG5" si="1">SUM(Y6:Y58)</f>
        <v>214.50000000000009</v>
      </c>
      <c r="Z5" s="108">
        <f t="shared" si="1"/>
        <v>540</v>
      </c>
      <c r="AA5" s="108">
        <f t="shared" si="1"/>
        <v>1547.0000000000002</v>
      </c>
      <c r="AB5" s="108">
        <f t="shared" si="1"/>
        <v>60.000000000000007</v>
      </c>
      <c r="AC5" s="108">
        <f t="shared" si="1"/>
        <v>300</v>
      </c>
      <c r="AD5" s="108">
        <f t="shared" si="1"/>
        <v>400</v>
      </c>
      <c r="AE5" s="108">
        <f t="shared" si="1"/>
        <v>774.90000000000009</v>
      </c>
      <c r="AF5" s="108">
        <f t="shared" si="1"/>
        <v>140</v>
      </c>
      <c r="AG5" s="108">
        <f t="shared" si="1"/>
        <v>1559.6239999999998</v>
      </c>
      <c r="AH5" s="108">
        <f>SUM(AH6:AH6)</f>
        <v>0</v>
      </c>
      <c r="AI5" s="108">
        <f t="shared" ref="AI5:AP5" si="2">SUM(AI6:AI58)</f>
        <v>756.94999999999993</v>
      </c>
      <c r="AJ5" s="108">
        <f t="shared" si="2"/>
        <v>224.99999999999997</v>
      </c>
      <c r="AK5" s="108">
        <f t="shared" si="2"/>
        <v>117.45</v>
      </c>
      <c r="AL5" s="108">
        <f t="shared" si="2"/>
        <v>285.99999999999994</v>
      </c>
      <c r="AM5" s="108">
        <f t="shared" si="2"/>
        <v>6000</v>
      </c>
      <c r="AN5" s="108">
        <f t="shared" si="2"/>
        <v>2400</v>
      </c>
      <c r="AO5" s="108">
        <f>SUM(AO6:AO58)</f>
        <v>25768.179674999999</v>
      </c>
      <c r="AP5" s="108">
        <f t="shared" si="2"/>
        <v>41089.603675000006</v>
      </c>
      <c r="AQ5" s="108">
        <f>AP5+W5+P4</f>
        <v>1148051.2210388002</v>
      </c>
      <c r="AR5" s="108">
        <v>21877.4247962101</v>
      </c>
      <c r="AS5" s="108" t="e">
        <f>AP5+X5+Q4+#REF!</f>
        <v>#REF!</v>
      </c>
      <c r="AT5" s="108"/>
      <c r="AU5" s="108"/>
      <c r="AV5" s="108"/>
      <c r="AW5" s="108"/>
      <c r="AX5" s="108"/>
      <c r="AY5" s="108"/>
      <c r="AZ5" s="108"/>
    </row>
    <row r="6" spans="1:55">
      <c r="A6" t="s">
        <v>97</v>
      </c>
      <c r="B6">
        <f>'LISTA DE COMPRAS'!A5</f>
        <v>1</v>
      </c>
      <c r="C6" s="83" t="str">
        <f>'LISTA DE COMPRAS'!C5</f>
        <v>Cylinder Head Cummins ISB 5.9/6.7</v>
      </c>
      <c r="G6" s="118">
        <f>'LISTA DE COMPRAS'!D5</f>
        <v>84099959</v>
      </c>
      <c r="H6" s="2">
        <f>'LISTA DE COMPRAS'!J5</f>
        <v>30</v>
      </c>
      <c r="I6" s="119">
        <f>'LISTA DE COMPRAS'!P5</f>
        <v>7.0588235294117646E-2</v>
      </c>
      <c r="J6" s="12">
        <f>'LISTA DE COMPRAS'!K5</f>
        <v>328.57</v>
      </c>
      <c r="K6" s="12">
        <f>H6*J6</f>
        <v>9857.1</v>
      </c>
      <c r="L6" s="10">
        <f>K6*$L$4</f>
        <v>50271.21</v>
      </c>
      <c r="M6" s="10">
        <f>L6*50%</f>
        <v>25135.605</v>
      </c>
      <c r="N6" s="4">
        <f>$N$4*I6</f>
        <v>0</v>
      </c>
      <c r="O6" s="10">
        <f>'Rateio Custos Fixos'!E12</f>
        <v>373.44278445147279</v>
      </c>
      <c r="P6" s="10">
        <f>SUM(L6,O6)</f>
        <v>50644.652784451471</v>
      </c>
      <c r="Q6" s="10">
        <f>P6+R6</f>
        <v>58747.797229963704</v>
      </c>
      <c r="R6" s="10">
        <f t="shared" ref="R6:R37" si="3">$P6*R$5</f>
        <v>8103.1444455122355</v>
      </c>
      <c r="S6" s="10">
        <f>$Q6*S$5</f>
        <v>1768.3086966219073</v>
      </c>
      <c r="T6" s="10">
        <f>$Q6*T$5</f>
        <v>1832.9312735748674</v>
      </c>
      <c r="U6" s="10">
        <f>$Q6*U$5</f>
        <v>8794.5452453255657</v>
      </c>
      <c r="V6" s="10">
        <f t="shared" ref="V6:V21" si="4">$P6*V$5</f>
        <v>3038.6791670670882</v>
      </c>
      <c r="W6" s="10">
        <f>SUM(R6:V6)</f>
        <v>23537.608828101664</v>
      </c>
      <c r="X6" s="10">
        <f>SUM(R11:V11)</f>
        <v>5408.1490905374239</v>
      </c>
      <c r="Y6" s="10">
        <f>'Rateio Custos Fixos'!F12</f>
        <v>4.1088609698153356</v>
      </c>
      <c r="Z6" s="10">
        <f>'Rateio Custos Fixos'!G12</f>
        <v>10.34398565827637</v>
      </c>
      <c r="AA6" s="10">
        <f>'Rateio Custos Fixos'!H12</f>
        <v>29.633603358062118</v>
      </c>
      <c r="AB6" s="10">
        <f>'Rateio Custos Fixos'!I12</f>
        <v>1.1493317398084855</v>
      </c>
      <c r="AC6" s="10">
        <f>'Rateio Custos Fixos'!J12</f>
        <v>5.7466586990424275</v>
      </c>
      <c r="AD6" s="10">
        <f>'Rateio Custos Fixos'!K12</f>
        <v>7.6622115987232373</v>
      </c>
      <c r="AE6" s="10">
        <f>'Rateio Custos Fixos'!L12</f>
        <v>14.84361941962659</v>
      </c>
      <c r="AF6" s="10">
        <f>'Rateio Custos Fixos'!M12</f>
        <v>2.681774059553133</v>
      </c>
      <c r="AG6" s="10">
        <f>'Rateio Custos Fixos'!N12</f>
        <v>29.875422756117825</v>
      </c>
      <c r="AH6" s="10">
        <f>'Rateio Custos Fixos'!O12</f>
        <v>0</v>
      </c>
      <c r="AI6" s="10">
        <f>'Rateio Custos Fixos'!P12</f>
        <v>14.499777674133886</v>
      </c>
      <c r="AJ6" s="10">
        <f>'Rateio Custos Fixos'!Q12</f>
        <v>4.3099940242818207</v>
      </c>
      <c r="AK6" s="10">
        <f>'Rateio Custos Fixos'!R12</f>
        <v>2.2498168806751107</v>
      </c>
      <c r="AL6" s="10">
        <f>'Rateio Custos Fixos'!S12</f>
        <v>5.4784812930871141</v>
      </c>
      <c r="AM6" s="10">
        <f>'Rateio Custos Fixos'!T12</f>
        <v>114.93317398084855</v>
      </c>
      <c r="AN6" s="10">
        <f>'Rateio Custos Fixos'!U12</f>
        <v>45.97326959233942</v>
      </c>
      <c r="AO6" s="10">
        <f>'Rateio Custos Fixos'!V12</f>
        <v>1759.4923500000002</v>
      </c>
      <c r="AP6" s="10">
        <f>SUM(Y6:AO6)</f>
        <v>2052.9823317043915</v>
      </c>
      <c r="AQ6" s="10">
        <f>AP6+W6+P6</f>
        <v>76235.243944257527</v>
      </c>
      <c r="AR6" s="10">
        <v>2595.3166170147351</v>
      </c>
      <c r="AS6" s="10">
        <f>AP6+X6+P6</f>
        <v>58105.784206693286</v>
      </c>
      <c r="AT6" s="10">
        <f>(AQ6/H6)</f>
        <v>2541.1747981419176</v>
      </c>
      <c r="AU6" s="10">
        <f>AS6/H6</f>
        <v>1936.8594735564429</v>
      </c>
      <c r="AV6" s="10">
        <f>AQ6/H6</f>
        <v>2541.1747981419176</v>
      </c>
      <c r="AW6" s="10" t="e">
        <f>(AS6*#REF!)/'Est. Cust. Naci.'!H6</f>
        <v>#REF!</v>
      </c>
      <c r="AX6" s="10">
        <f>(J6*9)</f>
        <v>2957.13</v>
      </c>
      <c r="AY6" s="10">
        <f>AX6/2</f>
        <v>1478.5650000000001</v>
      </c>
      <c r="AZ6" s="120"/>
      <c r="BA6" s="10">
        <f>AQ6/H6</f>
        <v>2541.1747981419176</v>
      </c>
      <c r="BC6" s="12"/>
    </row>
    <row r="7" spans="1:55">
      <c r="B7">
        <f>'LISTA DE COMPRAS'!A6</f>
        <v>2</v>
      </c>
      <c r="C7" s="83" t="str">
        <f>'LISTA DE COMPRAS'!C6</f>
        <v>Cylinder Head Volvo FH13</v>
      </c>
      <c r="G7" s="118">
        <f>'LISTA DE COMPRAS'!D6</f>
        <v>84099959</v>
      </c>
      <c r="H7" s="2">
        <f>'LISTA DE COMPRAS'!J6</f>
        <v>30</v>
      </c>
      <c r="I7" s="119">
        <f>'LISTA DE COMPRAS'!P6</f>
        <v>7.0588235294117646E-2</v>
      </c>
      <c r="J7" s="12">
        <f>'LISTA DE COMPRAS'!K6</f>
        <v>1275</v>
      </c>
      <c r="K7" s="12">
        <f t="shared" ref="K7:K58" si="5">H7*J7</f>
        <v>38250</v>
      </c>
      <c r="L7" s="10">
        <f t="shared" ref="L7:L58" si="6">K7*$L$4</f>
        <v>195075</v>
      </c>
      <c r="M7" s="10">
        <f t="shared" ref="M7:M58" si="7">L7*50%</f>
        <v>97537.5</v>
      </c>
      <c r="N7" s="4">
        <f t="shared" ref="N7:N58" si="8">$N$4*I7</f>
        <v>0</v>
      </c>
      <c r="O7" s="10">
        <f>'Rateio Custos Fixos'!E13</f>
        <v>1449.1266706504787</v>
      </c>
      <c r="P7" s="10">
        <f t="shared" ref="P7:P58" si="9">SUM(L7,O7)</f>
        <v>196524.12667065047</v>
      </c>
      <c r="Q7" s="10">
        <f t="shared" ref="Q7:Q58" si="10">P7+R7</f>
        <v>227967.98693795456</v>
      </c>
      <c r="R7" s="10">
        <f t="shared" si="3"/>
        <v>31443.860267304077</v>
      </c>
      <c r="S7" s="10">
        <f t="shared" ref="S7:S58" si="11">$Q7*S$5</f>
        <v>6861.8364068324317</v>
      </c>
      <c r="T7" s="10">
        <f t="shared" ref="T7:U38" si="12">$Q7*T$5</f>
        <v>7112.6011924641816</v>
      </c>
      <c r="U7" s="10">
        <f t="shared" si="12"/>
        <v>34126.807644611799</v>
      </c>
      <c r="V7" s="10">
        <f t="shared" si="4"/>
        <v>11791.447600239027</v>
      </c>
      <c r="W7" s="10">
        <f t="shared" ref="W7:W58" si="13">SUM(R7:V7)</f>
        <v>91336.553111451518</v>
      </c>
      <c r="X7" s="10">
        <f t="shared" ref="X7:X53" si="14">SUM(R12:V12)</f>
        <v>14136.603185232883</v>
      </c>
      <c r="Y7" s="10">
        <f>'Rateio Custos Fixos'!F13</f>
        <v>15.944236346941452</v>
      </c>
      <c r="Z7" s="10">
        <f>'Rateio Custos Fixos'!G13</f>
        <v>40.139336258034426</v>
      </c>
      <c r="AA7" s="10">
        <f>'Rateio Custos Fixos'!H13</f>
        <v>114.99176516885048</v>
      </c>
      <c r="AB7" s="10">
        <f>'Rateio Custos Fixos'!I13</f>
        <v>4.459926250892714</v>
      </c>
      <c r="AC7" s="10">
        <f>'Rateio Custos Fixos'!J13</f>
        <v>22.29963125446357</v>
      </c>
      <c r="AD7" s="10">
        <f>'Rateio Custos Fixos'!K13</f>
        <v>29.732841672618093</v>
      </c>
      <c r="AE7" s="10">
        <f>'Rateio Custos Fixos'!L13</f>
        <v>57.599947530279401</v>
      </c>
      <c r="AF7" s="10">
        <f>'Rateio Custos Fixos'!M13</f>
        <v>10.406494585416333</v>
      </c>
      <c r="AG7" s="10">
        <f>'Rateio Custos Fixos'!N13</f>
        <v>115.93013365203829</v>
      </c>
      <c r="AH7" s="10">
        <f>'Rateio Custos Fixos'!O13</f>
        <v>0</v>
      </c>
      <c r="AI7" s="10">
        <f>'Rateio Custos Fixos'!P13</f>
        <v>56.265686260220669</v>
      </c>
      <c r="AJ7" s="10">
        <f>'Rateio Custos Fixos'!Q13</f>
        <v>16.724723440847676</v>
      </c>
      <c r="AK7" s="10">
        <f>'Rateio Custos Fixos'!R13</f>
        <v>8.7303056361224876</v>
      </c>
      <c r="AL7" s="10">
        <f>'Rateio Custos Fixos'!S13</f>
        <v>21.258981795921937</v>
      </c>
      <c r="AM7" s="10">
        <f>'Rateio Custos Fixos'!T13</f>
        <v>445.99262508927143</v>
      </c>
      <c r="AN7" s="10">
        <f>'Rateio Custos Fixos'!U13</f>
        <v>178.39705003570856</v>
      </c>
      <c r="AO7" s="10">
        <f>'Rateio Custos Fixos'!V13</f>
        <v>6827.6250000000009</v>
      </c>
      <c r="AP7" s="10">
        <f t="shared" ref="AP7:AP58" si="15">SUM(Y7:AO7)</f>
        <v>7966.4986849776287</v>
      </c>
      <c r="AQ7" s="10">
        <f t="shared" ref="AQ7:AQ58" si="16">AP7+W7+P7</f>
        <v>295827.17846707965</v>
      </c>
      <c r="AR7" s="10">
        <v>2596.3166170147401</v>
      </c>
      <c r="AS7" s="10">
        <f t="shared" ref="AS7:AS58" si="17">AP7+X7+P7</f>
        <v>218627.22854086099</v>
      </c>
      <c r="AT7" s="10">
        <f t="shared" ref="AT7:AT58" si="18">(AQ7/H7)</f>
        <v>9860.9059489026549</v>
      </c>
      <c r="AU7" s="10">
        <f t="shared" ref="AU7:AU58" si="19">AS7/H7</f>
        <v>7287.5742846953663</v>
      </c>
      <c r="AV7" s="10">
        <f t="shared" ref="AV7:AV58" si="20">AQ7/H7</f>
        <v>9860.9059489026549</v>
      </c>
      <c r="AW7" s="10" t="e">
        <f>(AS7*#REF!)/'Est. Cust. Naci.'!H7</f>
        <v>#REF!</v>
      </c>
      <c r="AX7" s="10">
        <f t="shared" ref="AX7:AX58" si="21">(J7*9)</f>
        <v>11475</v>
      </c>
      <c r="AY7" s="120"/>
      <c r="BA7" t="s">
        <v>98</v>
      </c>
    </row>
    <row r="8" spans="1:55">
      <c r="B8">
        <f>'LISTA DE COMPRAS'!A7</f>
        <v>3</v>
      </c>
      <c r="C8" s="83" t="str">
        <f>'LISTA DE COMPRAS'!C7</f>
        <v xml:space="preserve">Cylinder Head Cummins 4BT </v>
      </c>
      <c r="G8" s="118">
        <f>'LISTA DE COMPRAS'!D7</f>
        <v>84099959</v>
      </c>
      <c r="H8" s="2">
        <f>'LISTA DE COMPRAS'!J7</f>
        <v>20</v>
      </c>
      <c r="I8" s="119">
        <f>'LISTA DE COMPRAS'!P7</f>
        <v>4.7058823529411764E-2</v>
      </c>
      <c r="J8" s="12">
        <f>'LISTA DE COMPRAS'!K7</f>
        <v>200</v>
      </c>
      <c r="K8" s="12">
        <f t="shared" si="5"/>
        <v>4000</v>
      </c>
      <c r="L8" s="10">
        <f t="shared" si="6"/>
        <v>20400</v>
      </c>
      <c r="M8" s="10">
        <f t="shared" si="7"/>
        <v>10200</v>
      </c>
      <c r="N8" s="4">
        <f t="shared" si="8"/>
        <v>0</v>
      </c>
      <c r="O8" s="10">
        <f>'Rateio Custos Fixos'!E14</f>
        <v>227.31398755301626</v>
      </c>
      <c r="P8" s="10">
        <f t="shared" si="9"/>
        <v>20627.313987553018</v>
      </c>
      <c r="Q8" s="10">
        <f t="shared" si="10"/>
        <v>23927.684225561501</v>
      </c>
      <c r="R8" s="10">
        <f t="shared" si="3"/>
        <v>3300.3702380084828</v>
      </c>
      <c r="S8" s="10">
        <f t="shared" si="11"/>
        <v>720.22329518940114</v>
      </c>
      <c r="T8" s="10">
        <f t="shared" si="12"/>
        <v>746.54374783751882</v>
      </c>
      <c r="U8" s="10">
        <f t="shared" si="12"/>
        <v>3581.9743285665568</v>
      </c>
      <c r="V8" s="10">
        <f t="shared" si="4"/>
        <v>1237.638839253181</v>
      </c>
      <c r="W8" s="10">
        <f t="shared" si="13"/>
        <v>9586.7504488551403</v>
      </c>
      <c r="X8" s="10">
        <f t="shared" si="14"/>
        <v>7289.765041309448</v>
      </c>
      <c r="Y8" s="10">
        <f>'Rateio Custos Fixos'!F14</f>
        <v>2.5010566818731692</v>
      </c>
      <c r="Z8" s="10">
        <f>'Rateio Custos Fixos'!G14</f>
        <v>6.296366471848537</v>
      </c>
      <c r="AA8" s="10">
        <f>'Rateio Custos Fixos'!H14</f>
        <v>18.037923948054978</v>
      </c>
      <c r="AB8" s="10">
        <f>'Rateio Custos Fixos'!I14</f>
        <v>0.69959627464983754</v>
      </c>
      <c r="AC8" s="10">
        <f>'Rateio Custos Fixos'!J14</f>
        <v>3.4979813732491873</v>
      </c>
      <c r="AD8" s="10">
        <f>'Rateio Custos Fixos'!K14</f>
        <v>4.6639751643322498</v>
      </c>
      <c r="AE8" s="10">
        <f>'Rateio Custos Fixos'!L14</f>
        <v>9.0352858871026509</v>
      </c>
      <c r="AF8" s="10">
        <f>'Rateio Custos Fixos'!M14</f>
        <v>1.6323913075162875</v>
      </c>
      <c r="AG8" s="10">
        <f>'Rateio Custos Fixos'!N14</f>
        <v>18.185119004241301</v>
      </c>
      <c r="AH8" s="10">
        <f>'Rateio Custos Fixos'!O14</f>
        <v>0</v>
      </c>
      <c r="AI8" s="10">
        <f>'Rateio Custos Fixos'!P14</f>
        <v>8.8259900016032429</v>
      </c>
      <c r="AJ8" s="10">
        <f>'Rateio Custos Fixos'!Q14</f>
        <v>2.6234860299368905</v>
      </c>
      <c r="AK8" s="10">
        <f>'Rateio Custos Fixos'!R14</f>
        <v>1.3694597076270569</v>
      </c>
      <c r="AL8" s="10">
        <f>'Rateio Custos Fixos'!S14</f>
        <v>3.3347422424975588</v>
      </c>
      <c r="AM8" s="10">
        <f>'Rateio Custos Fixos'!T14</f>
        <v>69.959627464983754</v>
      </c>
      <c r="AN8" s="10">
        <f>'Rateio Custos Fixos'!U14</f>
        <v>27.983850985993499</v>
      </c>
      <c r="AO8" s="10">
        <f>'Rateio Custos Fixos'!V14</f>
        <v>714.00000000000011</v>
      </c>
      <c r="AP8" s="10">
        <f t="shared" si="15"/>
        <v>892.64685254551023</v>
      </c>
      <c r="AQ8" s="10">
        <f t="shared" si="16"/>
        <v>31106.711288953669</v>
      </c>
      <c r="AR8" s="10">
        <v>2597.3166170147401</v>
      </c>
      <c r="AS8" s="10">
        <f t="shared" si="17"/>
        <v>28809.725881407976</v>
      </c>
      <c r="AT8" s="10">
        <f t="shared" si="18"/>
        <v>1555.3355644476835</v>
      </c>
      <c r="AU8" s="10">
        <f t="shared" si="19"/>
        <v>1440.4862940703988</v>
      </c>
      <c r="AV8" s="10">
        <f t="shared" si="20"/>
        <v>1555.3355644476835</v>
      </c>
      <c r="AW8" s="10" t="e">
        <f>(AS8*#REF!)/'Est. Cust. Naci.'!H8</f>
        <v>#REF!</v>
      </c>
      <c r="AX8" s="10">
        <f t="shared" si="21"/>
        <v>1800</v>
      </c>
      <c r="AY8" s="120"/>
    </row>
    <row r="9" spans="1:55">
      <c r="B9">
        <f>'LISTA DE COMPRAS'!A8</f>
        <v>4</v>
      </c>
      <c r="C9" s="83" t="str">
        <f>'LISTA DE COMPRAS'!C8</f>
        <v>Cylinder Head MB 457/460 Axor</v>
      </c>
      <c r="G9" s="118">
        <f>'LISTA DE COMPRAS'!D8</f>
        <v>84099959</v>
      </c>
      <c r="H9" s="2">
        <f>'LISTA DE COMPRAS'!J8</f>
        <v>240</v>
      </c>
      <c r="I9" s="119">
        <f>'LISTA DE COMPRAS'!P8</f>
        <v>0.56470588235294117</v>
      </c>
      <c r="J9" s="12">
        <f>'LISTA DE COMPRAS'!K8</f>
        <v>132.43</v>
      </c>
      <c r="K9" s="12">
        <f t="shared" si="5"/>
        <v>31783.200000000001</v>
      </c>
      <c r="L9" s="10">
        <f t="shared" si="6"/>
        <v>162094.31999999998</v>
      </c>
      <c r="M9" s="10">
        <f t="shared" si="7"/>
        <v>81047.159999999989</v>
      </c>
      <c r="N9" s="4">
        <f t="shared" si="8"/>
        <v>0</v>
      </c>
      <c r="O9" s="10">
        <f>'Rateio Custos Fixos'!E15</f>
        <v>150.51595685822974</v>
      </c>
      <c r="P9" s="10">
        <f t="shared" si="9"/>
        <v>162244.83595685821</v>
      </c>
      <c r="Q9" s="10">
        <f t="shared" si="10"/>
        <v>188204.00970995551</v>
      </c>
      <c r="R9" s="10">
        <f t="shared" si="3"/>
        <v>25959.173753097315</v>
      </c>
      <c r="S9" s="10">
        <f t="shared" si="11"/>
        <v>5664.9406922696608</v>
      </c>
      <c r="T9" s="10">
        <f t="shared" si="12"/>
        <v>5871.9651029506122</v>
      </c>
      <c r="U9" s="10">
        <f t="shared" si="12"/>
        <v>28174.140253580339</v>
      </c>
      <c r="V9" s="10">
        <f t="shared" si="4"/>
        <v>9734.6901574114927</v>
      </c>
      <c r="W9" s="10">
        <f t="shared" si="13"/>
        <v>75404.909959309414</v>
      </c>
      <c r="X9" s="10">
        <f t="shared" si="14"/>
        <v>13470.998859731044</v>
      </c>
      <c r="Y9" s="10">
        <f>'Rateio Custos Fixos'!F15</f>
        <v>1.6560746819023189</v>
      </c>
      <c r="Z9" s="10">
        <f>'Rateio Custos Fixos'!G15</f>
        <v>4.1691390593345092</v>
      </c>
      <c r="AA9" s="10">
        <f>'Rateio Custos Fixos'!H15</f>
        <v>11.943811342204603</v>
      </c>
      <c r="AB9" s="10">
        <f>'Rateio Custos Fixos'!I15</f>
        <v>0.46323767325938991</v>
      </c>
      <c r="AC9" s="10">
        <f>'Rateio Custos Fixos'!J15</f>
        <v>2.3161883662969496</v>
      </c>
      <c r="AD9" s="10">
        <f>'Rateio Custos Fixos'!K15</f>
        <v>3.0882511550625993</v>
      </c>
      <c r="AE9" s="10">
        <f>'Rateio Custos Fixos'!L15</f>
        <v>5.9827145501450207</v>
      </c>
      <c r="AF9" s="10">
        <f>'Rateio Custos Fixos'!M15</f>
        <v>1.0808879042719097</v>
      </c>
      <c r="AG9" s="10">
        <f>'Rateio Custos Fixos'!N15</f>
        <v>12.041276548658379</v>
      </c>
      <c r="AH9" s="10">
        <f>'Rateio Custos Fixos'!O15</f>
        <v>0</v>
      </c>
      <c r="AI9" s="10">
        <f>'Rateio Custos Fixos'!P15</f>
        <v>5.8441292795615869</v>
      </c>
      <c r="AJ9" s="10">
        <f>'Rateio Custos Fixos'!Q15</f>
        <v>1.7371412747227122</v>
      </c>
      <c r="AK9" s="10">
        <f>'Rateio Custos Fixos'!R15</f>
        <v>0.90678774540525575</v>
      </c>
      <c r="AL9" s="10">
        <f>'Rateio Custos Fixos'!S15</f>
        <v>2.2080995758697584</v>
      </c>
      <c r="AM9" s="10">
        <f>'Rateio Custos Fixos'!T15</f>
        <v>46.323767325938988</v>
      </c>
      <c r="AN9" s="10">
        <f>'Rateio Custos Fixos'!U15</f>
        <v>18.529506930375597</v>
      </c>
      <c r="AO9" s="10">
        <f>'Rateio Custos Fixos'!V15</f>
        <v>5673.3011999999999</v>
      </c>
      <c r="AP9" s="10">
        <f t="shared" si="15"/>
        <v>5791.5922134130096</v>
      </c>
      <c r="AQ9" s="10">
        <f t="shared" si="16"/>
        <v>243441.33812958063</v>
      </c>
      <c r="AR9" s="10">
        <v>2598.3166170147401</v>
      </c>
      <c r="AS9" s="10">
        <f t="shared" si="17"/>
        <v>181507.42703000226</v>
      </c>
      <c r="AT9" s="10">
        <f t="shared" si="18"/>
        <v>1014.3389088732526</v>
      </c>
      <c r="AU9" s="10">
        <f t="shared" si="19"/>
        <v>756.28094595834273</v>
      </c>
      <c r="AV9" s="10">
        <f t="shared" si="20"/>
        <v>1014.3389088732526</v>
      </c>
      <c r="AW9" s="10" t="e">
        <f>(AS9*#REF!)/'Est. Cust. Naci.'!H9</f>
        <v>#REF!</v>
      </c>
      <c r="AX9" s="10">
        <f t="shared" si="21"/>
        <v>1191.8700000000001</v>
      </c>
      <c r="AY9" s="120"/>
    </row>
    <row r="10" spans="1:55">
      <c r="B10">
        <f>'LISTA DE COMPRAS'!A9</f>
        <v>5</v>
      </c>
      <c r="C10" s="83" t="str">
        <f>'LISTA DE COMPRAS'!C9</f>
        <v>CABECOTE CUMMINS SERIE C</v>
      </c>
      <c r="G10" s="118">
        <f>'LISTA DE COMPRAS'!D9</f>
        <v>84099959</v>
      </c>
      <c r="H10" s="2">
        <f>'LISTA DE COMPRAS'!J9</f>
        <v>20</v>
      </c>
      <c r="I10" s="119">
        <f>'LISTA DE COMPRAS'!P9</f>
        <v>4.7058823529411764E-2</v>
      </c>
      <c r="J10" s="12">
        <f>'LISTA DE COMPRAS'!K9</f>
        <v>229.43</v>
      </c>
      <c r="K10" s="12">
        <f t="shared" si="5"/>
        <v>4588.6000000000004</v>
      </c>
      <c r="L10" s="10">
        <f t="shared" si="6"/>
        <v>23401.86</v>
      </c>
      <c r="M10" s="10">
        <f t="shared" si="7"/>
        <v>11700.93</v>
      </c>
      <c r="N10" s="4">
        <f t="shared" si="8"/>
        <v>0</v>
      </c>
      <c r="O10" s="10">
        <f>'Rateio Custos Fixos'!E16</f>
        <v>260.76324082144259</v>
      </c>
      <c r="P10" s="10">
        <f t="shared" si="9"/>
        <v>23662.623240821442</v>
      </c>
      <c r="Q10" s="10">
        <f t="shared" si="10"/>
        <v>27448.642959352874</v>
      </c>
      <c r="R10" s="10">
        <f t="shared" si="3"/>
        <v>3786.019718531431</v>
      </c>
      <c r="S10" s="10">
        <f t="shared" si="11"/>
        <v>826.20415307652149</v>
      </c>
      <c r="T10" s="10">
        <f t="shared" si="12"/>
        <v>856.39766033180967</v>
      </c>
      <c r="U10" s="10">
        <f t="shared" si="12"/>
        <v>4109.0618510151253</v>
      </c>
      <c r="V10" s="10">
        <f t="shared" si="4"/>
        <v>1419.7573944492865</v>
      </c>
      <c r="W10" s="10">
        <f t="shared" si="13"/>
        <v>10997.440777404176</v>
      </c>
      <c r="X10" s="10">
        <f t="shared" si="14"/>
        <v>11620.742013701598</v>
      </c>
      <c r="Y10" s="10">
        <f>'Rateio Custos Fixos'!F16</f>
        <v>2.869087172610806</v>
      </c>
      <c r="Z10" s="10">
        <f>'Rateio Custos Fixos'!G16</f>
        <v>7.2228767981810496</v>
      </c>
      <c r="AA10" s="10">
        <f>'Rateio Custos Fixos'!H16</f>
        <v>20.692204457011268</v>
      </c>
      <c r="AB10" s="10">
        <f>'Rateio Custos Fixos'!I16</f>
        <v>0.80254186646456105</v>
      </c>
      <c r="AC10" s="10">
        <f>'Rateio Custos Fixos'!J16</f>
        <v>4.0127093323228058</v>
      </c>
      <c r="AD10" s="10">
        <f>'Rateio Custos Fixos'!K16</f>
        <v>5.3502791097637408</v>
      </c>
      <c r="AE10" s="10">
        <f>'Rateio Custos Fixos'!L16</f>
        <v>10.364828205389806</v>
      </c>
      <c r="AF10" s="10">
        <f>'Rateio Custos Fixos'!M16</f>
        <v>1.8725976884173092</v>
      </c>
      <c r="AG10" s="10">
        <f>'Rateio Custos Fixos'!N16</f>
        <v>20.861059265715408</v>
      </c>
      <c r="AH10" s="10">
        <f>'Rateio Custos Fixos'!O16</f>
        <v>0</v>
      </c>
      <c r="AI10" s="10">
        <f>'Rateio Custos Fixos'!P16</f>
        <v>10.12473443033916</v>
      </c>
      <c r="AJ10" s="10">
        <f>'Rateio Custos Fixos'!Q16</f>
        <v>3.0095319992421041</v>
      </c>
      <c r="AK10" s="10">
        <f>'Rateio Custos Fixos'!R16</f>
        <v>1.5709757036043783</v>
      </c>
      <c r="AL10" s="10">
        <f>'Rateio Custos Fixos'!S16</f>
        <v>3.8254495634810746</v>
      </c>
      <c r="AM10" s="10">
        <f>'Rateio Custos Fixos'!T16</f>
        <v>80.254186646456105</v>
      </c>
      <c r="AN10" s="10">
        <f>'Rateio Custos Fixos'!U16</f>
        <v>32.101674658582446</v>
      </c>
      <c r="AO10" s="10">
        <f>'Rateio Custos Fixos'!V16</f>
        <v>819.06510000000014</v>
      </c>
      <c r="AP10" s="10">
        <f t="shared" si="15"/>
        <v>1023.9998368975821</v>
      </c>
      <c r="AQ10" s="10">
        <f t="shared" si="16"/>
        <v>35684.063855123197</v>
      </c>
      <c r="AR10" s="10">
        <v>2599.3166170147401</v>
      </c>
      <c r="AS10" s="10">
        <f t="shared" si="17"/>
        <v>36307.365091420623</v>
      </c>
      <c r="AT10" s="10">
        <f t="shared" si="18"/>
        <v>1784.2031927561598</v>
      </c>
      <c r="AU10" s="10">
        <f t="shared" si="19"/>
        <v>1815.3682545710312</v>
      </c>
      <c r="AV10" s="10">
        <f t="shared" si="20"/>
        <v>1784.2031927561598</v>
      </c>
      <c r="AW10" s="10" t="e">
        <f>(AS10*#REF!)/'Est. Cust. Naci.'!H10</f>
        <v>#REF!</v>
      </c>
      <c r="AX10" s="10">
        <f t="shared" si="21"/>
        <v>2064.87</v>
      </c>
      <c r="AY10" s="120"/>
    </row>
    <row r="11" spans="1:55">
      <c r="B11">
        <f>'LISTA DE COMPRAS'!A10</f>
        <v>6</v>
      </c>
      <c r="C11" s="83" t="str">
        <f>'LISTA DE COMPRAS'!C10</f>
        <v>CABECOTE MAN 4CIL D08</v>
      </c>
      <c r="G11" s="118">
        <f>'LISTA DE COMPRAS'!D10</f>
        <v>84099959</v>
      </c>
      <c r="H11" s="2">
        <f>'LISTA DE COMPRAS'!J10</f>
        <v>3</v>
      </c>
      <c r="I11" s="119">
        <f>'LISTA DE COMPRAS'!P10</f>
        <v>7.058823529411765E-3</v>
      </c>
      <c r="J11" s="12">
        <f>'LISTA DE COMPRAS'!K10</f>
        <v>707.96</v>
      </c>
      <c r="K11" s="12">
        <f t="shared" si="5"/>
        <v>2123.88</v>
      </c>
      <c r="L11" s="10">
        <f t="shared" si="6"/>
        <v>10831.788</v>
      </c>
      <c r="M11" s="10">
        <f t="shared" si="7"/>
        <v>5415.8940000000002</v>
      </c>
      <c r="N11" s="4">
        <f t="shared" si="8"/>
        <v>0</v>
      </c>
      <c r="O11" s="10">
        <f>'Rateio Custos Fixos'!E17</f>
        <v>804.64605314016694</v>
      </c>
      <c r="P11" s="10">
        <f t="shared" si="9"/>
        <v>11636.434053140167</v>
      </c>
      <c r="Q11" s="10">
        <f t="shared" si="10"/>
        <v>13498.263501642594</v>
      </c>
      <c r="R11" s="10">
        <f t="shared" si="3"/>
        <v>1861.8294485024267</v>
      </c>
      <c r="S11" s="10">
        <f t="shared" si="11"/>
        <v>406.29773139944206</v>
      </c>
      <c r="T11" s="10">
        <f t="shared" si="12"/>
        <v>421.14582125124889</v>
      </c>
      <c r="U11" s="10">
        <f t="shared" si="12"/>
        <v>2020.6900461958962</v>
      </c>
      <c r="V11" s="10">
        <f t="shared" si="4"/>
        <v>698.18604318840994</v>
      </c>
      <c r="W11" s="10">
        <f t="shared" si="13"/>
        <v>5408.1490905374239</v>
      </c>
      <c r="X11" s="10">
        <f t="shared" si="14"/>
        <v>6209.3337289570582</v>
      </c>
      <c r="Y11" s="10">
        <f>'Rateio Custos Fixos'!F17</f>
        <v>8.8532404424946431</v>
      </c>
      <c r="Z11" s="10">
        <f>'Rateio Custos Fixos'!G17</f>
        <v>22.287878037049452</v>
      </c>
      <c r="AA11" s="10">
        <f>'Rateio Custos Fixos'!H17</f>
        <v>63.850643191325005</v>
      </c>
      <c r="AB11" s="10">
        <f>'Rateio Custos Fixos'!I17</f>
        <v>2.4764308930054946</v>
      </c>
      <c r="AC11" s="10">
        <f>'Rateio Custos Fixos'!J17</f>
        <v>12.382154465027474</v>
      </c>
      <c r="AD11" s="10">
        <f>'Rateio Custos Fixos'!K17</f>
        <v>16.509539286703298</v>
      </c>
      <c r="AE11" s="10">
        <f>'Rateio Custos Fixos'!L17</f>
        <v>31.983104983165962</v>
      </c>
      <c r="AF11" s="10">
        <f>'Rateio Custos Fixos'!M17</f>
        <v>5.7783387503461547</v>
      </c>
      <c r="AG11" s="10">
        <f>'Rateio Custos Fixos'!N17</f>
        <v>64.371684251213352</v>
      </c>
      <c r="AH11" s="10">
        <f>'Rateio Custos Fixos'!O17</f>
        <v>0</v>
      </c>
      <c r="AI11" s="10">
        <f>'Rateio Custos Fixos'!P17</f>
        <v>31.242239407675157</v>
      </c>
      <c r="AJ11" s="10">
        <f>'Rateio Custos Fixos'!Q17</f>
        <v>9.2866158487706052</v>
      </c>
      <c r="AK11" s="10">
        <f>'Rateio Custos Fixos'!R17</f>
        <v>4.8476134730582556</v>
      </c>
      <c r="AL11" s="10">
        <f>'Rateio Custos Fixos'!S17</f>
        <v>11.804320589992859</v>
      </c>
      <c r="AM11" s="10">
        <f>'Rateio Custos Fixos'!T17</f>
        <v>247.64308930054946</v>
      </c>
      <c r="AN11" s="10">
        <f>'Rateio Custos Fixos'!U17</f>
        <v>99.057235720219794</v>
      </c>
      <c r="AO11" s="10">
        <f>'Rateio Custos Fixos'!V17</f>
        <v>379.11258000000004</v>
      </c>
      <c r="AP11" s="10">
        <f t="shared" si="15"/>
        <v>1011.486708640597</v>
      </c>
      <c r="AQ11" s="10">
        <f t="shared" si="16"/>
        <v>18056.069852318185</v>
      </c>
      <c r="AR11" s="10">
        <v>2600.3166170147401</v>
      </c>
      <c r="AS11" s="10">
        <f t="shared" si="17"/>
        <v>18857.254490737821</v>
      </c>
      <c r="AT11" s="10">
        <f t="shared" si="18"/>
        <v>6018.6899507727285</v>
      </c>
      <c r="AU11" s="10">
        <f t="shared" si="19"/>
        <v>6285.7514969126069</v>
      </c>
      <c r="AV11" s="10">
        <f t="shared" si="20"/>
        <v>6018.6899507727285</v>
      </c>
      <c r="AW11" s="10" t="e">
        <f>(AS11*#REF!)/'Est. Cust. Naci.'!H11</f>
        <v>#REF!</v>
      </c>
      <c r="AX11" s="10">
        <f t="shared" si="21"/>
        <v>6371.64</v>
      </c>
      <c r="AY11" s="120"/>
    </row>
    <row r="12" spans="1:55">
      <c r="B12">
        <f>'LISTA DE COMPRAS'!A11</f>
        <v>7</v>
      </c>
      <c r="C12" s="83" t="str">
        <f>'LISTA DE COMPRAS'!C11</f>
        <v>CABECOTE MAN 6CIL D08</v>
      </c>
      <c r="G12" s="118">
        <f>'LISTA DE COMPRAS'!D11</f>
        <v>84099959</v>
      </c>
      <c r="H12" s="2">
        <f>'LISTA DE COMPRAS'!J11</f>
        <v>10</v>
      </c>
      <c r="I12" s="119">
        <f>'LISTA DE COMPRAS'!P11</f>
        <v>2.3529411764705882E-2</v>
      </c>
      <c r="J12" s="12">
        <f>'LISTA DE COMPRAS'!K11</f>
        <v>583.41</v>
      </c>
      <c r="K12" s="12">
        <f t="shared" si="5"/>
        <v>5834.0999999999995</v>
      </c>
      <c r="L12" s="10">
        <f t="shared" si="6"/>
        <v>29753.909999999996</v>
      </c>
      <c r="M12" s="10">
        <f t="shared" si="7"/>
        <v>14876.954999999998</v>
      </c>
      <c r="N12" s="4">
        <f t="shared" si="8"/>
        <v>0</v>
      </c>
      <c r="O12" s="10">
        <f>'Rateio Custos Fixos'!E18</f>
        <v>663.08626739152612</v>
      </c>
      <c r="P12" s="10">
        <f t="shared" si="9"/>
        <v>30416.996267391522</v>
      </c>
      <c r="Q12" s="10">
        <f t="shared" si="10"/>
        <v>35283.715670174162</v>
      </c>
      <c r="R12" s="10">
        <f t="shared" si="3"/>
        <v>4866.7194027826436</v>
      </c>
      <c r="S12" s="10">
        <f t="shared" si="11"/>
        <v>1062.0398416722421</v>
      </c>
      <c r="T12" s="10">
        <f t="shared" si="12"/>
        <v>1100.8519289094338</v>
      </c>
      <c r="U12" s="10">
        <f t="shared" si="12"/>
        <v>5281.9722358250719</v>
      </c>
      <c r="V12" s="10">
        <f t="shared" si="4"/>
        <v>1825.0197760434912</v>
      </c>
      <c r="W12" s="10">
        <f t="shared" si="13"/>
        <v>14136.603185232883</v>
      </c>
      <c r="X12" s="10">
        <f t="shared" si="14"/>
        <v>335.1844882827022</v>
      </c>
      <c r="Y12" s="10">
        <f>'Rateio Custos Fixos'!F18</f>
        <v>7.2957073938581276</v>
      </c>
      <c r="Z12" s="10">
        <f>'Rateio Custos Fixos'!G18</f>
        <v>18.366815816705778</v>
      </c>
      <c r="AA12" s="10">
        <f>'Rateio Custos Fixos'!H18</f>
        <v>52.617526052673767</v>
      </c>
      <c r="AB12" s="10">
        <f>'Rateio Custos Fixos'!I18</f>
        <v>2.0407573129673082</v>
      </c>
      <c r="AC12" s="10">
        <f>'Rateio Custos Fixos'!J18</f>
        <v>10.203786564836543</v>
      </c>
      <c r="AD12" s="10">
        <f>'Rateio Custos Fixos'!K18</f>
        <v>13.605048753115391</v>
      </c>
      <c r="AE12" s="10">
        <f>'Rateio Custos Fixos'!L18</f>
        <v>26.356380696972789</v>
      </c>
      <c r="AF12" s="10">
        <f>'Rateio Custos Fixos'!M18</f>
        <v>4.7617670635903862</v>
      </c>
      <c r="AG12" s="10">
        <f>'Rateio Custos Fixos'!N18</f>
        <v>53.046901391322088</v>
      </c>
      <c r="AH12" s="10">
        <f>'Rateio Custos Fixos'!O18</f>
        <v>0</v>
      </c>
      <c r="AI12" s="10">
        <f>'Rateio Custos Fixos'!P18</f>
        <v>25.745854134176739</v>
      </c>
      <c r="AJ12" s="10">
        <f>'Rateio Custos Fixos'!Q18</f>
        <v>7.6528399236274067</v>
      </c>
      <c r="AK12" s="10">
        <f>'Rateio Custos Fixos'!R18</f>
        <v>3.9947824401335064</v>
      </c>
      <c r="AL12" s="10">
        <f>'Rateio Custos Fixos'!S18</f>
        <v>9.7276098584775035</v>
      </c>
      <c r="AM12" s="10">
        <f>'Rateio Custos Fixos'!T18</f>
        <v>204.07573129673085</v>
      </c>
      <c r="AN12" s="10">
        <f>'Rateio Custos Fixos'!U18</f>
        <v>81.630292518692343</v>
      </c>
      <c r="AO12" s="10">
        <f>'Rateio Custos Fixos'!V18</f>
        <v>1041.3868499999999</v>
      </c>
      <c r="AP12" s="10">
        <f t="shared" si="15"/>
        <v>1562.5086512178805</v>
      </c>
      <c r="AQ12" s="10">
        <f t="shared" si="16"/>
        <v>46116.108103842285</v>
      </c>
      <c r="AR12" s="10">
        <v>2601.3166170147401</v>
      </c>
      <c r="AS12" s="10">
        <f t="shared" si="17"/>
        <v>32314.689406892103</v>
      </c>
      <c r="AT12" s="10">
        <f t="shared" si="18"/>
        <v>4611.6108103842289</v>
      </c>
      <c r="AU12" s="10">
        <f t="shared" si="19"/>
        <v>3231.4689406892103</v>
      </c>
      <c r="AV12" s="10">
        <f t="shared" si="20"/>
        <v>4611.6108103842289</v>
      </c>
      <c r="AW12" s="10" t="e">
        <f>(AS12*#REF!)/'Est. Cust. Naci.'!H12</f>
        <v>#REF!</v>
      </c>
      <c r="AX12" s="10">
        <f t="shared" si="21"/>
        <v>5250.69</v>
      </c>
    </row>
    <row r="13" spans="1:55">
      <c r="B13">
        <f>'LISTA DE COMPRAS'!A12</f>
        <v>8</v>
      </c>
      <c r="C13" s="83" t="str">
        <f>'LISTA DE COMPRAS'!C12</f>
        <v>CABECOTE CUMMINS 6BT</v>
      </c>
      <c r="G13" s="118">
        <f>'LISTA DE COMPRAS'!D12</f>
        <v>84099959</v>
      </c>
      <c r="H13" s="2">
        <f>'LISTA DE COMPRAS'!J12</f>
        <v>20</v>
      </c>
      <c r="I13" s="119">
        <f>'LISTA DE COMPRAS'!P12</f>
        <v>4.7058823529411764E-2</v>
      </c>
      <c r="J13" s="12">
        <f>'LISTA DE COMPRAS'!K12</f>
        <v>152.08000000000001</v>
      </c>
      <c r="K13" s="12">
        <f t="shared" si="5"/>
        <v>3041.6000000000004</v>
      </c>
      <c r="L13" s="10">
        <f t="shared" si="6"/>
        <v>15512.160000000002</v>
      </c>
      <c r="M13" s="10">
        <f t="shared" si="7"/>
        <v>7756.0800000000008</v>
      </c>
      <c r="N13" s="4">
        <f t="shared" si="8"/>
        <v>0</v>
      </c>
      <c r="O13" s="10">
        <f>'Rateio Custos Fixos'!E19</f>
        <v>172.84955613531361</v>
      </c>
      <c r="P13" s="10">
        <f t="shared" si="9"/>
        <v>15685.009556135316</v>
      </c>
      <c r="Q13" s="10">
        <f t="shared" si="10"/>
        <v>18194.611085116965</v>
      </c>
      <c r="R13" s="10">
        <f t="shared" si="3"/>
        <v>2509.6015289816505</v>
      </c>
      <c r="S13" s="10">
        <f t="shared" si="11"/>
        <v>547.65779366202059</v>
      </c>
      <c r="T13" s="10">
        <f t="shared" si="12"/>
        <v>567.67186585564923</v>
      </c>
      <c r="U13" s="10">
        <f t="shared" si="12"/>
        <v>2723.7332794420095</v>
      </c>
      <c r="V13" s="10">
        <f t="shared" si="4"/>
        <v>941.10057336811894</v>
      </c>
      <c r="W13" s="10">
        <f t="shared" si="13"/>
        <v>7289.765041309448</v>
      </c>
      <c r="X13" s="10">
        <f t="shared" si="14"/>
        <v>335.1844882827022</v>
      </c>
      <c r="Y13" s="10">
        <f>'Rateio Custos Fixos'!F19</f>
        <v>1.9018035008963581</v>
      </c>
      <c r="Z13" s="10">
        <f>'Rateio Custos Fixos'!G19</f>
        <v>4.7877570651936283</v>
      </c>
      <c r="AA13" s="10">
        <f>'Rateio Custos Fixos'!H19</f>
        <v>13.716037370101006</v>
      </c>
      <c r="AB13" s="10">
        <f>'Rateio Custos Fixos'!I19</f>
        <v>0.53197300724373653</v>
      </c>
      <c r="AC13" s="10">
        <f>'Rateio Custos Fixos'!J19</f>
        <v>2.6598650362186826</v>
      </c>
      <c r="AD13" s="10">
        <f>'Rateio Custos Fixos'!K19</f>
        <v>3.5464867149582435</v>
      </c>
      <c r="AE13" s="10">
        <f>'Rateio Custos Fixos'!L19</f>
        <v>6.8704313885528565</v>
      </c>
      <c r="AF13" s="10">
        <f>'Rateio Custos Fixos'!M19</f>
        <v>1.2412703502353852</v>
      </c>
      <c r="AG13" s="10">
        <f>'Rateio Custos Fixos'!N19</f>
        <v>13.827964490825089</v>
      </c>
      <c r="AH13" s="10">
        <f>'Rateio Custos Fixos'!O19</f>
        <v>0</v>
      </c>
      <c r="AI13" s="10">
        <f>'Rateio Custos Fixos'!P19</f>
        <v>6.7112827972191065</v>
      </c>
      <c r="AJ13" s="10">
        <f>'Rateio Custos Fixos'!Q19</f>
        <v>1.9948987771640119</v>
      </c>
      <c r="AK13" s="10">
        <f>'Rateio Custos Fixos'!R19</f>
        <v>1.0413371616796143</v>
      </c>
      <c r="AL13" s="10">
        <f>'Rateio Custos Fixos'!S19</f>
        <v>2.5357380011951438</v>
      </c>
      <c r="AM13" s="10">
        <f>'Rateio Custos Fixos'!T19</f>
        <v>53.197300724373648</v>
      </c>
      <c r="AN13" s="10">
        <f>'Rateio Custos Fixos'!U19</f>
        <v>21.278920289749461</v>
      </c>
      <c r="AO13" s="10">
        <f>'Rateio Custos Fixos'!V19</f>
        <v>542.92560000000014</v>
      </c>
      <c r="AP13" s="10">
        <f t="shared" si="15"/>
        <v>678.76866667560614</v>
      </c>
      <c r="AQ13" s="10">
        <f t="shared" si="16"/>
        <v>23653.54326412037</v>
      </c>
      <c r="AR13" s="10">
        <v>2602.3166170147401</v>
      </c>
      <c r="AS13" s="10">
        <f t="shared" si="17"/>
        <v>16698.962711093624</v>
      </c>
      <c r="AT13" s="10">
        <f t="shared" si="18"/>
        <v>1182.6771632060186</v>
      </c>
      <c r="AU13" s="10">
        <f t="shared" si="19"/>
        <v>834.94813555468113</v>
      </c>
      <c r="AV13" s="10">
        <f t="shared" si="20"/>
        <v>1182.6771632060186</v>
      </c>
      <c r="AW13" s="10" t="e">
        <f>(AS13*#REF!)/'Est. Cust. Naci.'!H13</f>
        <v>#REF!</v>
      </c>
      <c r="AX13" s="10">
        <f t="shared" si="21"/>
        <v>1368.72</v>
      </c>
    </row>
    <row r="14" spans="1:55">
      <c r="B14">
        <f>'LISTA DE COMPRAS'!A13</f>
        <v>9</v>
      </c>
      <c r="C14" s="83" t="str">
        <f>'LISTA DE COMPRAS'!C13</f>
        <v xml:space="preserve"> CABECOTE MAN TGX 460</v>
      </c>
      <c r="G14" s="118">
        <f>'LISTA DE COMPRAS'!D13</f>
        <v>84099959</v>
      </c>
      <c r="H14" s="2">
        <f>'LISTA DE COMPRAS'!J13</f>
        <v>5</v>
      </c>
      <c r="I14" s="119">
        <f>'LISTA DE COMPRAS'!P13</f>
        <v>1.1764705882352941E-2</v>
      </c>
      <c r="J14" s="12">
        <f>'LISTA DE COMPRAS'!K13</f>
        <v>1088.1600000000001</v>
      </c>
      <c r="K14" s="12">
        <f t="shared" si="5"/>
        <v>5440.8</v>
      </c>
      <c r="L14" s="10">
        <f t="shared" si="6"/>
        <v>27748.079999999998</v>
      </c>
      <c r="M14" s="10">
        <f t="shared" si="7"/>
        <v>13874.039999999999</v>
      </c>
      <c r="N14" s="4">
        <f t="shared" si="8"/>
        <v>0</v>
      </c>
      <c r="O14" s="10">
        <f>'Rateio Custos Fixos'!E20</f>
        <v>1236.7699434784511</v>
      </c>
      <c r="P14" s="10">
        <f t="shared" si="9"/>
        <v>28984.84994347845</v>
      </c>
      <c r="Q14" s="10">
        <f t="shared" si="10"/>
        <v>33622.425934434999</v>
      </c>
      <c r="R14" s="10">
        <f t="shared" si="3"/>
        <v>4637.5759909565522</v>
      </c>
      <c r="S14" s="10">
        <f t="shared" si="11"/>
        <v>1012.0350206264934</v>
      </c>
      <c r="T14" s="10">
        <f t="shared" si="12"/>
        <v>1049.0196891543719</v>
      </c>
      <c r="U14" s="10">
        <f t="shared" si="12"/>
        <v>5033.2771623849194</v>
      </c>
      <c r="V14" s="10">
        <f t="shared" si="4"/>
        <v>1739.090996608707</v>
      </c>
      <c r="W14" s="10">
        <f t="shared" si="13"/>
        <v>13470.998859731044</v>
      </c>
      <c r="X14" s="10">
        <f t="shared" si="14"/>
        <v>3732.948276138894</v>
      </c>
      <c r="Y14" s="10">
        <f>'Rateio Custos Fixos'!F20</f>
        <v>13.60774919473554</v>
      </c>
      <c r="Z14" s="10">
        <f>'Rateio Custos Fixos'!G20</f>
        <v>34.25727070003353</v>
      </c>
      <c r="AA14" s="10">
        <f>'Rateio Custos Fixos'!H20</f>
        <v>98.140736616577527</v>
      </c>
      <c r="AB14" s="10">
        <f>'Rateio Custos Fixos'!I20</f>
        <v>3.8063634111148366</v>
      </c>
      <c r="AC14" s="10">
        <f>'Rateio Custos Fixos'!J20</f>
        <v>19.031817055574184</v>
      </c>
      <c r="AD14" s="10">
        <f>'Rateio Custos Fixos'!K20</f>
        <v>25.375756074098909</v>
      </c>
      <c r="AE14" s="10">
        <f>'Rateio Custos Fixos'!L20</f>
        <v>49.159183454548113</v>
      </c>
      <c r="AF14" s="10">
        <f>'Rateio Custos Fixos'!M20</f>
        <v>8.8815146259346189</v>
      </c>
      <c r="AG14" s="10">
        <f>'Rateio Custos Fixos'!N20</f>
        <v>98.941595478276085</v>
      </c>
      <c r="AH14" s="10">
        <f>'Rateio Custos Fixos'!O20</f>
        <v>0</v>
      </c>
      <c r="AI14" s="10">
        <f>'Rateio Custos Fixos'!P20</f>
        <v>48.020446400722925</v>
      </c>
      <c r="AJ14" s="10">
        <f>'Rateio Custos Fixos'!Q20</f>
        <v>14.273862791680637</v>
      </c>
      <c r="AK14" s="10">
        <f>'Rateio Custos Fixos'!R20</f>
        <v>7.4509563772572927</v>
      </c>
      <c r="AL14" s="10">
        <f>'Rateio Custos Fixos'!S20</f>
        <v>18.143665592980721</v>
      </c>
      <c r="AM14" s="10">
        <f>'Rateio Custos Fixos'!T20</f>
        <v>380.63634111148366</v>
      </c>
      <c r="AN14" s="10">
        <f>'Rateio Custos Fixos'!U20</f>
        <v>152.25453644459347</v>
      </c>
      <c r="AO14" s="10">
        <f>'Rateio Custos Fixos'!V20</f>
        <v>971.18280000000004</v>
      </c>
      <c r="AP14" s="10">
        <f t="shared" si="15"/>
        <v>1943.164595329612</v>
      </c>
      <c r="AQ14" s="10">
        <f t="shared" si="16"/>
        <v>44399.013398539108</v>
      </c>
      <c r="AR14" s="10">
        <v>2603.3166170147401</v>
      </c>
      <c r="AS14" s="10">
        <f t="shared" si="17"/>
        <v>34660.962814946957</v>
      </c>
      <c r="AT14" s="10">
        <f t="shared" si="18"/>
        <v>8879.8026797078219</v>
      </c>
      <c r="AU14" s="10">
        <f t="shared" si="19"/>
        <v>6932.1925629893913</v>
      </c>
      <c r="AV14" s="10">
        <f t="shared" si="20"/>
        <v>8879.8026797078219</v>
      </c>
      <c r="AW14" s="10" t="e">
        <f>(AS14*#REF!)/'Est. Cust. Naci.'!H14</f>
        <v>#REF!</v>
      </c>
      <c r="AX14" s="10">
        <f t="shared" si="21"/>
        <v>9793.44</v>
      </c>
    </row>
    <row r="15" spans="1:55">
      <c r="B15">
        <f>'LISTA DE COMPRAS'!A14</f>
        <v>10</v>
      </c>
      <c r="C15" s="83" t="str">
        <f>'LISTA DE COMPRAS'!C14</f>
        <v>CABECOTE CATERPILAR C 7</v>
      </c>
      <c r="G15" s="118">
        <f>'LISTA DE COMPRAS'!D14</f>
        <v>84099959</v>
      </c>
      <c r="H15" s="2">
        <f>'LISTA DE COMPRAS'!J14</f>
        <v>5</v>
      </c>
      <c r="I15" s="119">
        <f>'LISTA DE COMPRAS'!P14</f>
        <v>1.1764705882352941E-2</v>
      </c>
      <c r="J15" s="12">
        <f>'LISTA DE COMPRAS'!K14</f>
        <v>938.7</v>
      </c>
      <c r="K15" s="12">
        <f t="shared" si="5"/>
        <v>4693.5</v>
      </c>
      <c r="L15" s="10">
        <f t="shared" si="6"/>
        <v>23936.85</v>
      </c>
      <c r="M15" s="10">
        <f t="shared" si="7"/>
        <v>11968.424999999999</v>
      </c>
      <c r="N15" s="4">
        <f t="shared" si="8"/>
        <v>0</v>
      </c>
      <c r="O15" s="10">
        <f>'Rateio Custos Fixos'!E21</f>
        <v>1066.8982005800819</v>
      </c>
      <c r="P15" s="10">
        <f t="shared" si="9"/>
        <v>25003.748200580081</v>
      </c>
      <c r="Q15" s="10">
        <f t="shared" si="10"/>
        <v>29004.347912672893</v>
      </c>
      <c r="R15" s="10">
        <f t="shared" si="3"/>
        <v>4000.5997120928132</v>
      </c>
      <c r="S15" s="10">
        <f t="shared" si="11"/>
        <v>873.03087217145401</v>
      </c>
      <c r="T15" s="10">
        <f t="shared" si="12"/>
        <v>904.93565487539422</v>
      </c>
      <c r="U15" s="10">
        <f t="shared" si="12"/>
        <v>4341.9508825271323</v>
      </c>
      <c r="V15" s="10">
        <f t="shared" si="4"/>
        <v>1500.2248920348047</v>
      </c>
      <c r="W15" s="10">
        <f t="shared" si="13"/>
        <v>11620.742013701598</v>
      </c>
      <c r="X15" s="10">
        <f t="shared" si="14"/>
        <v>4463.2216024287172</v>
      </c>
      <c r="Y15" s="10">
        <f>'Rateio Custos Fixos'!F21</f>
        <v>11.73870953637172</v>
      </c>
      <c r="Z15" s="10">
        <f>'Rateio Custos Fixos'!G21</f>
        <v>29.551996035621112</v>
      </c>
      <c r="AA15" s="10">
        <f>'Rateio Custos Fixos'!H21</f>
        <v>84.660996050196047</v>
      </c>
      <c r="AB15" s="10">
        <f>'Rateio Custos Fixos'!I21</f>
        <v>3.2835551150690128</v>
      </c>
      <c r="AC15" s="10">
        <f>'Rateio Custos Fixos'!J21</f>
        <v>16.417775575345065</v>
      </c>
      <c r="AD15" s="10">
        <f>'Rateio Custos Fixos'!K21</f>
        <v>21.890367433793418</v>
      </c>
      <c r="AE15" s="10">
        <f>'Rateio Custos Fixos'!L21</f>
        <v>42.407114311116295</v>
      </c>
      <c r="AF15" s="10">
        <f>'Rateio Custos Fixos'!M21</f>
        <v>7.6616286018276964</v>
      </c>
      <c r="AG15" s="10">
        <f>'Rateio Custos Fixos'!N21</f>
        <v>85.351856046406553</v>
      </c>
      <c r="AH15" s="10">
        <f>'Rateio Custos Fixos'!O21</f>
        <v>0</v>
      </c>
      <c r="AI15" s="10">
        <f>'Rateio Custos Fixos'!P21</f>
        <v>41.424784072524822</v>
      </c>
      <c r="AJ15" s="10">
        <f>'Rateio Custos Fixos'!Q21</f>
        <v>12.313331681508798</v>
      </c>
      <c r="AK15" s="10">
        <f>'Rateio Custos Fixos'!R21</f>
        <v>6.4275591377475925</v>
      </c>
      <c r="AL15" s="10">
        <f>'Rateio Custos Fixos'!S21</f>
        <v>15.651612715162294</v>
      </c>
      <c r="AM15" s="10">
        <f>'Rateio Custos Fixos'!T21</f>
        <v>328.35551150690128</v>
      </c>
      <c r="AN15" s="10">
        <f>'Rateio Custos Fixos'!U21</f>
        <v>131.34220460276052</v>
      </c>
      <c r="AO15" s="10">
        <f>'Rateio Custos Fixos'!V21</f>
        <v>837.78975000000003</v>
      </c>
      <c r="AP15" s="10">
        <f t="shared" si="15"/>
        <v>1676.2687524223522</v>
      </c>
      <c r="AQ15" s="10">
        <f t="shared" si="16"/>
        <v>38300.75896670403</v>
      </c>
      <c r="AR15" s="10">
        <v>2604.3166170147401</v>
      </c>
      <c r="AS15" s="10">
        <f t="shared" si="17"/>
        <v>31143.238555431151</v>
      </c>
      <c r="AT15" s="10">
        <f t="shared" si="18"/>
        <v>7660.1517933408059</v>
      </c>
      <c r="AU15" s="10">
        <f t="shared" si="19"/>
        <v>6228.6477110862306</v>
      </c>
      <c r="AV15" s="10">
        <f t="shared" si="20"/>
        <v>7660.1517933408059</v>
      </c>
      <c r="AW15" s="10" t="e">
        <f>(AS15*#REF!)/'Est. Cust. Naci.'!H15</f>
        <v>#REF!</v>
      </c>
      <c r="AX15" s="10">
        <f t="shared" si="21"/>
        <v>8448.3000000000011</v>
      </c>
    </row>
    <row r="16" spans="1:55">
      <c r="B16">
        <f>'LISTA DE COMPRAS'!A15</f>
        <v>11</v>
      </c>
      <c r="C16" s="83" t="str">
        <f>'LISTA DE COMPRAS'!C15</f>
        <v>CABECOTE CATERPILAR C6.6</v>
      </c>
      <c r="G16" s="118">
        <f>'LISTA DE COMPRAS'!D15</f>
        <v>84099959</v>
      </c>
      <c r="H16" s="2">
        <f>'LISTA DE COMPRAS'!J15</f>
        <v>3</v>
      </c>
      <c r="I16" s="119">
        <f>'LISTA DE COMPRAS'!P15</f>
        <v>7.058823529411765E-3</v>
      </c>
      <c r="J16" s="12">
        <f>'LISTA DE COMPRAS'!K15</f>
        <v>812.84</v>
      </c>
      <c r="K16" s="12">
        <f t="shared" si="5"/>
        <v>2438.52</v>
      </c>
      <c r="L16" s="10">
        <f t="shared" si="6"/>
        <v>12436.451999999999</v>
      </c>
      <c r="M16" s="10">
        <f t="shared" si="7"/>
        <v>6218.2259999999997</v>
      </c>
      <c r="N16" s="4">
        <f t="shared" si="8"/>
        <v>0</v>
      </c>
      <c r="O16" s="10">
        <f>'Rateio Custos Fixos'!E22</f>
        <v>923.84950821296877</v>
      </c>
      <c r="P16" s="10">
        <f t="shared" si="9"/>
        <v>13360.301508212968</v>
      </c>
      <c r="Q16" s="10">
        <f t="shared" si="10"/>
        <v>15497.949749527043</v>
      </c>
      <c r="R16" s="10">
        <f t="shared" si="3"/>
        <v>2137.6482413140748</v>
      </c>
      <c r="S16" s="10">
        <f t="shared" si="11"/>
        <v>466.48828746076396</v>
      </c>
      <c r="T16" s="10">
        <f t="shared" si="12"/>
        <v>483.5360321852437</v>
      </c>
      <c r="U16" s="10">
        <f t="shared" si="12"/>
        <v>2320.0430775041982</v>
      </c>
      <c r="V16" s="10">
        <f t="shared" si="4"/>
        <v>801.61809049277804</v>
      </c>
      <c r="W16" s="10">
        <f t="shared" si="13"/>
        <v>6209.3337289570582</v>
      </c>
      <c r="X16" s="10">
        <f t="shared" si="14"/>
        <v>6509.7779683644212</v>
      </c>
      <c r="Y16" s="10">
        <f>'Rateio Custos Fixos'!F22</f>
        <v>10.164794566468935</v>
      </c>
      <c r="Z16" s="10">
        <f>'Rateio Custos Fixos'!G22</f>
        <v>25.589692614886829</v>
      </c>
      <c r="AA16" s="10">
        <f>'Rateio Custos Fixos'!H22</f>
        <v>73.309730509685039</v>
      </c>
      <c r="AB16" s="10">
        <f>'Rateio Custos Fixos'!I22</f>
        <v>2.8432991794318698</v>
      </c>
      <c r="AC16" s="10">
        <f>'Rateio Custos Fixos'!J22</f>
        <v>14.21649589715935</v>
      </c>
      <c r="AD16" s="10">
        <f>'Rateio Custos Fixos'!K22</f>
        <v>18.95532786287913</v>
      </c>
      <c r="AE16" s="10">
        <f>'Rateio Custos Fixos'!L22</f>
        <v>36.721208902362598</v>
      </c>
      <c r="AF16" s="10">
        <f>'Rateio Custos Fixos'!M22</f>
        <v>6.6343647520076958</v>
      </c>
      <c r="AG16" s="10">
        <f>'Rateio Custos Fixos'!N22</f>
        <v>73.907960657037506</v>
      </c>
      <c r="AH16" s="10">
        <f>'Rateio Custos Fixos'!O22</f>
        <v>0</v>
      </c>
      <c r="AI16" s="10">
        <f>'Rateio Custos Fixos'!P22</f>
        <v>35.870588564515899</v>
      </c>
      <c r="AJ16" s="10">
        <f>'Rateio Custos Fixos'!Q22</f>
        <v>10.662371922869511</v>
      </c>
      <c r="AK16" s="10">
        <f>'Rateio Custos Fixos'!R22</f>
        <v>5.5657581437378854</v>
      </c>
      <c r="AL16" s="10">
        <f>'Rateio Custos Fixos'!S22</f>
        <v>13.553059421958579</v>
      </c>
      <c r="AM16" s="10">
        <f>'Rateio Custos Fixos'!T22</f>
        <v>284.32991794318696</v>
      </c>
      <c r="AN16" s="10">
        <f>'Rateio Custos Fixos'!U22</f>
        <v>113.7319671772748</v>
      </c>
      <c r="AO16" s="10">
        <f>'Rateio Custos Fixos'!V22</f>
        <v>435.27582000000001</v>
      </c>
      <c r="AP16" s="10">
        <f t="shared" si="15"/>
        <v>1161.3323581154625</v>
      </c>
      <c r="AQ16" s="10">
        <f t="shared" si="16"/>
        <v>20730.967595285489</v>
      </c>
      <c r="AR16" s="10">
        <v>2605.3166170147401</v>
      </c>
      <c r="AS16" s="10">
        <f t="shared" si="17"/>
        <v>21031.411834692852</v>
      </c>
      <c r="AT16" s="10">
        <f t="shared" si="18"/>
        <v>6910.3225317618299</v>
      </c>
      <c r="AU16" s="10">
        <f t="shared" si="19"/>
        <v>7010.4706115642839</v>
      </c>
      <c r="AV16" s="10">
        <f t="shared" si="20"/>
        <v>6910.3225317618299</v>
      </c>
      <c r="AW16" s="10" t="e">
        <f>(AS16*#REF!)/'Est. Cust. Naci.'!H16</f>
        <v>#REF!</v>
      </c>
      <c r="AX16" s="10">
        <f t="shared" si="21"/>
        <v>7315.56</v>
      </c>
    </row>
    <row r="17" spans="2:50">
      <c r="B17">
        <f>'LISTA DE COMPRAS'!A16</f>
        <v>12</v>
      </c>
      <c r="C17" s="83" t="str">
        <f>'LISTA DE COMPRAS'!C16</f>
        <v>BLOCO MB 352 A C/ ESGUICHO</v>
      </c>
      <c r="G17" s="118">
        <f>'LISTA DE COMPRAS'!D16</f>
        <v>84099112</v>
      </c>
      <c r="H17" s="2">
        <f>'LISTA DE COMPRAS'!J16</f>
        <v>0</v>
      </c>
      <c r="I17" s="119">
        <f>'LISTA DE COMPRAS'!P16</f>
        <v>0</v>
      </c>
      <c r="J17" s="12">
        <f>'LISTA DE COMPRAS'!K16</f>
        <v>634.54</v>
      </c>
      <c r="K17" s="12">
        <f t="shared" si="5"/>
        <v>0</v>
      </c>
      <c r="L17" s="10">
        <f t="shared" si="6"/>
        <v>0</v>
      </c>
      <c r="M17" s="10">
        <f t="shared" si="7"/>
        <v>0</v>
      </c>
      <c r="N17" s="4">
        <f t="shared" si="8"/>
        <v>0</v>
      </c>
      <c r="O17" s="10">
        <f>'Rateio Custos Fixos'!E23</f>
        <v>721.19908830945474</v>
      </c>
      <c r="P17" s="10">
        <f t="shared" si="9"/>
        <v>721.19908830945474</v>
      </c>
      <c r="Q17" s="10">
        <f t="shared" si="10"/>
        <v>836.59094243896755</v>
      </c>
      <c r="R17" s="10">
        <f t="shared" si="3"/>
        <v>115.39185412951277</v>
      </c>
      <c r="S17" s="10">
        <f t="shared" si="11"/>
        <v>25.18138736741292</v>
      </c>
      <c r="T17" s="10">
        <f t="shared" si="12"/>
        <v>26.101637404095786</v>
      </c>
      <c r="U17" s="10">
        <f t="shared" si="12"/>
        <v>125.23766408311344</v>
      </c>
      <c r="V17" s="10">
        <f t="shared" si="4"/>
        <v>43.271945298567282</v>
      </c>
      <c r="W17" s="10">
        <f t="shared" si="13"/>
        <v>335.1844882827022</v>
      </c>
      <c r="X17" s="10">
        <f t="shared" si="14"/>
        <v>5842.8055909308023</v>
      </c>
      <c r="Y17" s="10">
        <f>'Rateio Custos Fixos'!F23</f>
        <v>7.9351025345790029</v>
      </c>
      <c r="Z17" s="10">
        <f>'Rateio Custos Fixos'!G23</f>
        <v>19.976481905233854</v>
      </c>
      <c r="AA17" s="10">
        <f>'Rateio Custos Fixos'!H23</f>
        <v>57.228921309994021</v>
      </c>
      <c r="AB17" s="10">
        <f>'Rateio Custos Fixos'!I23</f>
        <v>2.2196091005815393</v>
      </c>
      <c r="AC17" s="10">
        <f>'Rateio Custos Fixos'!J23</f>
        <v>11.098045502907697</v>
      </c>
      <c r="AD17" s="10">
        <f>'Rateio Custos Fixos'!K23</f>
        <v>14.79739400387693</v>
      </c>
      <c r="AE17" s="10">
        <f>'Rateio Custos Fixos'!L23</f>
        <v>28.666251534010581</v>
      </c>
      <c r="AF17" s="10">
        <f>'Rateio Custos Fixos'!M23</f>
        <v>5.1790879013569251</v>
      </c>
      <c r="AG17" s="10">
        <f>'Rateio Custos Fixos'!N23</f>
        <v>57.695927064756383</v>
      </c>
      <c r="AH17" s="10">
        <f>'Rateio Custos Fixos'!O23</f>
        <v>0</v>
      </c>
      <c r="AI17" s="10">
        <f>'Rateio Custos Fixos'!P23</f>
        <v>28.002218478086604</v>
      </c>
      <c r="AJ17" s="10">
        <f>'Rateio Custos Fixos'!Q23</f>
        <v>8.323534127180773</v>
      </c>
      <c r="AK17" s="10">
        <f>'Rateio Custos Fixos'!R23</f>
        <v>4.3448848143883634</v>
      </c>
      <c r="AL17" s="10">
        <f>'Rateio Custos Fixos'!S23</f>
        <v>10.580136712772005</v>
      </c>
      <c r="AM17" s="10">
        <f>'Rateio Custos Fixos'!T23</f>
        <v>221.96091005815393</v>
      </c>
      <c r="AN17" s="10">
        <f>'Rateio Custos Fixos'!U23</f>
        <v>88.784364023261574</v>
      </c>
      <c r="AO17" s="10">
        <f>'Rateio Custos Fixos'!V23</f>
        <v>0</v>
      </c>
      <c r="AP17" s="10">
        <f t="shared" si="15"/>
        <v>566.79286907114022</v>
      </c>
      <c r="AQ17" s="10">
        <f t="shared" si="16"/>
        <v>1623.1764456632973</v>
      </c>
      <c r="AR17" s="10">
        <v>2606.3166170147401</v>
      </c>
      <c r="AS17" s="10">
        <f t="shared" si="17"/>
        <v>7130.7975483113978</v>
      </c>
      <c r="AT17" s="10" t="e">
        <f t="shared" si="18"/>
        <v>#DIV/0!</v>
      </c>
      <c r="AU17" s="10" t="e">
        <f t="shared" si="19"/>
        <v>#DIV/0!</v>
      </c>
      <c r="AV17" s="10" t="e">
        <f t="shared" si="20"/>
        <v>#DIV/0!</v>
      </c>
      <c r="AW17" s="10" t="e">
        <f>(AS17*#REF!)/'Est. Cust. Naci.'!H17</f>
        <v>#REF!</v>
      </c>
      <c r="AX17" s="10">
        <f t="shared" si="21"/>
        <v>5710.86</v>
      </c>
    </row>
    <row r="18" spans="2:50">
      <c r="B18">
        <f>'LISTA DE COMPRAS'!A17</f>
        <v>13</v>
      </c>
      <c r="C18" s="83" t="str">
        <f>'LISTA DE COMPRAS'!C17</f>
        <v>BLOCO MB 366 A C/ ESGUICHO</v>
      </c>
      <c r="G18" s="118">
        <f>'LISTA DE COMPRAS'!D17</f>
        <v>84099112</v>
      </c>
      <c r="H18" s="2">
        <f>'LISTA DE COMPRAS'!J17</f>
        <v>0</v>
      </c>
      <c r="I18" s="119">
        <f>'LISTA DE COMPRAS'!P17</f>
        <v>0</v>
      </c>
      <c r="J18" s="12">
        <f>'LISTA DE COMPRAS'!K17</f>
        <v>634.54</v>
      </c>
      <c r="K18" s="12">
        <f t="shared" si="5"/>
        <v>0</v>
      </c>
      <c r="L18" s="10">
        <f t="shared" si="6"/>
        <v>0</v>
      </c>
      <c r="M18" s="10">
        <f t="shared" si="7"/>
        <v>0</v>
      </c>
      <c r="N18" s="4">
        <f t="shared" si="8"/>
        <v>0</v>
      </c>
      <c r="O18" s="10">
        <f>'Rateio Custos Fixos'!E24</f>
        <v>721.19908830945474</v>
      </c>
      <c r="P18" s="10">
        <f t="shared" si="9"/>
        <v>721.19908830945474</v>
      </c>
      <c r="Q18" s="10">
        <f t="shared" si="10"/>
        <v>836.59094243896755</v>
      </c>
      <c r="R18" s="10">
        <f t="shared" si="3"/>
        <v>115.39185412951277</v>
      </c>
      <c r="S18" s="10">
        <f t="shared" si="11"/>
        <v>25.18138736741292</v>
      </c>
      <c r="T18" s="10">
        <f t="shared" si="12"/>
        <v>26.101637404095786</v>
      </c>
      <c r="U18" s="10">
        <f t="shared" si="12"/>
        <v>125.23766408311344</v>
      </c>
      <c r="V18" s="10">
        <f t="shared" si="4"/>
        <v>43.271945298567282</v>
      </c>
      <c r="W18" s="10">
        <f t="shared" si="13"/>
        <v>335.1844882827022</v>
      </c>
      <c r="X18" s="10">
        <f t="shared" si="14"/>
        <v>4907.4086915251519</v>
      </c>
      <c r="Y18" s="10">
        <f>'Rateio Custos Fixos'!F24</f>
        <v>7.9351025345790029</v>
      </c>
      <c r="Z18" s="10">
        <f>'Rateio Custos Fixos'!G24</f>
        <v>19.976481905233854</v>
      </c>
      <c r="AA18" s="10">
        <f>'Rateio Custos Fixos'!H24</f>
        <v>57.228921309994021</v>
      </c>
      <c r="AB18" s="10">
        <f>'Rateio Custos Fixos'!I24</f>
        <v>2.2196091005815393</v>
      </c>
      <c r="AC18" s="10">
        <f>'Rateio Custos Fixos'!J24</f>
        <v>11.098045502907697</v>
      </c>
      <c r="AD18" s="10">
        <f>'Rateio Custos Fixos'!K24</f>
        <v>14.79739400387693</v>
      </c>
      <c r="AE18" s="10">
        <f>'Rateio Custos Fixos'!L24</f>
        <v>28.666251534010581</v>
      </c>
      <c r="AF18" s="10">
        <f>'Rateio Custos Fixos'!M24</f>
        <v>5.1790879013569251</v>
      </c>
      <c r="AG18" s="10">
        <f>'Rateio Custos Fixos'!N24</f>
        <v>57.695927064756383</v>
      </c>
      <c r="AH18" s="10">
        <f>'Rateio Custos Fixos'!O24</f>
        <v>0</v>
      </c>
      <c r="AI18" s="10">
        <f>'Rateio Custos Fixos'!P24</f>
        <v>28.002218478086604</v>
      </c>
      <c r="AJ18" s="10">
        <f>'Rateio Custos Fixos'!Q24</f>
        <v>8.323534127180773</v>
      </c>
      <c r="AK18" s="10">
        <f>'Rateio Custos Fixos'!R24</f>
        <v>4.3448848143883634</v>
      </c>
      <c r="AL18" s="10">
        <f>'Rateio Custos Fixos'!S24</f>
        <v>10.580136712772005</v>
      </c>
      <c r="AM18" s="10">
        <f>'Rateio Custos Fixos'!T24</f>
        <v>221.96091005815393</v>
      </c>
      <c r="AN18" s="10">
        <f>'Rateio Custos Fixos'!U24</f>
        <v>88.784364023261574</v>
      </c>
      <c r="AO18" s="10">
        <f>'Rateio Custos Fixos'!V24</f>
        <v>0</v>
      </c>
      <c r="AP18" s="10">
        <f t="shared" si="15"/>
        <v>566.79286907114022</v>
      </c>
      <c r="AQ18" s="10">
        <f t="shared" si="16"/>
        <v>1623.1764456632973</v>
      </c>
      <c r="AR18" s="10">
        <v>2607.3166170147401</v>
      </c>
      <c r="AS18" s="10">
        <f t="shared" si="17"/>
        <v>6195.4006489057474</v>
      </c>
      <c r="AT18" s="10" t="e">
        <f t="shared" si="18"/>
        <v>#DIV/0!</v>
      </c>
      <c r="AU18" s="10" t="e">
        <f t="shared" si="19"/>
        <v>#DIV/0!</v>
      </c>
      <c r="AV18" s="10" t="e">
        <f t="shared" si="20"/>
        <v>#DIV/0!</v>
      </c>
      <c r="AW18" s="10" t="e">
        <f>(AS18*#REF!)/'Est. Cust. Naci.'!H18</f>
        <v>#REF!</v>
      </c>
      <c r="AX18" s="10">
        <f t="shared" si="21"/>
        <v>5710.86</v>
      </c>
    </row>
    <row r="19" spans="2:50">
      <c r="B19">
        <f>'LISTA DE COMPRAS'!A18</f>
        <v>14</v>
      </c>
      <c r="C19" s="83" t="str">
        <f>'LISTA DE COMPRAS'!C18</f>
        <v>BLOCO CUMMINS 4BT</v>
      </c>
      <c r="G19" s="118">
        <f>'LISTA DE COMPRAS'!D18</f>
        <v>84099112</v>
      </c>
      <c r="H19" s="2">
        <f>'LISTA DE COMPRAS'!J18</f>
        <v>5</v>
      </c>
      <c r="I19" s="119">
        <f>'LISTA DE COMPRAS'!P18</f>
        <v>1.1764705882352941E-2</v>
      </c>
      <c r="J19" s="12">
        <f>'LISTA DE COMPRAS'!K18</f>
        <v>301.54000000000002</v>
      </c>
      <c r="K19" s="12">
        <f t="shared" si="5"/>
        <v>1507.7</v>
      </c>
      <c r="L19" s="10">
        <f t="shared" si="6"/>
        <v>7689.2699999999995</v>
      </c>
      <c r="M19" s="10">
        <f t="shared" si="7"/>
        <v>3844.6349999999998</v>
      </c>
      <c r="N19" s="4">
        <f t="shared" si="8"/>
        <v>0</v>
      </c>
      <c r="O19" s="10">
        <f>'Rateio Custos Fixos'!E25</f>
        <v>342.72129903368267</v>
      </c>
      <c r="P19" s="10">
        <f t="shared" si="9"/>
        <v>8031.9912990336825</v>
      </c>
      <c r="Q19" s="10">
        <f t="shared" si="10"/>
        <v>9317.1099068790718</v>
      </c>
      <c r="R19" s="10">
        <f t="shared" si="3"/>
        <v>1285.1186078453893</v>
      </c>
      <c r="S19" s="10">
        <f t="shared" si="11"/>
        <v>280.44500819706002</v>
      </c>
      <c r="T19" s="10">
        <f t="shared" si="12"/>
        <v>290.69382909462701</v>
      </c>
      <c r="U19" s="10">
        <f t="shared" si="12"/>
        <v>1394.7713530597971</v>
      </c>
      <c r="V19" s="10">
        <f t="shared" si="4"/>
        <v>481.91947794202093</v>
      </c>
      <c r="W19" s="10">
        <f t="shared" si="13"/>
        <v>3732.948276138894</v>
      </c>
      <c r="X19" s="10">
        <f t="shared" si="14"/>
        <v>2622.0485279366831</v>
      </c>
      <c r="Y19" s="10">
        <f>'Rateio Custos Fixos'!F25</f>
        <v>3.7708431592601772</v>
      </c>
      <c r="Z19" s="10">
        <f>'Rateio Custos Fixos'!G25</f>
        <v>9.4930317296060398</v>
      </c>
      <c r="AA19" s="10">
        <f>'Rateio Custos Fixos'!H25</f>
        <v>27.195777936482489</v>
      </c>
      <c r="AB19" s="10">
        <f>'Rateio Custos Fixos'!I25</f>
        <v>1.0547813032895601</v>
      </c>
      <c r="AC19" s="10">
        <f>'Rateio Custos Fixos'!J25</f>
        <v>5.2739065164478003</v>
      </c>
      <c r="AD19" s="10">
        <f>'Rateio Custos Fixos'!K25</f>
        <v>7.0318753552637334</v>
      </c>
      <c r="AE19" s="10">
        <f>'Rateio Custos Fixos'!L25</f>
        <v>13.622500531984668</v>
      </c>
      <c r="AF19" s="10">
        <f>'Rateio Custos Fixos'!M25</f>
        <v>2.4611563743423068</v>
      </c>
      <c r="AG19" s="10">
        <f>'Rateio Custos Fixos'!N25</f>
        <v>27.417703922694614</v>
      </c>
      <c r="AH19" s="10">
        <f>'Rateio Custos Fixos'!O25</f>
        <v>0</v>
      </c>
      <c r="AI19" s="10">
        <f>'Rateio Custos Fixos'!P25</f>
        <v>13.306945125417208</v>
      </c>
      <c r="AJ19" s="10">
        <f>'Rateio Custos Fixos'!Q25</f>
        <v>3.9554298873358502</v>
      </c>
      <c r="AK19" s="10">
        <f>'Rateio Custos Fixos'!R25</f>
        <v>2.0647344011893138</v>
      </c>
      <c r="AL19" s="10">
        <f>'Rateio Custos Fixos'!S25</f>
        <v>5.0277908790135699</v>
      </c>
      <c r="AM19" s="10">
        <f>'Rateio Custos Fixos'!T25</f>
        <v>105.478130328956</v>
      </c>
      <c r="AN19" s="10">
        <f>'Rateio Custos Fixos'!U25</f>
        <v>42.191252131582402</v>
      </c>
      <c r="AO19" s="10">
        <f>'Rateio Custos Fixos'!V25</f>
        <v>269.12445000000002</v>
      </c>
      <c r="AP19" s="10">
        <f t="shared" si="15"/>
        <v>538.47030958286575</v>
      </c>
      <c r="AQ19" s="10">
        <f t="shared" si="16"/>
        <v>12303.409884755441</v>
      </c>
      <c r="AR19" s="10">
        <v>2608.3166170147401</v>
      </c>
      <c r="AS19" s="10">
        <f t="shared" si="17"/>
        <v>11192.510136553232</v>
      </c>
      <c r="AT19" s="10">
        <f t="shared" si="18"/>
        <v>2460.6819769510885</v>
      </c>
      <c r="AU19" s="10">
        <f t="shared" si="19"/>
        <v>2238.5020273106466</v>
      </c>
      <c r="AV19" s="10">
        <f t="shared" si="20"/>
        <v>2460.6819769510885</v>
      </c>
      <c r="AW19" s="10" t="e">
        <f>(AS19*#REF!)/'Est. Cust. Naci.'!H19</f>
        <v>#REF!</v>
      </c>
      <c r="AX19" s="10">
        <f t="shared" si="21"/>
        <v>2713.86</v>
      </c>
    </row>
    <row r="20" spans="2:50">
      <c r="B20">
        <f>'LISTA DE COMPRAS'!A19</f>
        <v>15</v>
      </c>
      <c r="C20" s="83" t="str">
        <f>'LISTA DE COMPRAS'!C19</f>
        <v xml:space="preserve">BLOCO CUMMINS 6BT </v>
      </c>
      <c r="G20" s="118">
        <f>'LISTA DE COMPRAS'!D19</f>
        <v>84099112</v>
      </c>
      <c r="H20" s="2">
        <f>'LISTA DE COMPRAS'!J19</f>
        <v>5</v>
      </c>
      <c r="I20" s="119">
        <f>'LISTA DE COMPRAS'!P19</f>
        <v>1.1764705882352941E-2</v>
      </c>
      <c r="J20" s="12">
        <f>'LISTA DE COMPRAS'!K19</f>
        <v>360.53</v>
      </c>
      <c r="K20" s="12">
        <f t="shared" si="5"/>
        <v>1802.6499999999999</v>
      </c>
      <c r="L20" s="10">
        <f t="shared" si="6"/>
        <v>9193.5149999999994</v>
      </c>
      <c r="M20" s="10">
        <f t="shared" si="7"/>
        <v>4596.7574999999997</v>
      </c>
      <c r="N20" s="4">
        <f t="shared" si="8"/>
        <v>0</v>
      </c>
      <c r="O20" s="10">
        <f>'Rateio Custos Fixos'!E26</f>
        <v>409.76755966244474</v>
      </c>
      <c r="P20" s="10">
        <f t="shared" si="9"/>
        <v>9603.2825596624443</v>
      </c>
      <c r="Q20" s="10">
        <f t="shared" si="10"/>
        <v>11139.807769208435</v>
      </c>
      <c r="R20" s="10">
        <f t="shared" si="3"/>
        <v>1536.5252095459912</v>
      </c>
      <c r="S20" s="10">
        <f t="shared" si="11"/>
        <v>335.30821385317387</v>
      </c>
      <c r="T20" s="10">
        <f t="shared" si="12"/>
        <v>347.56200239930314</v>
      </c>
      <c r="U20" s="10">
        <f t="shared" si="12"/>
        <v>1667.6292230505028</v>
      </c>
      <c r="V20" s="10">
        <f t="shared" si="4"/>
        <v>576.19695357974661</v>
      </c>
      <c r="W20" s="10">
        <f t="shared" si="13"/>
        <v>4463.2216024287172</v>
      </c>
      <c r="X20" s="10">
        <f t="shared" si="14"/>
        <v>3762.0608054927584</v>
      </c>
      <c r="Y20" s="10">
        <f>'Rateio Custos Fixos'!F26</f>
        <v>4.508529827578668</v>
      </c>
      <c r="Z20" s="10">
        <f>'Rateio Custos Fixos'!G26</f>
        <v>11.350145020477765</v>
      </c>
      <c r="AA20" s="10">
        <f>'Rateio Custos Fixos'!H26</f>
        <v>32.516063604961303</v>
      </c>
      <c r="AB20" s="10">
        <f>'Rateio Custos Fixos'!I26</f>
        <v>1.2611272244975296</v>
      </c>
      <c r="AC20" s="10">
        <f>'Rateio Custos Fixos'!J26</f>
        <v>6.3056361224876474</v>
      </c>
      <c r="AD20" s="10">
        <f>'Rateio Custos Fixos'!K26</f>
        <v>8.4075148299835298</v>
      </c>
      <c r="AE20" s="10">
        <f>'Rateio Custos Fixos'!L26</f>
        <v>16.287458104385593</v>
      </c>
      <c r="AF20" s="10">
        <f>'Rateio Custos Fixos'!M26</f>
        <v>2.9426301904942354</v>
      </c>
      <c r="AG20" s="10">
        <f>'Rateio Custos Fixos'!N26</f>
        <v>32.781404772995579</v>
      </c>
      <c r="AH20" s="10">
        <f>'Rateio Custos Fixos'!O26</f>
        <v>0</v>
      </c>
      <c r="AI20" s="10">
        <f>'Rateio Custos Fixos'!P26</f>
        <v>15.910170876390083</v>
      </c>
      <c r="AJ20" s="10">
        <f>'Rateio Custos Fixos'!Q26</f>
        <v>4.7292270918657353</v>
      </c>
      <c r="AK20" s="10">
        <f>'Rateio Custos Fixos'!R26</f>
        <v>2.4686565419539139</v>
      </c>
      <c r="AL20" s="10">
        <f>'Rateio Custos Fixos'!S26</f>
        <v>6.0113731034382241</v>
      </c>
      <c r="AM20" s="10">
        <f>'Rateio Custos Fixos'!T26</f>
        <v>126.11272244975295</v>
      </c>
      <c r="AN20" s="10">
        <f>'Rateio Custos Fixos'!U26</f>
        <v>50.445088979901179</v>
      </c>
      <c r="AO20" s="10">
        <f>'Rateio Custos Fixos'!V26</f>
        <v>321.77302500000002</v>
      </c>
      <c r="AP20" s="10">
        <f t="shared" si="15"/>
        <v>643.81077374116398</v>
      </c>
      <c r="AQ20" s="10">
        <f t="shared" si="16"/>
        <v>14710.314935832324</v>
      </c>
      <c r="AR20" s="10">
        <v>2609.3166170147401</v>
      </c>
      <c r="AS20" s="10">
        <f t="shared" si="17"/>
        <v>14009.154138896367</v>
      </c>
      <c r="AT20" s="10">
        <f t="shared" si="18"/>
        <v>2942.0629871664651</v>
      </c>
      <c r="AU20" s="10">
        <f t="shared" si="19"/>
        <v>2801.8308277792735</v>
      </c>
      <c r="AV20" s="10">
        <f t="shared" si="20"/>
        <v>2942.0629871664651</v>
      </c>
      <c r="AW20" s="10" t="e">
        <f>(AS20*#REF!)/'Est. Cust. Naci.'!H20</f>
        <v>#REF!</v>
      </c>
      <c r="AX20" s="10">
        <f t="shared" si="21"/>
        <v>3244.7699999999995</v>
      </c>
    </row>
    <row r="21" spans="2:50">
      <c r="B21">
        <f>'LISTA DE COMPRAS'!A20</f>
        <v>16</v>
      </c>
      <c r="C21" s="83" t="str">
        <f>'LISTA DE COMPRAS'!C20</f>
        <v>BLOCO CUMMINS ISB 5.9</v>
      </c>
      <c r="G21" s="118">
        <f>'LISTA DE COMPRAS'!D20</f>
        <v>84099112</v>
      </c>
      <c r="H21" s="2">
        <f>'LISTA DE COMPRAS'!J20</f>
        <v>3</v>
      </c>
      <c r="I21" s="119">
        <f>'LISTA DE COMPRAS'!P20</f>
        <v>7.058823529411765E-3</v>
      </c>
      <c r="J21" s="12">
        <f>'LISTA DE COMPRAS'!K20</f>
        <v>852.17</v>
      </c>
      <c r="K21" s="12">
        <f t="shared" si="5"/>
        <v>2556.5099999999998</v>
      </c>
      <c r="L21" s="10">
        <f t="shared" si="6"/>
        <v>13038.200999999997</v>
      </c>
      <c r="M21" s="10">
        <f t="shared" si="7"/>
        <v>6519.1004999999986</v>
      </c>
      <c r="N21" s="4">
        <f t="shared" si="8"/>
        <v>0</v>
      </c>
      <c r="O21" s="10">
        <f>'Rateio Custos Fixos'!E27</f>
        <v>968.55080386526936</v>
      </c>
      <c r="P21" s="10">
        <f t="shared" si="9"/>
        <v>14006.751803865267</v>
      </c>
      <c r="Q21" s="10">
        <f t="shared" si="10"/>
        <v>16247.83209248371</v>
      </c>
      <c r="R21" s="10">
        <f t="shared" si="3"/>
        <v>2241.0802886184429</v>
      </c>
      <c r="S21" s="10">
        <f t="shared" si="11"/>
        <v>489.05974598375963</v>
      </c>
      <c r="T21" s="10">
        <f t="shared" si="12"/>
        <v>506.93236128549171</v>
      </c>
      <c r="U21" s="10">
        <f t="shared" si="12"/>
        <v>2432.3004642448113</v>
      </c>
      <c r="V21" s="10">
        <f t="shared" si="4"/>
        <v>840.40510823191596</v>
      </c>
      <c r="W21" s="10">
        <f t="shared" si="13"/>
        <v>6509.7779683644212</v>
      </c>
      <c r="X21" s="10">
        <f t="shared" si="14"/>
        <v>4807.2606117226978</v>
      </c>
      <c r="Y21" s="10">
        <f>'Rateio Custos Fixos'!F27</f>
        <v>10.656627362959291</v>
      </c>
      <c r="Z21" s="10">
        <f>'Rateio Custos Fixos'!G27</f>
        <v>26.827873081575838</v>
      </c>
      <c r="AA21" s="10">
        <f>'Rateio Custos Fixos'!H27</f>
        <v>76.856888254070043</v>
      </c>
      <c r="AB21" s="10">
        <f>'Rateio Custos Fixos'!I27</f>
        <v>2.9808747868417598</v>
      </c>
      <c r="AC21" s="10">
        <f>'Rateio Custos Fixos'!J27</f>
        <v>14.904373934208801</v>
      </c>
      <c r="AD21" s="10">
        <f>'Rateio Custos Fixos'!K27</f>
        <v>19.872498578945066</v>
      </c>
      <c r="AE21" s="10">
        <f>'Rateio Custos Fixos'!L27</f>
        <v>38.497997872061326</v>
      </c>
      <c r="AF21" s="10">
        <f>'Rateio Custos Fixos'!M27</f>
        <v>6.9553745026307734</v>
      </c>
      <c r="AG21" s="10">
        <f>'Rateio Custos Fixos'!N27</f>
        <v>77.484064309221552</v>
      </c>
      <c r="AH21" s="10">
        <f>'Rateio Custos Fixos'!O27</f>
        <v>0</v>
      </c>
      <c r="AI21" s="10">
        <f>'Rateio Custos Fixos'!P27</f>
        <v>37.606219498331171</v>
      </c>
      <c r="AJ21" s="10">
        <f>'Rateio Custos Fixos'!Q27</f>
        <v>11.178280450656599</v>
      </c>
      <c r="AK21" s="10">
        <f>'Rateio Custos Fixos'!R27</f>
        <v>5.8350623952427449</v>
      </c>
      <c r="AL21" s="10">
        <f>'Rateio Custos Fixos'!S27</f>
        <v>14.208836483945722</v>
      </c>
      <c r="AM21" s="10">
        <f>'Rateio Custos Fixos'!T27</f>
        <v>298.08747868417601</v>
      </c>
      <c r="AN21" s="10">
        <f>'Rateio Custos Fixos'!U27</f>
        <v>119.23499147367041</v>
      </c>
      <c r="AO21" s="10">
        <f>'Rateio Custos Fixos'!V27</f>
        <v>456.33703499999996</v>
      </c>
      <c r="AP21" s="10">
        <f t="shared" si="15"/>
        <v>1217.5244766685371</v>
      </c>
      <c r="AQ21" s="10">
        <f t="shared" si="16"/>
        <v>21734.054248898225</v>
      </c>
      <c r="AR21" s="10">
        <v>2610.3166170147401</v>
      </c>
      <c r="AS21" s="10">
        <f t="shared" si="17"/>
        <v>20031.536892256503</v>
      </c>
      <c r="AT21" s="10">
        <f t="shared" si="18"/>
        <v>7244.6847496327418</v>
      </c>
      <c r="AU21" s="10">
        <f t="shared" si="19"/>
        <v>6677.1789640855013</v>
      </c>
      <c r="AV21" s="10">
        <f t="shared" si="20"/>
        <v>7244.6847496327418</v>
      </c>
      <c r="AW21" s="10" t="e">
        <f>(AS21*#REF!)/'Est. Cust. Naci.'!H21</f>
        <v>#REF!</v>
      </c>
      <c r="AX21" s="10">
        <f t="shared" si="21"/>
        <v>7669.53</v>
      </c>
    </row>
    <row r="22" spans="2:50">
      <c r="B22">
        <f>'LISTA DE COMPRAS'!A21</f>
        <v>17</v>
      </c>
      <c r="C22" s="83" t="str">
        <f>'LISTA DE COMPRAS'!C21</f>
        <v>BLOCO CUMMINS ISB 6.7</v>
      </c>
      <c r="G22" s="118">
        <f>'LISTA DE COMPRAS'!D21</f>
        <v>84099112</v>
      </c>
      <c r="H22" s="2">
        <f>'LISTA DE COMPRAS'!J21</f>
        <v>5</v>
      </c>
      <c r="I22" s="119">
        <f>'LISTA DE COMPRAS'!P21</f>
        <v>1.1764705882352941E-2</v>
      </c>
      <c r="J22" s="12">
        <f>'LISTA DE COMPRAS'!K21</f>
        <v>471.97</v>
      </c>
      <c r="K22" s="12">
        <f t="shared" si="5"/>
        <v>2359.8500000000004</v>
      </c>
      <c r="L22" s="10">
        <f t="shared" si="6"/>
        <v>12035.235000000001</v>
      </c>
      <c r="M22" s="10">
        <f t="shared" si="7"/>
        <v>6017.6175000000003</v>
      </c>
      <c r="N22" s="4">
        <f t="shared" si="8"/>
        <v>0</v>
      </c>
      <c r="O22" s="10">
        <f>'Rateio Custos Fixos'!E28</f>
        <v>536.42691352698546</v>
      </c>
      <c r="P22" s="10">
        <f t="shared" si="9"/>
        <v>12571.661913526987</v>
      </c>
      <c r="Q22" s="10">
        <f t="shared" si="10"/>
        <v>14583.127819691304</v>
      </c>
      <c r="R22" s="10">
        <f t="shared" si="3"/>
        <v>2011.4659061643179</v>
      </c>
      <c r="S22" s="10">
        <f t="shared" si="11"/>
        <v>438.95214737270823</v>
      </c>
      <c r="T22" s="10">
        <f t="shared" si="12"/>
        <v>454.99358797436867</v>
      </c>
      <c r="U22" s="10">
        <f t="shared" si="12"/>
        <v>2183.0942346077882</v>
      </c>
      <c r="V22" s="10">
        <f t="shared" ref="V22:V58" si="22">$P22*V$5</f>
        <v>754.2997148116192</v>
      </c>
      <c r="W22" s="10">
        <f t="shared" si="13"/>
        <v>5842.8055909308023</v>
      </c>
      <c r="X22" s="10">
        <f t="shared" si="14"/>
        <v>6910.4466781766832</v>
      </c>
      <c r="Y22" s="10">
        <f>'Rateio Custos Fixos'!F28</f>
        <v>5.9021186107183983</v>
      </c>
      <c r="Z22" s="10">
        <f>'Rateio Custos Fixos'!G28</f>
        <v>14.858480418591771</v>
      </c>
      <c r="AA22" s="10">
        <f>'Rateio Custos Fixos'!H28</f>
        <v>42.566794828817535</v>
      </c>
      <c r="AB22" s="10">
        <f>'Rateio Custos Fixos'!I28</f>
        <v>1.6509422687324191</v>
      </c>
      <c r="AC22" s="10">
        <f>'Rateio Custos Fixos'!J28</f>
        <v>8.2547113436620947</v>
      </c>
      <c r="AD22" s="10">
        <f>'Rateio Custos Fixos'!K28</f>
        <v>11.00628179154946</v>
      </c>
      <c r="AE22" s="10">
        <f>'Rateio Custos Fixos'!L28</f>
        <v>21.321919400679192</v>
      </c>
      <c r="AF22" s="10">
        <f>'Rateio Custos Fixos'!M28</f>
        <v>3.852198627042311</v>
      </c>
      <c r="AG22" s="10">
        <f>'Rateio Custos Fixos'!N28</f>
        <v>42.91415308215884</v>
      </c>
      <c r="AH22" s="10">
        <f>'Rateio Custos Fixos'!O28</f>
        <v>0</v>
      </c>
      <c r="AI22" s="10">
        <f>'Rateio Custos Fixos'!P28</f>
        <v>20.828012505283411</v>
      </c>
      <c r="AJ22" s="10">
        <f>'Rateio Custos Fixos'!Q28</f>
        <v>6.1910335077465719</v>
      </c>
      <c r="AK22" s="10">
        <f>'Rateio Custos Fixos'!R28</f>
        <v>3.2317194910437106</v>
      </c>
      <c r="AL22" s="10">
        <f>'Rateio Custos Fixos'!S28</f>
        <v>7.8694914809578638</v>
      </c>
      <c r="AM22" s="10">
        <f>'Rateio Custos Fixos'!T28</f>
        <v>165.09422687324189</v>
      </c>
      <c r="AN22" s="10">
        <f>'Rateio Custos Fixos'!U28</f>
        <v>66.037690749296758</v>
      </c>
      <c r="AO22" s="10">
        <f>'Rateio Custos Fixos'!V28</f>
        <v>421.23322500000006</v>
      </c>
      <c r="AP22" s="10">
        <f t="shared" si="15"/>
        <v>842.81299997952237</v>
      </c>
      <c r="AQ22" s="10">
        <f t="shared" si="16"/>
        <v>19257.280504437309</v>
      </c>
      <c r="AR22" s="10">
        <v>2611.3166170147401</v>
      </c>
      <c r="AS22" s="10">
        <f t="shared" si="17"/>
        <v>20324.921591683193</v>
      </c>
      <c r="AT22" s="10">
        <f t="shared" si="18"/>
        <v>3851.4561008874616</v>
      </c>
      <c r="AU22" s="10">
        <f t="shared" si="19"/>
        <v>4064.9843183366384</v>
      </c>
      <c r="AV22" s="10">
        <f t="shared" si="20"/>
        <v>3851.4561008874616</v>
      </c>
      <c r="AW22" s="10" t="e">
        <f>(AS22*#REF!)/'Est. Cust. Naci.'!H22</f>
        <v>#REF!</v>
      </c>
      <c r="AX22" s="10">
        <f t="shared" si="21"/>
        <v>4247.7300000000005</v>
      </c>
    </row>
    <row r="23" spans="2:50">
      <c r="B23">
        <f>'LISTA DE COMPRAS'!A22</f>
        <v>18</v>
      </c>
      <c r="C23" s="83" t="str">
        <f>'LISTA DE COMPRAS'!C22</f>
        <v>BLOCO CUMMINS ISC 8.3/8.9</v>
      </c>
      <c r="G23" s="118">
        <f>'LISTA DE COMPRAS'!D22</f>
        <v>84099112</v>
      </c>
      <c r="H23" s="2">
        <f>'LISTA DE COMPRAS'!J22</f>
        <v>3</v>
      </c>
      <c r="I23" s="119">
        <f>'LISTA DE COMPRAS'!P22</f>
        <v>7.058823529411765E-3</v>
      </c>
      <c r="J23" s="12">
        <f>'LISTA DE COMPRAS'!K22</f>
        <v>642.41</v>
      </c>
      <c r="K23" s="12">
        <f t="shared" si="5"/>
        <v>1927.23</v>
      </c>
      <c r="L23" s="10">
        <f t="shared" si="6"/>
        <v>9828.8729999999996</v>
      </c>
      <c r="M23" s="10">
        <f t="shared" si="7"/>
        <v>4914.4364999999998</v>
      </c>
      <c r="N23" s="4">
        <f t="shared" si="8"/>
        <v>0</v>
      </c>
      <c r="O23" s="10">
        <f>'Rateio Custos Fixos'!E29</f>
        <v>730.14389371966581</v>
      </c>
      <c r="P23" s="10">
        <f t="shared" si="9"/>
        <v>10559.016893719665</v>
      </c>
      <c r="Q23" s="10">
        <f t="shared" si="10"/>
        <v>12248.459596714811</v>
      </c>
      <c r="R23" s="10">
        <f t="shared" si="3"/>
        <v>1689.4427029951464</v>
      </c>
      <c r="S23" s="10">
        <f t="shared" si="11"/>
        <v>368.67863386111577</v>
      </c>
      <c r="T23" s="10">
        <f t="shared" si="12"/>
        <v>382.15193941750209</v>
      </c>
      <c r="U23" s="10">
        <f t="shared" si="12"/>
        <v>1833.5944016282072</v>
      </c>
      <c r="V23" s="10">
        <f t="shared" si="22"/>
        <v>633.54101362317988</v>
      </c>
      <c r="W23" s="10">
        <f t="shared" si="13"/>
        <v>4907.4086915251519</v>
      </c>
      <c r="X23" s="10">
        <f t="shared" si="14"/>
        <v>18321.826121528036</v>
      </c>
      <c r="Y23" s="10">
        <f>'Rateio Custos Fixos'!F29</f>
        <v>8.0335191150107121</v>
      </c>
      <c r="Z23" s="10">
        <f>'Rateio Custos Fixos'!G29</f>
        <v>20.224243925901092</v>
      </c>
      <c r="AA23" s="10">
        <f>'Rateio Custos Fixos'!H29</f>
        <v>57.938713617349983</v>
      </c>
      <c r="AB23" s="10">
        <f>'Rateio Custos Fixos'!I29</f>
        <v>2.2471382139890101</v>
      </c>
      <c r="AC23" s="10">
        <f>'Rateio Custos Fixos'!J29</f>
        <v>11.235691069945052</v>
      </c>
      <c r="AD23" s="10">
        <f>'Rateio Custos Fixos'!K29</f>
        <v>14.980921426593403</v>
      </c>
      <c r="AE23" s="10">
        <f>'Rateio Custos Fixos'!L29</f>
        <v>29.021790033668069</v>
      </c>
      <c r="AF23" s="10">
        <f>'Rateio Custos Fixos'!M29</f>
        <v>5.2433224993076903</v>
      </c>
      <c r="AG23" s="10">
        <f>'Rateio Custos Fixos'!N29</f>
        <v>58.411511497573265</v>
      </c>
      <c r="AH23" s="10">
        <f>'Rateio Custos Fixos'!O29</f>
        <v>0</v>
      </c>
      <c r="AI23" s="10">
        <f>'Rateio Custos Fixos'!P29</f>
        <v>28.349521184649692</v>
      </c>
      <c r="AJ23" s="10">
        <f>'Rateio Custos Fixos'!Q29</f>
        <v>8.4267683024587878</v>
      </c>
      <c r="AK23" s="10">
        <f>'Rateio Custos Fixos'!R29</f>
        <v>4.3987730538834882</v>
      </c>
      <c r="AL23" s="10">
        <f>'Rateio Custos Fixos'!S29</f>
        <v>10.711358820014283</v>
      </c>
      <c r="AM23" s="10">
        <f>'Rateio Custos Fixos'!T29</f>
        <v>224.71382139890102</v>
      </c>
      <c r="AN23" s="10">
        <f>'Rateio Custos Fixos'!U29</f>
        <v>89.885528559560413</v>
      </c>
      <c r="AO23" s="10">
        <f>'Rateio Custos Fixos'!V29</f>
        <v>344.01055500000001</v>
      </c>
      <c r="AP23" s="10">
        <f t="shared" si="15"/>
        <v>917.83317771880593</v>
      </c>
      <c r="AQ23" s="10">
        <f t="shared" si="16"/>
        <v>16384.258762963622</v>
      </c>
      <c r="AR23" s="10">
        <v>2612.3166170147401</v>
      </c>
      <c r="AS23" s="10">
        <f t="shared" si="17"/>
        <v>29798.676192966508</v>
      </c>
      <c r="AT23" s="10">
        <f t="shared" si="18"/>
        <v>5461.4195876545409</v>
      </c>
      <c r="AU23" s="10">
        <f t="shared" si="19"/>
        <v>9932.89206432217</v>
      </c>
      <c r="AV23" s="10">
        <f t="shared" si="20"/>
        <v>5461.4195876545409</v>
      </c>
      <c r="AW23" s="10" t="e">
        <f>(AS23*#REF!)/'Est. Cust. Naci.'!H23</f>
        <v>#REF!</v>
      </c>
      <c r="AX23" s="10">
        <f t="shared" si="21"/>
        <v>5781.69</v>
      </c>
    </row>
    <row r="24" spans="2:50">
      <c r="B24">
        <f>'LISTA DE COMPRAS'!A23</f>
        <v>19</v>
      </c>
      <c r="C24" s="83" t="str">
        <f>'LISTA DE COMPRAS'!C23</f>
        <v>BLOCO MB 924</v>
      </c>
      <c r="G24" s="118">
        <f>'LISTA DE COMPRAS'!D23</f>
        <v>84099112</v>
      </c>
      <c r="H24" s="2">
        <f>'LISTA DE COMPRAS'!J23</f>
        <v>1</v>
      </c>
      <c r="I24" s="119">
        <f>'LISTA DE COMPRAS'!P23</f>
        <v>2.352941176470588E-3</v>
      </c>
      <c r="J24" s="12">
        <f>'LISTA DE COMPRAS'!K23</f>
        <v>904.62</v>
      </c>
      <c r="K24" s="12">
        <f t="shared" si="5"/>
        <v>904.62</v>
      </c>
      <c r="L24" s="10">
        <f t="shared" si="6"/>
        <v>4613.5619999999999</v>
      </c>
      <c r="M24" s="10">
        <f t="shared" si="7"/>
        <v>2306.7809999999999</v>
      </c>
      <c r="N24" s="4">
        <f t="shared" si="8"/>
        <v>0</v>
      </c>
      <c r="O24" s="10">
        <f>'Rateio Custos Fixos'!E30</f>
        <v>1028.163897101048</v>
      </c>
      <c r="P24" s="10">
        <f t="shared" si="9"/>
        <v>5641.7258971010478</v>
      </c>
      <c r="Q24" s="10">
        <f t="shared" si="10"/>
        <v>6544.4020406372156</v>
      </c>
      <c r="R24" s="10">
        <f t="shared" si="3"/>
        <v>902.67614353616773</v>
      </c>
      <c r="S24" s="10">
        <f t="shared" si="11"/>
        <v>196.98650142318019</v>
      </c>
      <c r="T24" s="10">
        <f t="shared" si="12"/>
        <v>204.18534366788111</v>
      </c>
      <c r="U24" s="10">
        <f t="shared" si="12"/>
        <v>979.69698548339113</v>
      </c>
      <c r="V24" s="10">
        <f t="shared" si="22"/>
        <v>338.50355382606284</v>
      </c>
      <c r="W24" s="10">
        <f t="shared" si="13"/>
        <v>2622.0485279366831</v>
      </c>
      <c r="X24" s="10">
        <f t="shared" si="14"/>
        <v>19683.583468398363</v>
      </c>
      <c r="Y24" s="10">
        <f>'Rateio Custos Fixos'!F30</f>
        <v>11.312529477780531</v>
      </c>
      <c r="Z24" s="10">
        <f>'Rateio Custos Fixos'!G30</f>
        <v>28.479095188818121</v>
      </c>
      <c r="AA24" s="10">
        <f>'Rateio Custos Fixos'!H30</f>
        <v>81.587333809447472</v>
      </c>
      <c r="AB24" s="10">
        <f>'Rateio Custos Fixos'!I30</f>
        <v>3.1643439098686801</v>
      </c>
      <c r="AC24" s="10">
        <f>'Rateio Custos Fixos'!J30</f>
        <v>15.821719549343401</v>
      </c>
      <c r="AD24" s="10">
        <f>'Rateio Custos Fixos'!K30</f>
        <v>21.095626065791201</v>
      </c>
      <c r="AE24" s="10">
        <f>'Rateio Custos Fixos'!L30</f>
        <v>40.867501595954003</v>
      </c>
      <c r="AF24" s="10">
        <f>'Rateio Custos Fixos'!M30</f>
        <v>7.38346912302692</v>
      </c>
      <c r="AG24" s="10">
        <f>'Rateio Custos Fixos'!N30</f>
        <v>82.253111768083841</v>
      </c>
      <c r="AH24" s="10">
        <f>'Rateio Custos Fixos'!O30</f>
        <v>0</v>
      </c>
      <c r="AI24" s="10">
        <f>'Rateio Custos Fixos'!P30</f>
        <v>39.920835376251624</v>
      </c>
      <c r="AJ24" s="10">
        <f>'Rateio Custos Fixos'!Q30</f>
        <v>11.866289662007551</v>
      </c>
      <c r="AK24" s="10">
        <f>'Rateio Custos Fixos'!R30</f>
        <v>6.194203203567942</v>
      </c>
      <c r="AL24" s="10">
        <f>'Rateio Custos Fixos'!S30</f>
        <v>15.083372637040709</v>
      </c>
      <c r="AM24" s="10">
        <f>'Rateio Custos Fixos'!T30</f>
        <v>316.43439098686804</v>
      </c>
      <c r="AN24" s="10">
        <f>'Rateio Custos Fixos'!U30</f>
        <v>126.57375639474721</v>
      </c>
      <c r="AO24" s="10">
        <f>'Rateio Custos Fixos'!V30</f>
        <v>161.47467</v>
      </c>
      <c r="AP24" s="10">
        <f t="shared" si="15"/>
        <v>969.51224874859713</v>
      </c>
      <c r="AQ24" s="10">
        <f t="shared" si="16"/>
        <v>9233.2866737863278</v>
      </c>
      <c r="AR24" s="10">
        <v>2613.3166170147401</v>
      </c>
      <c r="AS24" s="10">
        <f t="shared" si="17"/>
        <v>26294.821614248009</v>
      </c>
      <c r="AT24" s="10">
        <f t="shared" si="18"/>
        <v>9233.2866737863278</v>
      </c>
      <c r="AU24" s="10">
        <f t="shared" si="19"/>
        <v>26294.821614248009</v>
      </c>
      <c r="AV24" s="10">
        <f t="shared" si="20"/>
        <v>9233.2866737863278</v>
      </c>
      <c r="AW24" s="10" t="e">
        <f>(AS24*#REF!)/'Est. Cust. Naci.'!H24</f>
        <v>#REF!</v>
      </c>
      <c r="AX24" s="10">
        <f t="shared" si="21"/>
        <v>8141.58</v>
      </c>
    </row>
    <row r="25" spans="2:50">
      <c r="B25">
        <f>'LISTA DE COMPRAS'!A24</f>
        <v>20</v>
      </c>
      <c r="C25" s="83" t="str">
        <f>'LISTA DE COMPRAS'!C24</f>
        <v>BLOCO MB 926</v>
      </c>
      <c r="G25" s="118">
        <f>'LISTA DE COMPRAS'!D24</f>
        <v>84099112</v>
      </c>
      <c r="H25" s="2">
        <f>'LISTA DE COMPRAS'!J24</f>
        <v>1</v>
      </c>
      <c r="I25" s="119">
        <f>'LISTA DE COMPRAS'!P24</f>
        <v>2.352941176470588E-3</v>
      </c>
      <c r="J25" s="12">
        <f>'LISTA DE COMPRAS'!K24</f>
        <v>1297.93</v>
      </c>
      <c r="K25" s="12">
        <f t="shared" si="5"/>
        <v>1297.93</v>
      </c>
      <c r="L25" s="10">
        <f t="shared" si="6"/>
        <v>6619.4430000000002</v>
      </c>
      <c r="M25" s="10">
        <f t="shared" si="7"/>
        <v>3309.7215000000001</v>
      </c>
      <c r="N25" s="4">
        <f t="shared" si="8"/>
        <v>0</v>
      </c>
      <c r="O25" s="10">
        <f>'Rateio Custos Fixos'!E31</f>
        <v>1475.1882193234321</v>
      </c>
      <c r="P25" s="10">
        <f t="shared" si="9"/>
        <v>8094.6312193234326</v>
      </c>
      <c r="Q25" s="10">
        <f t="shared" si="10"/>
        <v>9389.7722144151812</v>
      </c>
      <c r="R25" s="10">
        <f t="shared" si="3"/>
        <v>1295.1409950917493</v>
      </c>
      <c r="S25" s="10">
        <f t="shared" si="11"/>
        <v>282.63214365389695</v>
      </c>
      <c r="T25" s="10">
        <f t="shared" si="12"/>
        <v>292.96089308975365</v>
      </c>
      <c r="U25" s="10">
        <f t="shared" si="12"/>
        <v>1405.6489004979526</v>
      </c>
      <c r="V25" s="10">
        <f t="shared" si="22"/>
        <v>485.67787315940592</v>
      </c>
      <c r="W25" s="10">
        <f t="shared" si="13"/>
        <v>3762.0608054927584</v>
      </c>
      <c r="X25" s="10">
        <f t="shared" si="14"/>
        <v>0</v>
      </c>
      <c r="Y25" s="10">
        <f>'Rateio Custos Fixos'!F31</f>
        <v>16.230982495518212</v>
      </c>
      <c r="Z25" s="10">
        <f>'Rateio Custos Fixos'!G31</f>
        <v>40.861214674031864</v>
      </c>
      <c r="AA25" s="10">
        <f>'Rateio Custos Fixos'!H31</f>
        <v>117.05981314949499</v>
      </c>
      <c r="AB25" s="10">
        <f>'Rateio Custos Fixos'!I31</f>
        <v>4.540134963781318</v>
      </c>
      <c r="AC25" s="10">
        <f>'Rateio Custos Fixos'!J31</f>
        <v>22.700674818906588</v>
      </c>
      <c r="AD25" s="10">
        <f>'Rateio Custos Fixos'!K31</f>
        <v>30.267566425208788</v>
      </c>
      <c r="AE25" s="10">
        <f>'Rateio Custos Fixos'!L31</f>
        <v>58.635843057235718</v>
      </c>
      <c r="AF25" s="10">
        <f>'Rateio Custos Fixos'!M31</f>
        <v>10.593648248823076</v>
      </c>
      <c r="AG25" s="10">
        <f>'Rateio Custos Fixos'!N31</f>
        <v>118.01505754587457</v>
      </c>
      <c r="AH25" s="10">
        <f>'Rateio Custos Fixos'!O31</f>
        <v>0</v>
      </c>
      <c r="AI25" s="10">
        <f>'Rateio Custos Fixos'!P31</f>
        <v>57.277586013904482</v>
      </c>
      <c r="AJ25" s="10">
        <f>'Rateio Custos Fixos'!Q31</f>
        <v>17.025506114179944</v>
      </c>
      <c r="AK25" s="10">
        <f>'Rateio Custos Fixos'!R31</f>
        <v>8.8873141916019307</v>
      </c>
      <c r="AL25" s="10">
        <f>'Rateio Custos Fixos'!S31</f>
        <v>21.641309994024283</v>
      </c>
      <c r="AM25" s="10">
        <f>'Rateio Custos Fixos'!T31</f>
        <v>454.01349637813178</v>
      </c>
      <c r="AN25" s="10">
        <f>'Rateio Custos Fixos'!U31</f>
        <v>181.6053985512527</v>
      </c>
      <c r="AO25" s="10">
        <f>'Rateio Custos Fixos'!V31</f>
        <v>231.68050500000004</v>
      </c>
      <c r="AP25" s="10">
        <f t="shared" si="15"/>
        <v>1391.0360516219703</v>
      </c>
      <c r="AQ25" s="10">
        <f t="shared" si="16"/>
        <v>13247.728076438161</v>
      </c>
      <c r="AR25" s="10">
        <v>2614.3166170147401</v>
      </c>
      <c r="AS25" s="10">
        <f t="shared" si="17"/>
        <v>9485.6672709454033</v>
      </c>
      <c r="AT25" s="10">
        <f t="shared" si="18"/>
        <v>13247.728076438161</v>
      </c>
      <c r="AU25" s="10">
        <f t="shared" si="19"/>
        <v>9485.6672709454033</v>
      </c>
      <c r="AV25" s="10">
        <f t="shared" si="20"/>
        <v>13247.728076438161</v>
      </c>
      <c r="AW25" s="10" t="e">
        <f>(AS25*#REF!)/'Est. Cust. Naci.'!H25</f>
        <v>#REF!</v>
      </c>
      <c r="AX25" s="10">
        <f t="shared" si="21"/>
        <v>11681.37</v>
      </c>
    </row>
    <row r="26" spans="2:50">
      <c r="B26">
        <f>'LISTA DE COMPRAS'!A25</f>
        <v>21</v>
      </c>
      <c r="C26" s="83" t="str">
        <f>'LISTA DE COMPRAS'!C25</f>
        <v>BLOCO MAN D0834</v>
      </c>
      <c r="G26" s="118">
        <f>'LISTA DE COMPRAS'!D25</f>
        <v>84099112</v>
      </c>
      <c r="H26" s="2">
        <f>'LISTA DE COMPRAS'!J25</f>
        <v>3</v>
      </c>
      <c r="I26" s="119">
        <f>'LISTA DE COMPRAS'!P25</f>
        <v>7.058823529411765E-3</v>
      </c>
      <c r="J26" s="12">
        <f>'LISTA DE COMPRAS'!K25</f>
        <v>629.29999999999995</v>
      </c>
      <c r="K26" s="12">
        <f t="shared" si="5"/>
        <v>1887.8999999999999</v>
      </c>
      <c r="L26" s="10">
        <f t="shared" si="6"/>
        <v>9628.2899999999991</v>
      </c>
      <c r="M26" s="10">
        <f t="shared" si="7"/>
        <v>4814.1449999999995</v>
      </c>
      <c r="N26" s="4">
        <f t="shared" si="8"/>
        <v>0</v>
      </c>
      <c r="O26" s="10">
        <f>'Rateio Custos Fixos'!E32</f>
        <v>715.24346183556565</v>
      </c>
      <c r="P26" s="10">
        <f t="shared" si="9"/>
        <v>10343.533461835565</v>
      </c>
      <c r="Q26" s="10">
        <f t="shared" si="10"/>
        <v>11998.498815729256</v>
      </c>
      <c r="R26" s="10">
        <f t="shared" si="3"/>
        <v>1654.9653538936905</v>
      </c>
      <c r="S26" s="10">
        <f t="shared" si="11"/>
        <v>361.15481435345055</v>
      </c>
      <c r="T26" s="10">
        <f t="shared" si="12"/>
        <v>374.35316305075276</v>
      </c>
      <c r="U26" s="10">
        <f t="shared" si="12"/>
        <v>1796.1752727146695</v>
      </c>
      <c r="V26" s="10">
        <f t="shared" si="22"/>
        <v>620.61200771013387</v>
      </c>
      <c r="W26" s="10">
        <f t="shared" si="13"/>
        <v>4807.2606117226978</v>
      </c>
      <c r="X26" s="10">
        <f t="shared" si="14"/>
        <v>0</v>
      </c>
      <c r="Y26" s="10">
        <f>'Rateio Custos Fixos'!F32</f>
        <v>7.8695748495139259</v>
      </c>
      <c r="Z26" s="10">
        <f>'Rateio Custos Fixos'!G32</f>
        <v>19.81151710367142</v>
      </c>
      <c r="AA26" s="10">
        <f>'Rateio Custos Fixos'!H32</f>
        <v>56.756327702554977</v>
      </c>
      <c r="AB26" s="10">
        <f>'Rateio Custos Fixos'!I32</f>
        <v>2.2012796781857134</v>
      </c>
      <c r="AC26" s="10">
        <f>'Rateio Custos Fixos'!J32</f>
        <v>11.006398390928567</v>
      </c>
      <c r="AD26" s="10">
        <f>'Rateio Custos Fixos'!K32</f>
        <v>14.675197854571422</v>
      </c>
      <c r="AE26" s="10">
        <f>'Rateio Custos Fixos'!L32</f>
        <v>28.429527043768488</v>
      </c>
      <c r="AF26" s="10">
        <f>'Rateio Custos Fixos'!M32</f>
        <v>5.1363192490999978</v>
      </c>
      <c r="AG26" s="10">
        <f>'Rateio Custos Fixos'!N32</f>
        <v>57.219476946845255</v>
      </c>
      <c r="AH26" s="10">
        <f>'Rateio Custos Fixos'!O32</f>
        <v>0</v>
      </c>
      <c r="AI26" s="10">
        <f>'Rateio Custos Fixos'!P32</f>
        <v>27.770977540044598</v>
      </c>
      <c r="AJ26" s="10">
        <f>'Rateio Custos Fixos'!Q32</f>
        <v>8.2547987931964251</v>
      </c>
      <c r="AK26" s="10">
        <f>'Rateio Custos Fixos'!R32</f>
        <v>4.3090049700485338</v>
      </c>
      <c r="AL26" s="10">
        <f>'Rateio Custos Fixos'!S32</f>
        <v>10.492766466018567</v>
      </c>
      <c r="AM26" s="10">
        <f>'Rateio Custos Fixos'!T32</f>
        <v>220.12796781857134</v>
      </c>
      <c r="AN26" s="10">
        <f>'Rateio Custos Fixos'!U32</f>
        <v>88.051187127428534</v>
      </c>
      <c r="AO26" s="10">
        <f>'Rateio Custos Fixos'!V32</f>
        <v>336.99014999999997</v>
      </c>
      <c r="AP26" s="10">
        <f t="shared" si="15"/>
        <v>899.10247153444777</v>
      </c>
      <c r="AQ26" s="10">
        <f t="shared" si="16"/>
        <v>16049.89654509271</v>
      </c>
      <c r="AR26" s="10">
        <v>2615.3166170147401</v>
      </c>
      <c r="AS26" s="10">
        <f t="shared" si="17"/>
        <v>11242.635933370013</v>
      </c>
      <c r="AT26" s="10">
        <f t="shared" si="18"/>
        <v>5349.9655150309036</v>
      </c>
      <c r="AU26" s="10">
        <f t="shared" si="19"/>
        <v>3747.5453111233378</v>
      </c>
      <c r="AV26" s="10">
        <f t="shared" si="20"/>
        <v>5349.9655150309036</v>
      </c>
      <c r="AW26" s="10" t="e">
        <f>(AS26*#REF!)/'Est. Cust. Naci.'!H26</f>
        <v>#REF!</v>
      </c>
      <c r="AX26" s="10">
        <f t="shared" si="21"/>
        <v>5663.7</v>
      </c>
    </row>
    <row r="27" spans="2:50">
      <c r="B27">
        <f>'LISTA DE COMPRAS'!A26</f>
        <v>22</v>
      </c>
      <c r="C27" s="83" t="str">
        <f>'LISTA DE COMPRAS'!C26</f>
        <v>BLOCO MAN D0836</v>
      </c>
      <c r="G27" s="118">
        <f>'LISTA DE COMPRAS'!D26</f>
        <v>84099112</v>
      </c>
      <c r="H27" s="2">
        <f>'LISTA DE COMPRAS'!J26</f>
        <v>3</v>
      </c>
      <c r="I27" s="119">
        <f>'LISTA DE COMPRAS'!P26</f>
        <v>7.058823529411765E-3</v>
      </c>
      <c r="J27" s="12">
        <f>'LISTA DE COMPRAS'!K26</f>
        <v>904.62</v>
      </c>
      <c r="K27" s="12">
        <f t="shared" si="5"/>
        <v>2713.86</v>
      </c>
      <c r="L27" s="10">
        <f t="shared" si="6"/>
        <v>13840.686</v>
      </c>
      <c r="M27" s="10">
        <f t="shared" si="7"/>
        <v>6920.3429999999998</v>
      </c>
      <c r="N27" s="4">
        <f t="shared" si="8"/>
        <v>0</v>
      </c>
      <c r="O27" s="10">
        <f>'Rateio Custos Fixos'!E33</f>
        <v>1028.163897101048</v>
      </c>
      <c r="P27" s="10">
        <f t="shared" si="9"/>
        <v>14868.849897101049</v>
      </c>
      <c r="Q27" s="10">
        <f t="shared" si="10"/>
        <v>17247.865880637215</v>
      </c>
      <c r="R27" s="10">
        <f t="shared" si="3"/>
        <v>2379.0159835361678</v>
      </c>
      <c r="S27" s="10">
        <f t="shared" si="11"/>
        <v>519.16076300718009</v>
      </c>
      <c r="T27" s="10">
        <f t="shared" si="12"/>
        <v>538.13341547588107</v>
      </c>
      <c r="U27" s="10">
        <f t="shared" si="12"/>
        <v>2582.0055223313911</v>
      </c>
      <c r="V27" s="10">
        <f t="shared" si="22"/>
        <v>892.13099382606288</v>
      </c>
      <c r="W27" s="10">
        <f t="shared" si="13"/>
        <v>6910.4466781766832</v>
      </c>
      <c r="X27" s="10">
        <f t="shared" si="14"/>
        <v>0</v>
      </c>
      <c r="Y27" s="10">
        <f>'Rateio Custos Fixos'!F33</f>
        <v>11.312529477780531</v>
      </c>
      <c r="Z27" s="10">
        <f>'Rateio Custos Fixos'!G33</f>
        <v>28.479095188818121</v>
      </c>
      <c r="AA27" s="10">
        <f>'Rateio Custos Fixos'!H33</f>
        <v>81.587333809447472</v>
      </c>
      <c r="AB27" s="10">
        <f>'Rateio Custos Fixos'!I33</f>
        <v>3.1643439098686801</v>
      </c>
      <c r="AC27" s="10">
        <f>'Rateio Custos Fixos'!J33</f>
        <v>15.821719549343401</v>
      </c>
      <c r="AD27" s="10">
        <f>'Rateio Custos Fixos'!K33</f>
        <v>21.095626065791201</v>
      </c>
      <c r="AE27" s="10">
        <f>'Rateio Custos Fixos'!L33</f>
        <v>40.867501595954003</v>
      </c>
      <c r="AF27" s="10">
        <f>'Rateio Custos Fixos'!M33</f>
        <v>7.38346912302692</v>
      </c>
      <c r="AG27" s="10">
        <f>'Rateio Custos Fixos'!N33</f>
        <v>82.253111768083841</v>
      </c>
      <c r="AH27" s="10">
        <f>'Rateio Custos Fixos'!O33</f>
        <v>0</v>
      </c>
      <c r="AI27" s="10">
        <f>'Rateio Custos Fixos'!P33</f>
        <v>39.920835376251624</v>
      </c>
      <c r="AJ27" s="10">
        <f>'Rateio Custos Fixos'!Q33</f>
        <v>11.866289662007551</v>
      </c>
      <c r="AK27" s="10">
        <f>'Rateio Custos Fixos'!R33</f>
        <v>6.194203203567942</v>
      </c>
      <c r="AL27" s="10">
        <f>'Rateio Custos Fixos'!S33</f>
        <v>15.083372637040709</v>
      </c>
      <c r="AM27" s="10">
        <f>'Rateio Custos Fixos'!T33</f>
        <v>316.43439098686804</v>
      </c>
      <c r="AN27" s="10">
        <f>'Rateio Custos Fixos'!U33</f>
        <v>126.57375639474721</v>
      </c>
      <c r="AO27" s="10">
        <f>'Rateio Custos Fixos'!V33</f>
        <v>484.42401000000001</v>
      </c>
      <c r="AP27" s="10">
        <f t="shared" si="15"/>
        <v>1292.4615887485973</v>
      </c>
      <c r="AQ27" s="10">
        <f t="shared" si="16"/>
        <v>23071.758164026331</v>
      </c>
      <c r="AR27" s="10">
        <v>2616.3166170147401</v>
      </c>
      <c r="AS27" s="10">
        <f t="shared" si="17"/>
        <v>16161.311485849646</v>
      </c>
      <c r="AT27" s="10">
        <f t="shared" si="18"/>
        <v>7690.5860546754438</v>
      </c>
      <c r="AU27" s="10">
        <f t="shared" si="19"/>
        <v>5387.1038286165485</v>
      </c>
      <c r="AV27" s="10">
        <f t="shared" si="20"/>
        <v>7690.5860546754438</v>
      </c>
      <c r="AW27" s="10" t="e">
        <f>(AS27*#REF!)/'Est. Cust. Naci.'!H27</f>
        <v>#REF!</v>
      </c>
      <c r="AX27" s="10">
        <f t="shared" si="21"/>
        <v>8141.58</v>
      </c>
    </row>
    <row r="28" spans="2:50">
      <c r="B28">
        <f>'LISTA DE COMPRAS'!A27</f>
        <v>23</v>
      </c>
      <c r="C28" s="83" t="str">
        <f>'LISTA DE COMPRAS'!C27</f>
        <v>BLOCOS SCANIA DC13</v>
      </c>
      <c r="G28" s="118">
        <f>'LISTA DE COMPRAS'!D27</f>
        <v>84099112</v>
      </c>
      <c r="H28" s="2">
        <f>'LISTA DE COMPRAS'!J27</f>
        <v>5</v>
      </c>
      <c r="I28" s="119">
        <f>'LISTA DE COMPRAS'!P27</f>
        <v>1.1764705882352941E-2</v>
      </c>
      <c r="J28" s="12">
        <f>'LISTA DE COMPRAS'!K27</f>
        <v>1480</v>
      </c>
      <c r="K28" s="12">
        <f t="shared" si="5"/>
        <v>7400</v>
      </c>
      <c r="L28" s="10">
        <f t="shared" si="6"/>
        <v>37740</v>
      </c>
      <c r="M28" s="10">
        <f t="shared" si="7"/>
        <v>18870</v>
      </c>
      <c r="N28" s="4">
        <f t="shared" si="8"/>
        <v>0</v>
      </c>
      <c r="O28" s="10">
        <f>'Rateio Custos Fixos'!E34</f>
        <v>1682.1235078923205</v>
      </c>
      <c r="P28" s="10">
        <f t="shared" si="9"/>
        <v>39422.12350789232</v>
      </c>
      <c r="Q28" s="10">
        <f t="shared" si="10"/>
        <v>45729.663269155091</v>
      </c>
      <c r="R28" s="10">
        <f t="shared" si="3"/>
        <v>6307.5397612627712</v>
      </c>
      <c r="S28" s="10">
        <f t="shared" si="11"/>
        <v>1376.4628644015681</v>
      </c>
      <c r="T28" s="10">
        <f t="shared" si="12"/>
        <v>1426.7654939976387</v>
      </c>
      <c r="U28" s="10">
        <f t="shared" si="12"/>
        <v>6845.7305913925175</v>
      </c>
      <c r="V28" s="10">
        <f t="shared" si="22"/>
        <v>2365.3274104735392</v>
      </c>
      <c r="W28" s="10">
        <f t="shared" si="13"/>
        <v>18321.826121528036</v>
      </c>
      <c r="X28" s="10">
        <f t="shared" si="14"/>
        <v>0</v>
      </c>
      <c r="Y28" s="10">
        <f>'Rateio Custos Fixos'!F34</f>
        <v>18.50781944586145</v>
      </c>
      <c r="Z28" s="10">
        <f>'Rateio Custos Fixos'!G34</f>
        <v>46.593111891679179</v>
      </c>
      <c r="AA28" s="10">
        <f>'Rateio Custos Fixos'!H34</f>
        <v>133.48063721560683</v>
      </c>
      <c r="AB28" s="10">
        <f>'Rateio Custos Fixos'!I34</f>
        <v>5.177012432408798</v>
      </c>
      <c r="AC28" s="10">
        <f>'Rateio Custos Fixos'!J34</f>
        <v>25.885062162043987</v>
      </c>
      <c r="AD28" s="10">
        <f>'Rateio Custos Fixos'!K34</f>
        <v>34.513416216058651</v>
      </c>
      <c r="AE28" s="10">
        <f>'Rateio Custos Fixos'!L34</f>
        <v>66.861115564559626</v>
      </c>
      <c r="AF28" s="10">
        <f>'Rateio Custos Fixos'!M34</f>
        <v>12.079695675620528</v>
      </c>
      <c r="AG28" s="10">
        <f>'Rateio Custos Fixos'!N34</f>
        <v>134.56988063138564</v>
      </c>
      <c r="AH28" s="10">
        <f>'Rateio Custos Fixos'!O34</f>
        <v>0</v>
      </c>
      <c r="AI28" s="10">
        <f>'Rateio Custos Fixos'!P34</f>
        <v>65.312326011863988</v>
      </c>
      <c r="AJ28" s="10">
        <f>'Rateio Custos Fixos'!Q34</f>
        <v>19.413796621532992</v>
      </c>
      <c r="AK28" s="10">
        <f>'Rateio Custos Fixos'!R34</f>
        <v>10.134001836440222</v>
      </c>
      <c r="AL28" s="10">
        <f>'Rateio Custos Fixos'!S34</f>
        <v>24.677092594481934</v>
      </c>
      <c r="AM28" s="10">
        <f>'Rateio Custos Fixos'!T34</f>
        <v>517.70124324087976</v>
      </c>
      <c r="AN28" s="10">
        <f>'Rateio Custos Fixos'!U34</f>
        <v>207.08049729635189</v>
      </c>
      <c r="AO28" s="10">
        <f>'Rateio Custos Fixos'!V34</f>
        <v>1320.9</v>
      </c>
      <c r="AP28" s="10">
        <f t="shared" si="15"/>
        <v>2642.8867088367756</v>
      </c>
      <c r="AQ28" s="10">
        <f t="shared" si="16"/>
        <v>60386.836338257133</v>
      </c>
      <c r="AR28" s="10">
        <v>2617.3166170147401</v>
      </c>
      <c r="AS28" s="10">
        <f t="shared" si="17"/>
        <v>42065.010216729097</v>
      </c>
      <c r="AT28" s="10">
        <f t="shared" si="18"/>
        <v>12077.367267651427</v>
      </c>
      <c r="AU28" s="10">
        <f t="shared" si="19"/>
        <v>8413.0020433458194</v>
      </c>
      <c r="AV28" s="10">
        <f t="shared" si="20"/>
        <v>12077.367267651427</v>
      </c>
      <c r="AW28" s="10" t="e">
        <f>(AS28*#REF!)/'Est. Cust. Naci.'!H28</f>
        <v>#REF!</v>
      </c>
      <c r="AX28" s="10">
        <f t="shared" si="21"/>
        <v>13320</v>
      </c>
    </row>
    <row r="29" spans="2:50">
      <c r="B29">
        <f>'LISTA DE COMPRAS'!A28</f>
        <v>24</v>
      </c>
      <c r="C29" s="83" t="str">
        <f>'LISTA DE COMPRAS'!C28</f>
        <v>BLOCO MOTOR SCANIA DC 12</v>
      </c>
      <c r="G29" s="118">
        <f>'LISTA DE COMPRAS'!D28</f>
        <v>84099112</v>
      </c>
      <c r="H29" s="2">
        <f>'LISTA DE COMPRAS'!J28</f>
        <v>5</v>
      </c>
      <c r="I29" s="119">
        <f>'LISTA DE COMPRAS'!P28</f>
        <v>1.1764705882352941E-2</v>
      </c>
      <c r="J29" s="12">
        <f>'LISTA DE COMPRAS'!K28</f>
        <v>1590</v>
      </c>
      <c r="K29" s="12">
        <f t="shared" si="5"/>
        <v>7950</v>
      </c>
      <c r="L29" s="10">
        <f t="shared" si="6"/>
        <v>40545</v>
      </c>
      <c r="M29" s="10">
        <f t="shared" si="7"/>
        <v>20272.5</v>
      </c>
      <c r="N29" s="4">
        <f t="shared" si="8"/>
        <v>0</v>
      </c>
      <c r="O29" s="10">
        <f>'Rateio Custos Fixos'!E35</f>
        <v>1807.1462010464793</v>
      </c>
      <c r="P29" s="10">
        <f t="shared" si="9"/>
        <v>42352.146201046482</v>
      </c>
      <c r="Q29" s="10">
        <f t="shared" si="10"/>
        <v>49128.489593213919</v>
      </c>
      <c r="R29" s="10">
        <f t="shared" si="3"/>
        <v>6776.3433921674368</v>
      </c>
      <c r="S29" s="10">
        <f t="shared" si="11"/>
        <v>1478.7675367557388</v>
      </c>
      <c r="T29" s="10">
        <f t="shared" si="12"/>
        <v>1532.8088753082743</v>
      </c>
      <c r="U29" s="10">
        <f t="shared" si="12"/>
        <v>7354.5348921041241</v>
      </c>
      <c r="V29" s="10">
        <f t="shared" si="22"/>
        <v>2541.1287720627888</v>
      </c>
      <c r="W29" s="10">
        <f t="shared" si="13"/>
        <v>19683.583468398363</v>
      </c>
      <c r="X29" s="10">
        <f t="shared" si="14"/>
        <v>0</v>
      </c>
      <c r="Y29" s="10">
        <f>'Rateio Custos Fixos'!F35</f>
        <v>19.883400620891695</v>
      </c>
      <c r="Z29" s="10">
        <f>'Rateio Custos Fixos'!G35</f>
        <v>50.05611345119587</v>
      </c>
      <c r="AA29" s="10">
        <f>'Rateio Custos Fixos'!H35</f>
        <v>143.40149538703707</v>
      </c>
      <c r="AB29" s="10">
        <f>'Rateio Custos Fixos'!I35</f>
        <v>5.5617903834662084</v>
      </c>
      <c r="AC29" s="10">
        <f>'Rateio Custos Fixos'!J35</f>
        <v>27.80895191733104</v>
      </c>
      <c r="AD29" s="10">
        <f>'Rateio Custos Fixos'!K35</f>
        <v>37.078602556441389</v>
      </c>
      <c r="AE29" s="10">
        <f>'Rateio Custos Fixos'!L35</f>
        <v>71.830522802466078</v>
      </c>
      <c r="AF29" s="10">
        <f>'Rateio Custos Fixos'!M35</f>
        <v>12.977510894754486</v>
      </c>
      <c r="AG29" s="10">
        <f>'Rateio Custos Fixos'!N35</f>
        <v>144.57169608371834</v>
      </c>
      <c r="AH29" s="10">
        <f>'Rateio Custos Fixos'!O35</f>
        <v>0</v>
      </c>
      <c r="AI29" s="10">
        <f>'Rateio Custos Fixos'!P35</f>
        <v>70.16662051274578</v>
      </c>
      <c r="AJ29" s="10">
        <f>'Rateio Custos Fixos'!Q35</f>
        <v>20.856713937998279</v>
      </c>
      <c r="AK29" s="10">
        <f>'Rateio Custos Fixos'!R35</f>
        <v>10.887204675635102</v>
      </c>
      <c r="AL29" s="10">
        <f>'Rateio Custos Fixos'!S35</f>
        <v>26.511200827855593</v>
      </c>
      <c r="AM29" s="10">
        <f>'Rateio Custos Fixos'!T35</f>
        <v>556.17903834662081</v>
      </c>
      <c r="AN29" s="10">
        <f>'Rateio Custos Fixos'!U35</f>
        <v>222.47161533864832</v>
      </c>
      <c r="AO29" s="10">
        <f>'Rateio Custos Fixos'!V35</f>
        <v>1419.075</v>
      </c>
      <c r="AP29" s="10">
        <f t="shared" si="15"/>
        <v>2839.3174777368058</v>
      </c>
      <c r="AQ29" s="10">
        <f t="shared" si="16"/>
        <v>64875.047147181649</v>
      </c>
      <c r="AR29" s="10">
        <v>2618.3166170147401</v>
      </c>
      <c r="AS29" s="10">
        <f t="shared" si="17"/>
        <v>45191.463678783286</v>
      </c>
      <c r="AT29" s="10">
        <f t="shared" si="18"/>
        <v>12975.00942943633</v>
      </c>
      <c r="AU29" s="10">
        <f t="shared" si="19"/>
        <v>9038.2927357566568</v>
      </c>
      <c r="AV29" s="10">
        <f t="shared" si="20"/>
        <v>12975.00942943633</v>
      </c>
      <c r="AW29" s="10" t="e">
        <f>(AS29*#REF!)/'Est. Cust. Naci.'!H29</f>
        <v>#REF!</v>
      </c>
      <c r="AX29" s="10">
        <f t="shared" si="21"/>
        <v>14310</v>
      </c>
    </row>
    <row r="30" spans="2:50" hidden="1">
      <c r="B30">
        <f>'LISTA DE COMPRAS'!A29</f>
        <v>25</v>
      </c>
      <c r="C30" s="83">
        <f>'LISTA DE COMPRAS'!C29</f>
        <v>0</v>
      </c>
      <c r="G30" s="118">
        <f>'LISTA DE COMPRAS'!D30</f>
        <v>0</v>
      </c>
      <c r="H30" s="2">
        <f>'LISTA DE COMPRAS'!J29</f>
        <v>0</v>
      </c>
      <c r="I30" s="119">
        <f>'LISTA DE COMPRAS'!P29</f>
        <v>0</v>
      </c>
      <c r="J30" s="12">
        <f>'LISTA DE COMPRAS'!K29</f>
        <v>0</v>
      </c>
      <c r="K30" s="12">
        <f t="shared" si="5"/>
        <v>0</v>
      </c>
      <c r="L30" s="10">
        <f t="shared" si="6"/>
        <v>0</v>
      </c>
      <c r="M30" s="10">
        <f t="shared" si="7"/>
        <v>0</v>
      </c>
      <c r="N30" s="4">
        <f t="shared" si="8"/>
        <v>0</v>
      </c>
      <c r="O30" s="10">
        <f>'Rateio Custos Fixos'!E36</f>
        <v>0</v>
      </c>
      <c r="P30" s="10">
        <f t="shared" si="9"/>
        <v>0</v>
      </c>
      <c r="Q30" s="10">
        <f t="shared" si="10"/>
        <v>0</v>
      </c>
      <c r="R30" s="10">
        <f t="shared" si="3"/>
        <v>0</v>
      </c>
      <c r="S30" s="10">
        <f t="shared" si="11"/>
        <v>0</v>
      </c>
      <c r="T30" s="10">
        <f t="shared" si="12"/>
        <v>0</v>
      </c>
      <c r="U30" s="10">
        <f t="shared" si="12"/>
        <v>0</v>
      </c>
      <c r="V30" s="10">
        <f t="shared" si="22"/>
        <v>0</v>
      </c>
      <c r="W30" s="10">
        <f t="shared" si="13"/>
        <v>0</v>
      </c>
      <c r="X30" s="10">
        <f t="shared" si="14"/>
        <v>0</v>
      </c>
      <c r="Y30" s="10">
        <f>'Rateio Custos Fixos'!F36</f>
        <v>0</v>
      </c>
      <c r="Z30" s="10">
        <f>'Rateio Custos Fixos'!G36</f>
        <v>0</v>
      </c>
      <c r="AA30" s="10">
        <f>'Rateio Custos Fixos'!H36</f>
        <v>0</v>
      </c>
      <c r="AB30" s="10">
        <f>'Rateio Custos Fixos'!I36</f>
        <v>0</v>
      </c>
      <c r="AC30" s="10">
        <f>'Rateio Custos Fixos'!J36</f>
        <v>0</v>
      </c>
      <c r="AD30" s="10">
        <f>'Rateio Custos Fixos'!K36</f>
        <v>0</v>
      </c>
      <c r="AE30" s="10">
        <f>'Rateio Custos Fixos'!L36</f>
        <v>0</v>
      </c>
      <c r="AF30" s="10">
        <f>'Rateio Custos Fixos'!M36</f>
        <v>0</v>
      </c>
      <c r="AG30" s="10">
        <f>'Rateio Custos Fixos'!N36</f>
        <v>0</v>
      </c>
      <c r="AH30" s="10">
        <f>'Rateio Custos Fixos'!O36</f>
        <v>0</v>
      </c>
      <c r="AI30" s="10">
        <f>'Rateio Custos Fixos'!P36</f>
        <v>0</v>
      </c>
      <c r="AJ30" s="10">
        <f>'Rateio Custos Fixos'!Q36</f>
        <v>0</v>
      </c>
      <c r="AK30" s="10">
        <f>'Rateio Custos Fixos'!R36</f>
        <v>0</v>
      </c>
      <c r="AL30" s="10">
        <f>'Rateio Custos Fixos'!S36</f>
        <v>0</v>
      </c>
      <c r="AM30" s="10">
        <f>'Rateio Custos Fixos'!T36</f>
        <v>0</v>
      </c>
      <c r="AN30" s="10">
        <f>'Rateio Custos Fixos'!U36</f>
        <v>0</v>
      </c>
      <c r="AO30" s="10"/>
      <c r="AP30" s="10">
        <f t="shared" si="15"/>
        <v>0</v>
      </c>
      <c r="AQ30" s="10">
        <f t="shared" si="16"/>
        <v>0</v>
      </c>
      <c r="AR30" s="10">
        <v>2619.3166170147401</v>
      </c>
      <c r="AS30" s="10">
        <f t="shared" si="17"/>
        <v>0</v>
      </c>
      <c r="AT30" s="10" t="e">
        <f t="shared" si="18"/>
        <v>#DIV/0!</v>
      </c>
      <c r="AU30" s="10" t="e">
        <f t="shared" si="19"/>
        <v>#DIV/0!</v>
      </c>
      <c r="AV30" s="10" t="e">
        <f t="shared" si="20"/>
        <v>#DIV/0!</v>
      </c>
      <c r="AW30" s="10" t="e">
        <f>(AS30*#REF!)/'Est. Cust. Naci.'!H30</f>
        <v>#REF!</v>
      </c>
      <c r="AX30" s="10">
        <f t="shared" si="21"/>
        <v>0</v>
      </c>
    </row>
    <row r="31" spans="2:50" hidden="1">
      <c r="B31">
        <f>'LISTA DE COMPRAS'!A30</f>
        <v>26</v>
      </c>
      <c r="C31" s="83">
        <f>'LISTA DE COMPRAS'!C30</f>
        <v>0</v>
      </c>
      <c r="G31" s="118">
        <f>'LISTA DE COMPRAS'!D31</f>
        <v>0</v>
      </c>
      <c r="H31" s="2">
        <f>'LISTA DE COMPRAS'!J30</f>
        <v>0</v>
      </c>
      <c r="I31" s="119">
        <f>'LISTA DE COMPRAS'!P30</f>
        <v>0</v>
      </c>
      <c r="J31" s="12">
        <f>'LISTA DE COMPRAS'!K30</f>
        <v>0</v>
      </c>
      <c r="K31" s="12">
        <f t="shared" si="5"/>
        <v>0</v>
      </c>
      <c r="L31" s="10">
        <f t="shared" si="6"/>
        <v>0</v>
      </c>
      <c r="M31" s="10">
        <f t="shared" si="7"/>
        <v>0</v>
      </c>
      <c r="N31" s="4">
        <f t="shared" si="8"/>
        <v>0</v>
      </c>
      <c r="O31" s="10">
        <f>'Rateio Custos Fixos'!E37</f>
        <v>0</v>
      </c>
      <c r="P31" s="10">
        <f t="shared" si="9"/>
        <v>0</v>
      </c>
      <c r="Q31" s="10">
        <f t="shared" si="10"/>
        <v>0</v>
      </c>
      <c r="R31" s="10">
        <f t="shared" si="3"/>
        <v>0</v>
      </c>
      <c r="S31" s="10">
        <f t="shared" si="11"/>
        <v>0</v>
      </c>
      <c r="T31" s="10">
        <f t="shared" si="12"/>
        <v>0</v>
      </c>
      <c r="U31" s="10">
        <f t="shared" si="12"/>
        <v>0</v>
      </c>
      <c r="V31" s="10">
        <f t="shared" si="22"/>
        <v>0</v>
      </c>
      <c r="W31" s="10">
        <f t="shared" si="13"/>
        <v>0</v>
      </c>
      <c r="X31" s="10">
        <f t="shared" si="14"/>
        <v>0</v>
      </c>
      <c r="Y31" s="10">
        <f>'Rateio Custos Fixos'!F37</f>
        <v>0</v>
      </c>
      <c r="Z31" s="10">
        <f>'Rateio Custos Fixos'!G37</f>
        <v>0</v>
      </c>
      <c r="AA31" s="10">
        <f>'Rateio Custos Fixos'!H37</f>
        <v>0</v>
      </c>
      <c r="AB31" s="10">
        <f>'Rateio Custos Fixos'!I37</f>
        <v>0</v>
      </c>
      <c r="AC31" s="10">
        <f>'Rateio Custos Fixos'!J37</f>
        <v>0</v>
      </c>
      <c r="AD31" s="10">
        <f>'Rateio Custos Fixos'!K37</f>
        <v>0</v>
      </c>
      <c r="AE31" s="10">
        <f>'Rateio Custos Fixos'!L37</f>
        <v>0</v>
      </c>
      <c r="AF31" s="10">
        <f>'Rateio Custos Fixos'!M37</f>
        <v>0</v>
      </c>
      <c r="AG31" s="10">
        <f>'Rateio Custos Fixos'!N37</f>
        <v>0</v>
      </c>
      <c r="AH31" s="10">
        <f>'Rateio Custos Fixos'!O37</f>
        <v>0</v>
      </c>
      <c r="AI31" s="10">
        <f>'Rateio Custos Fixos'!P37</f>
        <v>0</v>
      </c>
      <c r="AJ31" s="10">
        <f>'Rateio Custos Fixos'!Q37</f>
        <v>0</v>
      </c>
      <c r="AK31" s="10">
        <f>'Rateio Custos Fixos'!R37</f>
        <v>0</v>
      </c>
      <c r="AL31" s="10">
        <f>'Rateio Custos Fixos'!S37</f>
        <v>0</v>
      </c>
      <c r="AM31" s="10">
        <f>'Rateio Custos Fixos'!T37</f>
        <v>0</v>
      </c>
      <c r="AN31" s="10">
        <f>'Rateio Custos Fixos'!U37</f>
        <v>0</v>
      </c>
      <c r="AO31" s="10"/>
      <c r="AP31" s="10">
        <f t="shared" si="15"/>
        <v>0</v>
      </c>
      <c r="AQ31" s="10">
        <f t="shared" si="16"/>
        <v>0</v>
      </c>
      <c r="AR31" s="10">
        <v>2620.3166170147401</v>
      </c>
      <c r="AS31" s="10">
        <f t="shared" si="17"/>
        <v>0</v>
      </c>
      <c r="AT31" s="10" t="e">
        <f t="shared" si="18"/>
        <v>#DIV/0!</v>
      </c>
      <c r="AU31" s="10" t="e">
        <f t="shared" si="19"/>
        <v>#DIV/0!</v>
      </c>
      <c r="AV31" s="10" t="e">
        <f t="shared" si="20"/>
        <v>#DIV/0!</v>
      </c>
      <c r="AW31" s="10" t="e">
        <f>(AS31*#REF!)/'Est. Cust. Naci.'!H31</f>
        <v>#REF!</v>
      </c>
      <c r="AX31" s="10">
        <f t="shared" si="21"/>
        <v>0</v>
      </c>
    </row>
    <row r="32" spans="2:50" hidden="1">
      <c r="B32">
        <f>'LISTA DE COMPRAS'!A31</f>
        <v>27</v>
      </c>
      <c r="C32" s="83">
        <f>'LISTA DE COMPRAS'!C31</f>
        <v>0</v>
      </c>
      <c r="G32" s="118">
        <f>'LISTA DE COMPRAS'!D32</f>
        <v>0</v>
      </c>
      <c r="H32" s="2">
        <f>'LISTA DE COMPRAS'!J31</f>
        <v>0</v>
      </c>
      <c r="I32" s="119">
        <f>'LISTA DE COMPRAS'!P31</f>
        <v>0</v>
      </c>
      <c r="J32" s="12">
        <f>'LISTA DE COMPRAS'!K31</f>
        <v>0</v>
      </c>
      <c r="K32" s="12">
        <f t="shared" si="5"/>
        <v>0</v>
      </c>
      <c r="L32" s="10">
        <f t="shared" si="6"/>
        <v>0</v>
      </c>
      <c r="M32" s="10">
        <f t="shared" si="7"/>
        <v>0</v>
      </c>
      <c r="N32" s="4">
        <f t="shared" si="8"/>
        <v>0</v>
      </c>
      <c r="O32" s="10">
        <f>'Rateio Custos Fixos'!E38</f>
        <v>0</v>
      </c>
      <c r="P32" s="10">
        <f t="shared" si="9"/>
        <v>0</v>
      </c>
      <c r="Q32" s="10">
        <f t="shared" si="10"/>
        <v>0</v>
      </c>
      <c r="R32" s="10">
        <f t="shared" si="3"/>
        <v>0</v>
      </c>
      <c r="S32" s="10">
        <f t="shared" si="11"/>
        <v>0</v>
      </c>
      <c r="T32" s="10">
        <f t="shared" si="12"/>
        <v>0</v>
      </c>
      <c r="U32" s="10">
        <f t="shared" si="12"/>
        <v>0</v>
      </c>
      <c r="V32" s="10">
        <f t="shared" si="22"/>
        <v>0</v>
      </c>
      <c r="W32" s="10">
        <f t="shared" si="13"/>
        <v>0</v>
      </c>
      <c r="X32" s="10">
        <f t="shared" si="14"/>
        <v>0</v>
      </c>
      <c r="Y32" s="10">
        <f>'Rateio Custos Fixos'!F38</f>
        <v>0</v>
      </c>
      <c r="Z32" s="10">
        <f>'Rateio Custos Fixos'!G38</f>
        <v>0</v>
      </c>
      <c r="AA32" s="10">
        <f>'Rateio Custos Fixos'!H38</f>
        <v>0</v>
      </c>
      <c r="AB32" s="10">
        <f>'Rateio Custos Fixos'!I38</f>
        <v>0</v>
      </c>
      <c r="AC32" s="10">
        <f>'Rateio Custos Fixos'!J38</f>
        <v>0</v>
      </c>
      <c r="AD32" s="10">
        <f>'Rateio Custos Fixos'!K38</f>
        <v>0</v>
      </c>
      <c r="AE32" s="10">
        <f>'Rateio Custos Fixos'!L38</f>
        <v>0</v>
      </c>
      <c r="AF32" s="10">
        <f>'Rateio Custos Fixos'!M38</f>
        <v>0</v>
      </c>
      <c r="AG32" s="10">
        <f>'Rateio Custos Fixos'!N38</f>
        <v>0</v>
      </c>
      <c r="AH32" s="10">
        <f>'Rateio Custos Fixos'!O38</f>
        <v>0</v>
      </c>
      <c r="AI32" s="10">
        <f>'Rateio Custos Fixos'!P38</f>
        <v>0</v>
      </c>
      <c r="AJ32" s="10">
        <f>'Rateio Custos Fixos'!Q38</f>
        <v>0</v>
      </c>
      <c r="AK32" s="10">
        <f>'Rateio Custos Fixos'!R38</f>
        <v>0</v>
      </c>
      <c r="AL32" s="10">
        <f>'Rateio Custos Fixos'!S38</f>
        <v>0</v>
      </c>
      <c r="AM32" s="10">
        <f>'Rateio Custos Fixos'!T38</f>
        <v>0</v>
      </c>
      <c r="AN32" s="10">
        <f>'Rateio Custos Fixos'!U38</f>
        <v>0</v>
      </c>
      <c r="AO32" s="10"/>
      <c r="AP32" s="10">
        <f t="shared" si="15"/>
        <v>0</v>
      </c>
      <c r="AQ32" s="10">
        <f t="shared" si="16"/>
        <v>0</v>
      </c>
      <c r="AR32" s="10">
        <v>2621.3166170147401</v>
      </c>
      <c r="AS32" s="10">
        <f t="shared" si="17"/>
        <v>0</v>
      </c>
      <c r="AT32" s="10" t="e">
        <f t="shared" si="18"/>
        <v>#DIV/0!</v>
      </c>
      <c r="AU32" s="10" t="e">
        <f t="shared" si="19"/>
        <v>#DIV/0!</v>
      </c>
      <c r="AV32" s="10" t="e">
        <f t="shared" si="20"/>
        <v>#DIV/0!</v>
      </c>
      <c r="AW32" s="10" t="e">
        <f>(AS32*#REF!)/'Est. Cust. Naci.'!H32</f>
        <v>#REF!</v>
      </c>
      <c r="AX32" s="10">
        <f t="shared" si="21"/>
        <v>0</v>
      </c>
    </row>
    <row r="33" spans="2:50" hidden="1">
      <c r="B33">
        <f>'LISTA DE COMPRAS'!A32</f>
        <v>28</v>
      </c>
      <c r="C33" s="83">
        <f>'LISTA DE COMPRAS'!C32</f>
        <v>0</v>
      </c>
      <c r="G33" s="118">
        <f>'LISTA DE COMPRAS'!D33</f>
        <v>0</v>
      </c>
      <c r="H33" s="2">
        <f>'LISTA DE COMPRAS'!J32</f>
        <v>0</v>
      </c>
      <c r="I33" s="119">
        <f>'LISTA DE COMPRAS'!P32</f>
        <v>0</v>
      </c>
      <c r="J33" s="12">
        <f>'LISTA DE COMPRAS'!K32</f>
        <v>0</v>
      </c>
      <c r="K33" s="12">
        <f t="shared" si="5"/>
        <v>0</v>
      </c>
      <c r="L33" s="10">
        <f t="shared" si="6"/>
        <v>0</v>
      </c>
      <c r="M33" s="10">
        <f t="shared" si="7"/>
        <v>0</v>
      </c>
      <c r="N33" s="4">
        <f t="shared" si="8"/>
        <v>0</v>
      </c>
      <c r="O33" s="10">
        <f>'Rateio Custos Fixos'!E39</f>
        <v>0</v>
      </c>
      <c r="P33" s="10">
        <f t="shared" si="9"/>
        <v>0</v>
      </c>
      <c r="Q33" s="10">
        <f t="shared" si="10"/>
        <v>0</v>
      </c>
      <c r="R33" s="10">
        <f t="shared" si="3"/>
        <v>0</v>
      </c>
      <c r="S33" s="10">
        <f t="shared" si="11"/>
        <v>0</v>
      </c>
      <c r="T33" s="10">
        <f t="shared" si="12"/>
        <v>0</v>
      </c>
      <c r="U33" s="10">
        <f t="shared" si="12"/>
        <v>0</v>
      </c>
      <c r="V33" s="10">
        <f t="shared" si="22"/>
        <v>0</v>
      </c>
      <c r="W33" s="10">
        <f t="shared" si="13"/>
        <v>0</v>
      </c>
      <c r="X33" s="10">
        <f t="shared" si="14"/>
        <v>0</v>
      </c>
      <c r="Y33" s="10">
        <f>'Rateio Custos Fixos'!F39</f>
        <v>0</v>
      </c>
      <c r="Z33" s="10">
        <f>'Rateio Custos Fixos'!G39</f>
        <v>0</v>
      </c>
      <c r="AA33" s="10">
        <f>'Rateio Custos Fixos'!H39</f>
        <v>0</v>
      </c>
      <c r="AB33" s="10">
        <f>'Rateio Custos Fixos'!I39</f>
        <v>0</v>
      </c>
      <c r="AC33" s="10">
        <f>'Rateio Custos Fixos'!J39</f>
        <v>0</v>
      </c>
      <c r="AD33" s="10">
        <f>'Rateio Custos Fixos'!K39</f>
        <v>0</v>
      </c>
      <c r="AE33" s="10">
        <f>'Rateio Custos Fixos'!L39</f>
        <v>0</v>
      </c>
      <c r="AF33" s="10">
        <f>'Rateio Custos Fixos'!M39</f>
        <v>0</v>
      </c>
      <c r="AG33" s="10">
        <f>'Rateio Custos Fixos'!N39</f>
        <v>0</v>
      </c>
      <c r="AH33" s="10">
        <f>'Rateio Custos Fixos'!O39</f>
        <v>0</v>
      </c>
      <c r="AI33" s="10">
        <f>'Rateio Custos Fixos'!P39</f>
        <v>0</v>
      </c>
      <c r="AJ33" s="10">
        <f>'Rateio Custos Fixos'!Q39</f>
        <v>0</v>
      </c>
      <c r="AK33" s="10">
        <f>'Rateio Custos Fixos'!R39</f>
        <v>0</v>
      </c>
      <c r="AL33" s="10">
        <f>'Rateio Custos Fixos'!S39</f>
        <v>0</v>
      </c>
      <c r="AM33" s="10">
        <f>'Rateio Custos Fixos'!T39</f>
        <v>0</v>
      </c>
      <c r="AN33" s="10">
        <f>'Rateio Custos Fixos'!U39</f>
        <v>0</v>
      </c>
      <c r="AO33" s="10"/>
      <c r="AP33" s="10">
        <f t="shared" si="15"/>
        <v>0</v>
      </c>
      <c r="AQ33" s="10">
        <f t="shared" si="16"/>
        <v>0</v>
      </c>
      <c r="AR33" s="10">
        <v>2622.3166170147401</v>
      </c>
      <c r="AS33" s="10">
        <f t="shared" si="17"/>
        <v>0</v>
      </c>
      <c r="AT33" s="10" t="e">
        <f t="shared" si="18"/>
        <v>#DIV/0!</v>
      </c>
      <c r="AU33" s="10" t="e">
        <f t="shared" si="19"/>
        <v>#DIV/0!</v>
      </c>
      <c r="AV33" s="10" t="e">
        <f t="shared" si="20"/>
        <v>#DIV/0!</v>
      </c>
      <c r="AW33" s="10" t="e">
        <f>(AS33*#REF!)/'Est. Cust. Naci.'!H33</f>
        <v>#REF!</v>
      </c>
      <c r="AX33" s="10">
        <f t="shared" si="21"/>
        <v>0</v>
      </c>
    </row>
    <row r="34" spans="2:50" hidden="1">
      <c r="B34">
        <f>'LISTA DE COMPRAS'!A33</f>
        <v>29</v>
      </c>
      <c r="C34" s="83">
        <f>'LISTA DE COMPRAS'!C33</f>
        <v>0</v>
      </c>
      <c r="G34" s="118">
        <f>'LISTA DE COMPRAS'!D34</f>
        <v>0</v>
      </c>
      <c r="H34" s="2">
        <f>'LISTA DE COMPRAS'!J33</f>
        <v>0</v>
      </c>
      <c r="I34" s="119">
        <f>'LISTA DE COMPRAS'!P33</f>
        <v>0</v>
      </c>
      <c r="J34" s="12">
        <f>'LISTA DE COMPRAS'!K33</f>
        <v>0</v>
      </c>
      <c r="K34" s="12">
        <f t="shared" si="5"/>
        <v>0</v>
      </c>
      <c r="L34" s="10">
        <f t="shared" si="6"/>
        <v>0</v>
      </c>
      <c r="M34" s="10">
        <f t="shared" si="7"/>
        <v>0</v>
      </c>
      <c r="N34" s="4">
        <f t="shared" si="8"/>
        <v>0</v>
      </c>
      <c r="O34" s="10">
        <f>'Rateio Custos Fixos'!E40</f>
        <v>0</v>
      </c>
      <c r="P34" s="10">
        <f t="shared" si="9"/>
        <v>0</v>
      </c>
      <c r="Q34" s="10">
        <f t="shared" si="10"/>
        <v>0</v>
      </c>
      <c r="R34" s="10">
        <f t="shared" si="3"/>
        <v>0</v>
      </c>
      <c r="S34" s="10">
        <f t="shared" si="11"/>
        <v>0</v>
      </c>
      <c r="T34" s="10">
        <f t="shared" si="12"/>
        <v>0</v>
      </c>
      <c r="U34" s="10">
        <f t="shared" si="12"/>
        <v>0</v>
      </c>
      <c r="V34" s="10">
        <f t="shared" si="22"/>
        <v>0</v>
      </c>
      <c r="W34" s="10">
        <f t="shared" si="13"/>
        <v>0</v>
      </c>
      <c r="X34" s="10">
        <f t="shared" si="14"/>
        <v>0</v>
      </c>
      <c r="Y34" s="10">
        <f>'Rateio Custos Fixos'!F40</f>
        <v>0</v>
      </c>
      <c r="Z34" s="10">
        <f>'Rateio Custos Fixos'!G40</f>
        <v>0</v>
      </c>
      <c r="AA34" s="10">
        <f>'Rateio Custos Fixos'!H40</f>
        <v>0</v>
      </c>
      <c r="AB34" s="10">
        <f>'Rateio Custos Fixos'!I40</f>
        <v>0</v>
      </c>
      <c r="AC34" s="10">
        <f>'Rateio Custos Fixos'!J40</f>
        <v>0</v>
      </c>
      <c r="AD34" s="10">
        <f>'Rateio Custos Fixos'!K40</f>
        <v>0</v>
      </c>
      <c r="AE34" s="10">
        <f>'Rateio Custos Fixos'!L40</f>
        <v>0</v>
      </c>
      <c r="AF34" s="10">
        <f>'Rateio Custos Fixos'!M40</f>
        <v>0</v>
      </c>
      <c r="AG34" s="10">
        <f>'Rateio Custos Fixos'!N40</f>
        <v>0</v>
      </c>
      <c r="AH34" s="10">
        <f>'Rateio Custos Fixos'!O40</f>
        <v>0</v>
      </c>
      <c r="AI34" s="10">
        <f>'Rateio Custos Fixos'!P40</f>
        <v>0</v>
      </c>
      <c r="AJ34" s="10">
        <f>'Rateio Custos Fixos'!Q40</f>
        <v>0</v>
      </c>
      <c r="AK34" s="10">
        <f>'Rateio Custos Fixos'!R40</f>
        <v>0</v>
      </c>
      <c r="AL34" s="10">
        <f>'Rateio Custos Fixos'!S40</f>
        <v>0</v>
      </c>
      <c r="AM34" s="10">
        <f>'Rateio Custos Fixos'!T40</f>
        <v>0</v>
      </c>
      <c r="AN34" s="10">
        <f>'Rateio Custos Fixos'!U40</f>
        <v>0</v>
      </c>
      <c r="AO34" s="10"/>
      <c r="AP34" s="10">
        <f t="shared" si="15"/>
        <v>0</v>
      </c>
      <c r="AQ34" s="10">
        <f t="shared" si="16"/>
        <v>0</v>
      </c>
      <c r="AR34" s="10">
        <v>2623.3166170147401</v>
      </c>
      <c r="AS34" s="10">
        <f t="shared" si="17"/>
        <v>0</v>
      </c>
      <c r="AT34" s="10" t="e">
        <f t="shared" si="18"/>
        <v>#DIV/0!</v>
      </c>
      <c r="AU34" s="10" t="e">
        <f t="shared" si="19"/>
        <v>#DIV/0!</v>
      </c>
      <c r="AV34" s="10" t="e">
        <f t="shared" si="20"/>
        <v>#DIV/0!</v>
      </c>
      <c r="AW34" s="10" t="e">
        <f>(AS34*#REF!)/'Est. Cust. Naci.'!H34</f>
        <v>#REF!</v>
      </c>
      <c r="AX34" s="10">
        <f t="shared" si="21"/>
        <v>0</v>
      </c>
    </row>
    <row r="35" spans="2:50" hidden="1">
      <c r="B35">
        <f>'LISTA DE COMPRAS'!A34</f>
        <v>30</v>
      </c>
      <c r="C35" s="83">
        <f>'LISTA DE COMPRAS'!C34</f>
        <v>0</v>
      </c>
      <c r="G35" s="118">
        <f>'LISTA DE COMPRAS'!D35</f>
        <v>0</v>
      </c>
      <c r="H35" s="2">
        <f>'LISTA DE COMPRAS'!J34</f>
        <v>0</v>
      </c>
      <c r="I35" s="119">
        <f>'LISTA DE COMPRAS'!P34</f>
        <v>0</v>
      </c>
      <c r="J35" s="12">
        <f>'LISTA DE COMPRAS'!K34</f>
        <v>0</v>
      </c>
      <c r="K35" s="12">
        <f t="shared" si="5"/>
        <v>0</v>
      </c>
      <c r="L35" s="10">
        <f t="shared" si="6"/>
        <v>0</v>
      </c>
      <c r="M35" s="10">
        <f t="shared" si="7"/>
        <v>0</v>
      </c>
      <c r="N35" s="4">
        <f t="shared" si="8"/>
        <v>0</v>
      </c>
      <c r="O35" s="10">
        <f>'Rateio Custos Fixos'!E41</f>
        <v>0</v>
      </c>
      <c r="P35" s="10">
        <f t="shared" si="9"/>
        <v>0</v>
      </c>
      <c r="Q35" s="10">
        <f t="shared" si="10"/>
        <v>0</v>
      </c>
      <c r="R35" s="10">
        <f t="shared" si="3"/>
        <v>0</v>
      </c>
      <c r="S35" s="10">
        <f t="shared" si="11"/>
        <v>0</v>
      </c>
      <c r="T35" s="10">
        <f t="shared" si="12"/>
        <v>0</v>
      </c>
      <c r="U35" s="10">
        <f t="shared" si="12"/>
        <v>0</v>
      </c>
      <c r="V35" s="10">
        <f t="shared" si="22"/>
        <v>0</v>
      </c>
      <c r="W35" s="10">
        <f t="shared" si="13"/>
        <v>0</v>
      </c>
      <c r="X35" s="10">
        <f t="shared" si="14"/>
        <v>0</v>
      </c>
      <c r="Y35" s="10">
        <f>'Rateio Custos Fixos'!F41</f>
        <v>0</v>
      </c>
      <c r="Z35" s="10">
        <f>'Rateio Custos Fixos'!G41</f>
        <v>0</v>
      </c>
      <c r="AA35" s="10">
        <f>'Rateio Custos Fixos'!H41</f>
        <v>0</v>
      </c>
      <c r="AB35" s="10">
        <f>'Rateio Custos Fixos'!I41</f>
        <v>0</v>
      </c>
      <c r="AC35" s="10">
        <f>'Rateio Custos Fixos'!J41</f>
        <v>0</v>
      </c>
      <c r="AD35" s="10">
        <f>'Rateio Custos Fixos'!K41</f>
        <v>0</v>
      </c>
      <c r="AE35" s="10">
        <f>'Rateio Custos Fixos'!L41</f>
        <v>0</v>
      </c>
      <c r="AF35" s="10">
        <f>'Rateio Custos Fixos'!M41</f>
        <v>0</v>
      </c>
      <c r="AG35" s="10">
        <f>'Rateio Custos Fixos'!N41</f>
        <v>0</v>
      </c>
      <c r="AH35" s="10">
        <f>'Rateio Custos Fixos'!O41</f>
        <v>0</v>
      </c>
      <c r="AI35" s="10">
        <f>'Rateio Custos Fixos'!P41</f>
        <v>0</v>
      </c>
      <c r="AJ35" s="10">
        <f>'Rateio Custos Fixos'!Q41</f>
        <v>0</v>
      </c>
      <c r="AK35" s="10">
        <f>'Rateio Custos Fixos'!R41</f>
        <v>0</v>
      </c>
      <c r="AL35" s="10">
        <f>'Rateio Custos Fixos'!S41</f>
        <v>0</v>
      </c>
      <c r="AM35" s="10">
        <f>'Rateio Custos Fixos'!T41</f>
        <v>0</v>
      </c>
      <c r="AN35" s="10">
        <f>'Rateio Custos Fixos'!U41</f>
        <v>0</v>
      </c>
      <c r="AO35" s="10"/>
      <c r="AP35" s="10">
        <f t="shared" si="15"/>
        <v>0</v>
      </c>
      <c r="AQ35" s="10">
        <f t="shared" si="16"/>
        <v>0</v>
      </c>
      <c r="AR35" s="10">
        <v>2624.3166170147401</v>
      </c>
      <c r="AS35" s="10">
        <f t="shared" si="17"/>
        <v>0</v>
      </c>
      <c r="AT35" s="10" t="e">
        <f t="shared" si="18"/>
        <v>#DIV/0!</v>
      </c>
      <c r="AU35" s="10" t="e">
        <f t="shared" si="19"/>
        <v>#DIV/0!</v>
      </c>
      <c r="AV35" s="10" t="e">
        <f t="shared" si="20"/>
        <v>#DIV/0!</v>
      </c>
      <c r="AW35" s="10" t="e">
        <f>(AS35*#REF!)/'Est. Cust. Naci.'!H35</f>
        <v>#REF!</v>
      </c>
      <c r="AX35" s="10">
        <f t="shared" si="21"/>
        <v>0</v>
      </c>
    </row>
    <row r="36" spans="2:50" hidden="1">
      <c r="B36">
        <f>'LISTA DE COMPRAS'!A35</f>
        <v>31</v>
      </c>
      <c r="C36" s="83">
        <f>'LISTA DE COMPRAS'!C35</f>
        <v>0</v>
      </c>
      <c r="G36" s="118">
        <f>'LISTA DE COMPRAS'!D36</f>
        <v>0</v>
      </c>
      <c r="H36" s="2">
        <f>'LISTA DE COMPRAS'!J35</f>
        <v>0</v>
      </c>
      <c r="I36" s="119">
        <f>'LISTA DE COMPRAS'!P35</f>
        <v>0</v>
      </c>
      <c r="J36" s="12">
        <f>'LISTA DE COMPRAS'!K35</f>
        <v>0</v>
      </c>
      <c r="K36" s="12">
        <f t="shared" si="5"/>
        <v>0</v>
      </c>
      <c r="L36" s="10">
        <f t="shared" si="6"/>
        <v>0</v>
      </c>
      <c r="M36" s="10">
        <f t="shared" si="7"/>
        <v>0</v>
      </c>
      <c r="N36" s="4">
        <f t="shared" si="8"/>
        <v>0</v>
      </c>
      <c r="O36" s="10">
        <f>'Rateio Custos Fixos'!E42</f>
        <v>0</v>
      </c>
      <c r="P36" s="10">
        <f t="shared" si="9"/>
        <v>0</v>
      </c>
      <c r="Q36" s="10">
        <f t="shared" si="10"/>
        <v>0</v>
      </c>
      <c r="R36" s="10">
        <f t="shared" si="3"/>
        <v>0</v>
      </c>
      <c r="S36" s="10">
        <f t="shared" si="11"/>
        <v>0</v>
      </c>
      <c r="T36" s="10">
        <f t="shared" si="12"/>
        <v>0</v>
      </c>
      <c r="U36" s="10">
        <f t="shared" si="12"/>
        <v>0</v>
      </c>
      <c r="V36" s="10">
        <f t="shared" si="22"/>
        <v>0</v>
      </c>
      <c r="W36" s="10">
        <f t="shared" si="13"/>
        <v>0</v>
      </c>
      <c r="X36" s="10">
        <f t="shared" si="14"/>
        <v>0</v>
      </c>
      <c r="Y36" s="10">
        <f>'Rateio Custos Fixos'!F42</f>
        <v>0</v>
      </c>
      <c r="Z36" s="10">
        <f>'Rateio Custos Fixos'!G42</f>
        <v>0</v>
      </c>
      <c r="AA36" s="10">
        <f>'Rateio Custos Fixos'!H42</f>
        <v>0</v>
      </c>
      <c r="AB36" s="10">
        <f>'Rateio Custos Fixos'!I42</f>
        <v>0</v>
      </c>
      <c r="AC36" s="10">
        <f>'Rateio Custos Fixos'!J42</f>
        <v>0</v>
      </c>
      <c r="AD36" s="10">
        <f>'Rateio Custos Fixos'!K42</f>
        <v>0</v>
      </c>
      <c r="AE36" s="10">
        <f>'Rateio Custos Fixos'!L42</f>
        <v>0</v>
      </c>
      <c r="AF36" s="10">
        <f>'Rateio Custos Fixos'!M42</f>
        <v>0</v>
      </c>
      <c r="AG36" s="10">
        <f>'Rateio Custos Fixos'!N42</f>
        <v>0</v>
      </c>
      <c r="AH36" s="10">
        <f>'Rateio Custos Fixos'!O42</f>
        <v>0</v>
      </c>
      <c r="AI36" s="10">
        <f>'Rateio Custos Fixos'!P42</f>
        <v>0</v>
      </c>
      <c r="AJ36" s="10">
        <f>'Rateio Custos Fixos'!Q42</f>
        <v>0</v>
      </c>
      <c r="AK36" s="10">
        <f>'Rateio Custos Fixos'!R42</f>
        <v>0</v>
      </c>
      <c r="AL36" s="10">
        <f>'Rateio Custos Fixos'!S42</f>
        <v>0</v>
      </c>
      <c r="AM36" s="10">
        <f>'Rateio Custos Fixos'!T42</f>
        <v>0</v>
      </c>
      <c r="AN36" s="10">
        <f>'Rateio Custos Fixos'!U42</f>
        <v>0</v>
      </c>
      <c r="AO36" s="10"/>
      <c r="AP36" s="10">
        <f t="shared" si="15"/>
        <v>0</v>
      </c>
      <c r="AQ36" s="10">
        <f t="shared" si="16"/>
        <v>0</v>
      </c>
      <c r="AR36" s="10">
        <v>2625.3166170147401</v>
      </c>
      <c r="AS36" s="10">
        <f t="shared" si="17"/>
        <v>0</v>
      </c>
      <c r="AT36" s="10" t="e">
        <f t="shared" si="18"/>
        <v>#DIV/0!</v>
      </c>
      <c r="AU36" s="10" t="e">
        <f t="shared" si="19"/>
        <v>#DIV/0!</v>
      </c>
      <c r="AV36" s="10" t="e">
        <f t="shared" si="20"/>
        <v>#DIV/0!</v>
      </c>
      <c r="AW36" s="10" t="e">
        <f>(AS36*#REF!)/'Est. Cust. Naci.'!H36</f>
        <v>#REF!</v>
      </c>
      <c r="AX36" s="10">
        <f t="shared" si="21"/>
        <v>0</v>
      </c>
    </row>
    <row r="37" spans="2:50" hidden="1">
      <c r="B37">
        <f>'LISTA DE COMPRAS'!A36</f>
        <v>32</v>
      </c>
      <c r="C37" s="83">
        <f>'LISTA DE COMPRAS'!C36</f>
        <v>0</v>
      </c>
      <c r="G37" s="118">
        <f>'LISTA DE COMPRAS'!D37</f>
        <v>0</v>
      </c>
      <c r="H37" s="2">
        <f>'LISTA DE COMPRAS'!J36</f>
        <v>0</v>
      </c>
      <c r="I37" s="119">
        <f>'LISTA DE COMPRAS'!P36</f>
        <v>0</v>
      </c>
      <c r="J37" s="12">
        <f>'LISTA DE COMPRAS'!K36</f>
        <v>0</v>
      </c>
      <c r="K37" s="12">
        <f t="shared" si="5"/>
        <v>0</v>
      </c>
      <c r="L37" s="10">
        <f t="shared" si="6"/>
        <v>0</v>
      </c>
      <c r="M37" s="10">
        <f t="shared" si="7"/>
        <v>0</v>
      </c>
      <c r="N37" s="4">
        <f t="shared" si="8"/>
        <v>0</v>
      </c>
      <c r="O37" s="10">
        <f>'Rateio Custos Fixos'!E43</f>
        <v>0</v>
      </c>
      <c r="P37" s="10">
        <f t="shared" si="9"/>
        <v>0</v>
      </c>
      <c r="Q37" s="10">
        <f t="shared" si="10"/>
        <v>0</v>
      </c>
      <c r="R37" s="10">
        <f t="shared" si="3"/>
        <v>0</v>
      </c>
      <c r="S37" s="10">
        <f t="shared" si="11"/>
        <v>0</v>
      </c>
      <c r="T37" s="10">
        <f t="shared" si="12"/>
        <v>0</v>
      </c>
      <c r="U37" s="10">
        <f t="shared" si="12"/>
        <v>0</v>
      </c>
      <c r="V37" s="10">
        <f t="shared" si="22"/>
        <v>0</v>
      </c>
      <c r="W37" s="10">
        <f t="shared" si="13"/>
        <v>0</v>
      </c>
      <c r="X37" s="10">
        <f t="shared" si="14"/>
        <v>0</v>
      </c>
      <c r="Y37" s="10">
        <f>'Rateio Custos Fixos'!F43</f>
        <v>0</v>
      </c>
      <c r="Z37" s="10">
        <f>'Rateio Custos Fixos'!G43</f>
        <v>0</v>
      </c>
      <c r="AA37" s="10">
        <f>'Rateio Custos Fixos'!H43</f>
        <v>0</v>
      </c>
      <c r="AB37" s="10">
        <f>'Rateio Custos Fixos'!I43</f>
        <v>0</v>
      </c>
      <c r="AC37" s="10">
        <f>'Rateio Custos Fixos'!J43</f>
        <v>0</v>
      </c>
      <c r="AD37" s="10">
        <f>'Rateio Custos Fixos'!K43</f>
        <v>0</v>
      </c>
      <c r="AE37" s="10">
        <f>'Rateio Custos Fixos'!L43</f>
        <v>0</v>
      </c>
      <c r="AF37" s="10">
        <f>'Rateio Custos Fixos'!M43</f>
        <v>0</v>
      </c>
      <c r="AG37" s="10">
        <f>'Rateio Custos Fixos'!N43</f>
        <v>0</v>
      </c>
      <c r="AH37" s="10">
        <f>'Rateio Custos Fixos'!O43</f>
        <v>0</v>
      </c>
      <c r="AI37" s="10">
        <f>'Rateio Custos Fixos'!P43</f>
        <v>0</v>
      </c>
      <c r="AJ37" s="10">
        <f>'Rateio Custos Fixos'!Q43</f>
        <v>0</v>
      </c>
      <c r="AK37" s="10">
        <f>'Rateio Custos Fixos'!R43</f>
        <v>0</v>
      </c>
      <c r="AL37" s="10">
        <f>'Rateio Custos Fixos'!S43</f>
        <v>0</v>
      </c>
      <c r="AM37" s="10">
        <f>'Rateio Custos Fixos'!T43</f>
        <v>0</v>
      </c>
      <c r="AN37" s="10">
        <f>'Rateio Custos Fixos'!U43</f>
        <v>0</v>
      </c>
      <c r="AO37" s="10"/>
      <c r="AP37" s="10">
        <f t="shared" si="15"/>
        <v>0</v>
      </c>
      <c r="AQ37" s="10">
        <f t="shared" si="16"/>
        <v>0</v>
      </c>
      <c r="AR37" s="10">
        <v>2626.3166170147401</v>
      </c>
      <c r="AS37" s="10">
        <f t="shared" si="17"/>
        <v>0</v>
      </c>
      <c r="AT37" s="10" t="e">
        <f t="shared" si="18"/>
        <v>#DIV/0!</v>
      </c>
      <c r="AU37" s="10" t="e">
        <f t="shared" si="19"/>
        <v>#DIV/0!</v>
      </c>
      <c r="AV37" s="10" t="e">
        <f t="shared" si="20"/>
        <v>#DIV/0!</v>
      </c>
      <c r="AW37" s="10" t="e">
        <f>(AS37*#REF!)/'Est. Cust. Naci.'!H37</f>
        <v>#REF!</v>
      </c>
      <c r="AX37" s="10">
        <f t="shared" si="21"/>
        <v>0</v>
      </c>
    </row>
    <row r="38" spans="2:50" hidden="1">
      <c r="B38">
        <f>'LISTA DE COMPRAS'!A37</f>
        <v>33</v>
      </c>
      <c r="C38" s="83">
        <f>'LISTA DE COMPRAS'!C37</f>
        <v>0</v>
      </c>
      <c r="G38" s="118">
        <f>'LISTA DE COMPRAS'!D38</f>
        <v>0</v>
      </c>
      <c r="H38" s="2">
        <f>'LISTA DE COMPRAS'!J37</f>
        <v>0</v>
      </c>
      <c r="I38" s="119">
        <f>'LISTA DE COMPRAS'!P37</f>
        <v>0</v>
      </c>
      <c r="J38" s="12">
        <f>'LISTA DE COMPRAS'!K37</f>
        <v>0</v>
      </c>
      <c r="K38" s="12">
        <f t="shared" si="5"/>
        <v>0</v>
      </c>
      <c r="L38" s="10">
        <f t="shared" si="6"/>
        <v>0</v>
      </c>
      <c r="M38" s="10">
        <f t="shared" si="7"/>
        <v>0</v>
      </c>
      <c r="N38" s="4">
        <f t="shared" si="8"/>
        <v>0</v>
      </c>
      <c r="O38" s="10">
        <f>'Rateio Custos Fixos'!E44</f>
        <v>0</v>
      </c>
      <c r="P38" s="10">
        <f t="shared" si="9"/>
        <v>0</v>
      </c>
      <c r="Q38" s="10">
        <f t="shared" si="10"/>
        <v>0</v>
      </c>
      <c r="R38" s="10">
        <f t="shared" ref="R38:R58" si="23">$P38*R$5</f>
        <v>0</v>
      </c>
      <c r="S38" s="10">
        <f t="shared" si="11"/>
        <v>0</v>
      </c>
      <c r="T38" s="10">
        <f t="shared" si="12"/>
        <v>0</v>
      </c>
      <c r="U38" s="10">
        <f t="shared" si="12"/>
        <v>0</v>
      </c>
      <c r="V38" s="10">
        <f t="shared" si="22"/>
        <v>0</v>
      </c>
      <c r="W38" s="10">
        <f t="shared" si="13"/>
        <v>0</v>
      </c>
      <c r="X38" s="10">
        <f t="shared" si="14"/>
        <v>0</v>
      </c>
      <c r="Y38" s="10">
        <f>'Rateio Custos Fixos'!F44</f>
        <v>0</v>
      </c>
      <c r="Z38" s="10">
        <f>'Rateio Custos Fixos'!G44</f>
        <v>0</v>
      </c>
      <c r="AA38" s="10">
        <f>'Rateio Custos Fixos'!H44</f>
        <v>0</v>
      </c>
      <c r="AB38" s="10">
        <f>'Rateio Custos Fixos'!I44</f>
        <v>0</v>
      </c>
      <c r="AC38" s="10">
        <f>'Rateio Custos Fixos'!J44</f>
        <v>0</v>
      </c>
      <c r="AD38" s="10">
        <f>'Rateio Custos Fixos'!K44</f>
        <v>0</v>
      </c>
      <c r="AE38" s="10">
        <f>'Rateio Custos Fixos'!L44</f>
        <v>0</v>
      </c>
      <c r="AF38" s="10">
        <f>'Rateio Custos Fixos'!M44</f>
        <v>0</v>
      </c>
      <c r="AG38" s="10">
        <f>'Rateio Custos Fixos'!N44</f>
        <v>0</v>
      </c>
      <c r="AH38" s="10">
        <f>'Rateio Custos Fixos'!O44</f>
        <v>0</v>
      </c>
      <c r="AI38" s="10">
        <f>'Rateio Custos Fixos'!P44</f>
        <v>0</v>
      </c>
      <c r="AJ38" s="10">
        <f>'Rateio Custos Fixos'!Q44</f>
        <v>0</v>
      </c>
      <c r="AK38" s="10">
        <f>'Rateio Custos Fixos'!R44</f>
        <v>0</v>
      </c>
      <c r="AL38" s="10">
        <f>'Rateio Custos Fixos'!S44</f>
        <v>0</v>
      </c>
      <c r="AM38" s="10">
        <f>'Rateio Custos Fixos'!T44</f>
        <v>0</v>
      </c>
      <c r="AN38" s="10">
        <f>'Rateio Custos Fixos'!U44</f>
        <v>0</v>
      </c>
      <c r="AO38" s="10"/>
      <c r="AP38" s="10">
        <f t="shared" si="15"/>
        <v>0</v>
      </c>
      <c r="AQ38" s="10">
        <f t="shared" si="16"/>
        <v>0</v>
      </c>
      <c r="AR38" s="10">
        <v>2627.3166170147401</v>
      </c>
      <c r="AS38" s="10">
        <f t="shared" si="17"/>
        <v>0</v>
      </c>
      <c r="AT38" s="10" t="e">
        <f t="shared" si="18"/>
        <v>#DIV/0!</v>
      </c>
      <c r="AU38" s="10" t="e">
        <f t="shared" si="19"/>
        <v>#DIV/0!</v>
      </c>
      <c r="AV38" s="10" t="e">
        <f t="shared" si="20"/>
        <v>#DIV/0!</v>
      </c>
      <c r="AW38" s="10" t="e">
        <f>(AS38*#REF!)/'Est. Cust. Naci.'!H38</f>
        <v>#REF!</v>
      </c>
      <c r="AX38" s="10">
        <f t="shared" si="21"/>
        <v>0</v>
      </c>
    </row>
    <row r="39" spans="2:50" hidden="1">
      <c r="B39">
        <f>'LISTA DE COMPRAS'!A38</f>
        <v>34</v>
      </c>
      <c r="C39" s="83">
        <f>'LISTA DE COMPRAS'!C38</f>
        <v>0</v>
      </c>
      <c r="G39" s="118">
        <f>'LISTA DE COMPRAS'!D39</f>
        <v>0</v>
      </c>
      <c r="H39" s="2">
        <f>'LISTA DE COMPRAS'!J38</f>
        <v>0</v>
      </c>
      <c r="I39" s="119">
        <f>'LISTA DE COMPRAS'!P38</f>
        <v>0</v>
      </c>
      <c r="J39" s="12">
        <f>'LISTA DE COMPRAS'!K38</f>
        <v>0</v>
      </c>
      <c r="K39" s="12">
        <f t="shared" si="5"/>
        <v>0</v>
      </c>
      <c r="L39" s="10">
        <f t="shared" si="6"/>
        <v>0</v>
      </c>
      <c r="M39" s="10">
        <f t="shared" si="7"/>
        <v>0</v>
      </c>
      <c r="N39" s="4">
        <f t="shared" si="8"/>
        <v>0</v>
      </c>
      <c r="O39" s="10">
        <f>'Rateio Custos Fixos'!E45</f>
        <v>0</v>
      </c>
      <c r="P39" s="10">
        <f t="shared" si="9"/>
        <v>0</v>
      </c>
      <c r="Q39" s="10">
        <f t="shared" si="10"/>
        <v>0</v>
      </c>
      <c r="R39" s="10">
        <f t="shared" si="23"/>
        <v>0</v>
      </c>
      <c r="S39" s="10">
        <f t="shared" si="11"/>
        <v>0</v>
      </c>
      <c r="T39" s="10">
        <f t="shared" ref="T39:U58" si="24">$Q39*T$5</f>
        <v>0</v>
      </c>
      <c r="U39" s="10">
        <f t="shared" si="24"/>
        <v>0</v>
      </c>
      <c r="V39" s="10">
        <f t="shared" si="22"/>
        <v>0</v>
      </c>
      <c r="W39" s="10">
        <f t="shared" si="13"/>
        <v>0</v>
      </c>
      <c r="X39" s="10">
        <f t="shared" si="14"/>
        <v>0</v>
      </c>
      <c r="Y39" s="10">
        <f>'Rateio Custos Fixos'!F45</f>
        <v>0</v>
      </c>
      <c r="Z39" s="10">
        <f>'Rateio Custos Fixos'!G45</f>
        <v>0</v>
      </c>
      <c r="AA39" s="10">
        <f>'Rateio Custos Fixos'!H45</f>
        <v>0</v>
      </c>
      <c r="AB39" s="10">
        <f>'Rateio Custos Fixos'!I45</f>
        <v>0</v>
      </c>
      <c r="AC39" s="10">
        <f>'Rateio Custos Fixos'!J45</f>
        <v>0</v>
      </c>
      <c r="AD39" s="10">
        <f>'Rateio Custos Fixos'!K45</f>
        <v>0</v>
      </c>
      <c r="AE39" s="10">
        <f>'Rateio Custos Fixos'!L45</f>
        <v>0</v>
      </c>
      <c r="AF39" s="10">
        <f>'Rateio Custos Fixos'!M45</f>
        <v>0</v>
      </c>
      <c r="AG39" s="10">
        <f>'Rateio Custos Fixos'!N45</f>
        <v>0</v>
      </c>
      <c r="AH39" s="10">
        <f>'Rateio Custos Fixos'!O45</f>
        <v>0</v>
      </c>
      <c r="AI39" s="10">
        <f>'Rateio Custos Fixos'!P45</f>
        <v>0</v>
      </c>
      <c r="AJ39" s="10">
        <f>'Rateio Custos Fixos'!Q45</f>
        <v>0</v>
      </c>
      <c r="AK39" s="10">
        <f>'Rateio Custos Fixos'!R45</f>
        <v>0</v>
      </c>
      <c r="AL39" s="10">
        <f>'Rateio Custos Fixos'!S45</f>
        <v>0</v>
      </c>
      <c r="AM39" s="10">
        <f>'Rateio Custos Fixos'!T45</f>
        <v>0</v>
      </c>
      <c r="AN39" s="10">
        <f>'Rateio Custos Fixos'!U45</f>
        <v>0</v>
      </c>
      <c r="AO39" s="10"/>
      <c r="AP39" s="10">
        <f t="shared" si="15"/>
        <v>0</v>
      </c>
      <c r="AQ39" s="10">
        <f t="shared" si="16"/>
        <v>0</v>
      </c>
      <c r="AR39" s="10">
        <v>2628.3166170147401</v>
      </c>
      <c r="AS39" s="10">
        <f t="shared" si="17"/>
        <v>0</v>
      </c>
      <c r="AT39" s="10" t="e">
        <f t="shared" si="18"/>
        <v>#DIV/0!</v>
      </c>
      <c r="AU39" s="10" t="e">
        <f t="shared" si="19"/>
        <v>#DIV/0!</v>
      </c>
      <c r="AV39" s="10" t="e">
        <f t="shared" si="20"/>
        <v>#DIV/0!</v>
      </c>
      <c r="AW39" s="10" t="e">
        <f>(AS39*#REF!)/'Est. Cust. Naci.'!H39</f>
        <v>#REF!</v>
      </c>
      <c r="AX39" s="10">
        <f t="shared" si="21"/>
        <v>0</v>
      </c>
    </row>
    <row r="40" spans="2:50" hidden="1">
      <c r="B40">
        <f>'LISTA DE COMPRAS'!A39</f>
        <v>35</v>
      </c>
      <c r="C40" s="83">
        <f>'LISTA DE COMPRAS'!C39</f>
        <v>0</v>
      </c>
      <c r="G40" s="118">
        <f>'LISTA DE COMPRAS'!D40</f>
        <v>0</v>
      </c>
      <c r="H40" s="2">
        <f>'LISTA DE COMPRAS'!J39</f>
        <v>0</v>
      </c>
      <c r="I40" s="119">
        <f>'LISTA DE COMPRAS'!P39</f>
        <v>0</v>
      </c>
      <c r="J40" s="12">
        <f>'LISTA DE COMPRAS'!K39</f>
        <v>0</v>
      </c>
      <c r="K40" s="12">
        <f t="shared" si="5"/>
        <v>0</v>
      </c>
      <c r="L40" s="10">
        <f t="shared" si="6"/>
        <v>0</v>
      </c>
      <c r="M40" s="10">
        <f t="shared" si="7"/>
        <v>0</v>
      </c>
      <c r="N40" s="4">
        <f t="shared" si="8"/>
        <v>0</v>
      </c>
      <c r="O40" s="10">
        <f>'Rateio Custos Fixos'!E46</f>
        <v>0</v>
      </c>
      <c r="P40" s="10">
        <f t="shared" si="9"/>
        <v>0</v>
      </c>
      <c r="Q40" s="10">
        <f t="shared" si="10"/>
        <v>0</v>
      </c>
      <c r="R40" s="10">
        <f t="shared" si="23"/>
        <v>0</v>
      </c>
      <c r="S40" s="10">
        <f t="shared" si="11"/>
        <v>0</v>
      </c>
      <c r="T40" s="10">
        <f t="shared" si="24"/>
        <v>0</v>
      </c>
      <c r="U40" s="10">
        <f t="shared" si="24"/>
        <v>0</v>
      </c>
      <c r="V40" s="10">
        <f t="shared" si="22"/>
        <v>0</v>
      </c>
      <c r="W40" s="10">
        <f t="shared" si="13"/>
        <v>0</v>
      </c>
      <c r="X40" s="10">
        <f t="shared" si="14"/>
        <v>0</v>
      </c>
      <c r="Y40" s="10">
        <f>'Rateio Custos Fixos'!F46</f>
        <v>0</v>
      </c>
      <c r="Z40" s="10">
        <f>'Rateio Custos Fixos'!G46</f>
        <v>0</v>
      </c>
      <c r="AA40" s="10">
        <f>'Rateio Custos Fixos'!H46</f>
        <v>0</v>
      </c>
      <c r="AB40" s="10">
        <f>'Rateio Custos Fixos'!I46</f>
        <v>0</v>
      </c>
      <c r="AC40" s="10">
        <f>'Rateio Custos Fixos'!J46</f>
        <v>0</v>
      </c>
      <c r="AD40" s="10">
        <f>'Rateio Custos Fixos'!K46</f>
        <v>0</v>
      </c>
      <c r="AE40" s="10">
        <f>'Rateio Custos Fixos'!L46</f>
        <v>0</v>
      </c>
      <c r="AF40" s="10">
        <f>'Rateio Custos Fixos'!M46</f>
        <v>0</v>
      </c>
      <c r="AG40" s="10">
        <f>'Rateio Custos Fixos'!N46</f>
        <v>0</v>
      </c>
      <c r="AH40" s="10">
        <f>'Rateio Custos Fixos'!O46</f>
        <v>0</v>
      </c>
      <c r="AI40" s="10">
        <f>'Rateio Custos Fixos'!P46</f>
        <v>0</v>
      </c>
      <c r="AJ40" s="10">
        <f>'Rateio Custos Fixos'!Q46</f>
        <v>0</v>
      </c>
      <c r="AK40" s="10">
        <f>'Rateio Custos Fixos'!R46</f>
        <v>0</v>
      </c>
      <c r="AL40" s="10">
        <f>'Rateio Custos Fixos'!S46</f>
        <v>0</v>
      </c>
      <c r="AM40" s="10">
        <f>'Rateio Custos Fixos'!T46</f>
        <v>0</v>
      </c>
      <c r="AN40" s="10">
        <f>'Rateio Custos Fixos'!U46</f>
        <v>0</v>
      </c>
      <c r="AO40" s="10"/>
      <c r="AP40" s="10">
        <f t="shared" si="15"/>
        <v>0</v>
      </c>
      <c r="AQ40" s="10">
        <f t="shared" si="16"/>
        <v>0</v>
      </c>
      <c r="AR40" s="10">
        <v>2629.3166170147401</v>
      </c>
      <c r="AS40" s="10">
        <f t="shared" si="17"/>
        <v>0</v>
      </c>
      <c r="AT40" s="10" t="e">
        <f t="shared" si="18"/>
        <v>#DIV/0!</v>
      </c>
      <c r="AU40" s="10" t="e">
        <f t="shared" si="19"/>
        <v>#DIV/0!</v>
      </c>
      <c r="AV40" s="10" t="e">
        <f t="shared" si="20"/>
        <v>#DIV/0!</v>
      </c>
      <c r="AW40" s="10" t="e">
        <f>(AS40*#REF!)/'Est. Cust. Naci.'!H40</f>
        <v>#REF!</v>
      </c>
      <c r="AX40" s="10">
        <f t="shared" si="21"/>
        <v>0</v>
      </c>
    </row>
    <row r="41" spans="2:50" hidden="1">
      <c r="B41">
        <f>'LISTA DE COMPRAS'!A40</f>
        <v>36</v>
      </c>
      <c r="C41" s="83">
        <f>'LISTA DE COMPRAS'!C40</f>
        <v>0</v>
      </c>
      <c r="G41" s="118">
        <f>'LISTA DE COMPRAS'!D41</f>
        <v>0</v>
      </c>
      <c r="H41" s="2">
        <f>'LISTA DE COMPRAS'!J40</f>
        <v>0</v>
      </c>
      <c r="I41" s="119">
        <f>'LISTA DE COMPRAS'!P40</f>
        <v>0</v>
      </c>
      <c r="J41" s="12">
        <f>'LISTA DE COMPRAS'!K40</f>
        <v>0</v>
      </c>
      <c r="K41" s="12">
        <f t="shared" si="5"/>
        <v>0</v>
      </c>
      <c r="L41" s="10">
        <f t="shared" si="6"/>
        <v>0</v>
      </c>
      <c r="M41" s="10">
        <f t="shared" si="7"/>
        <v>0</v>
      </c>
      <c r="N41" s="4">
        <f t="shared" si="8"/>
        <v>0</v>
      </c>
      <c r="O41" s="10">
        <f>'Rateio Custos Fixos'!E47</f>
        <v>0</v>
      </c>
      <c r="P41" s="10">
        <f t="shared" si="9"/>
        <v>0</v>
      </c>
      <c r="Q41" s="10">
        <f t="shared" si="10"/>
        <v>0</v>
      </c>
      <c r="R41" s="10">
        <f t="shared" si="23"/>
        <v>0</v>
      </c>
      <c r="S41" s="10">
        <f t="shared" si="11"/>
        <v>0</v>
      </c>
      <c r="T41" s="10">
        <f t="shared" si="24"/>
        <v>0</v>
      </c>
      <c r="U41" s="10">
        <f t="shared" si="24"/>
        <v>0</v>
      </c>
      <c r="V41" s="10">
        <f t="shared" si="22"/>
        <v>0</v>
      </c>
      <c r="W41" s="10">
        <f t="shared" si="13"/>
        <v>0</v>
      </c>
      <c r="X41" s="10">
        <f t="shared" si="14"/>
        <v>0</v>
      </c>
      <c r="Y41" s="10">
        <f>'Rateio Custos Fixos'!F47</f>
        <v>0</v>
      </c>
      <c r="Z41" s="10">
        <f>'Rateio Custos Fixos'!G47</f>
        <v>0</v>
      </c>
      <c r="AA41" s="10">
        <f>'Rateio Custos Fixos'!H47</f>
        <v>0</v>
      </c>
      <c r="AB41" s="10">
        <f>'Rateio Custos Fixos'!I47</f>
        <v>0</v>
      </c>
      <c r="AC41" s="10">
        <f>'Rateio Custos Fixos'!J47</f>
        <v>0</v>
      </c>
      <c r="AD41" s="10">
        <f>'Rateio Custos Fixos'!K47</f>
        <v>0</v>
      </c>
      <c r="AE41" s="10">
        <f>'Rateio Custos Fixos'!L47</f>
        <v>0</v>
      </c>
      <c r="AF41" s="10">
        <f>'Rateio Custos Fixos'!M47</f>
        <v>0</v>
      </c>
      <c r="AG41" s="10">
        <f>'Rateio Custos Fixos'!N47</f>
        <v>0</v>
      </c>
      <c r="AH41" s="10">
        <f>'Rateio Custos Fixos'!O47</f>
        <v>0</v>
      </c>
      <c r="AI41" s="10">
        <f>'Rateio Custos Fixos'!P47</f>
        <v>0</v>
      </c>
      <c r="AJ41" s="10">
        <f>'Rateio Custos Fixos'!Q47</f>
        <v>0</v>
      </c>
      <c r="AK41" s="10">
        <f>'Rateio Custos Fixos'!R47</f>
        <v>0</v>
      </c>
      <c r="AL41" s="10">
        <f>'Rateio Custos Fixos'!S47</f>
        <v>0</v>
      </c>
      <c r="AM41" s="10">
        <f>'Rateio Custos Fixos'!T47</f>
        <v>0</v>
      </c>
      <c r="AN41" s="10">
        <f>'Rateio Custos Fixos'!U47</f>
        <v>0</v>
      </c>
      <c r="AO41" s="10"/>
      <c r="AP41" s="10">
        <f t="shared" si="15"/>
        <v>0</v>
      </c>
      <c r="AQ41" s="10">
        <f t="shared" si="16"/>
        <v>0</v>
      </c>
      <c r="AR41" s="10">
        <v>2630.3166170147401</v>
      </c>
      <c r="AS41" s="10">
        <f t="shared" si="17"/>
        <v>0</v>
      </c>
      <c r="AT41" s="10" t="e">
        <f t="shared" si="18"/>
        <v>#DIV/0!</v>
      </c>
      <c r="AU41" s="10" t="e">
        <f t="shared" si="19"/>
        <v>#DIV/0!</v>
      </c>
      <c r="AV41" s="10" t="e">
        <f t="shared" si="20"/>
        <v>#DIV/0!</v>
      </c>
      <c r="AW41" s="10" t="e">
        <f>(AS41*#REF!)/'Est. Cust. Naci.'!H41</f>
        <v>#REF!</v>
      </c>
      <c r="AX41" s="10">
        <f t="shared" si="21"/>
        <v>0</v>
      </c>
    </row>
    <row r="42" spans="2:50" hidden="1">
      <c r="B42">
        <f>'LISTA DE COMPRAS'!A41</f>
        <v>37</v>
      </c>
      <c r="C42" s="83">
        <f>'LISTA DE COMPRAS'!C41</f>
        <v>0</v>
      </c>
      <c r="G42" s="118">
        <f>'LISTA DE COMPRAS'!D42</f>
        <v>0</v>
      </c>
      <c r="H42" s="2">
        <f>'LISTA DE COMPRAS'!J41</f>
        <v>0</v>
      </c>
      <c r="I42" s="119">
        <f>'LISTA DE COMPRAS'!P41</f>
        <v>0</v>
      </c>
      <c r="J42" s="12">
        <f>'LISTA DE COMPRAS'!K41</f>
        <v>0</v>
      </c>
      <c r="K42" s="12">
        <f t="shared" si="5"/>
        <v>0</v>
      </c>
      <c r="L42" s="10">
        <f t="shared" si="6"/>
        <v>0</v>
      </c>
      <c r="M42" s="10">
        <f t="shared" si="7"/>
        <v>0</v>
      </c>
      <c r="N42" s="4">
        <f t="shared" si="8"/>
        <v>0</v>
      </c>
      <c r="O42" s="10">
        <f>'Rateio Custos Fixos'!E48</f>
        <v>0</v>
      </c>
      <c r="P42" s="10">
        <f t="shared" si="9"/>
        <v>0</v>
      </c>
      <c r="Q42" s="10">
        <f t="shared" si="10"/>
        <v>0</v>
      </c>
      <c r="R42" s="10">
        <f t="shared" si="23"/>
        <v>0</v>
      </c>
      <c r="S42" s="10">
        <f t="shared" si="11"/>
        <v>0</v>
      </c>
      <c r="T42" s="10">
        <f t="shared" si="24"/>
        <v>0</v>
      </c>
      <c r="U42" s="10">
        <f t="shared" si="24"/>
        <v>0</v>
      </c>
      <c r="V42" s="10">
        <f t="shared" si="22"/>
        <v>0</v>
      </c>
      <c r="W42" s="10">
        <f t="shared" si="13"/>
        <v>0</v>
      </c>
      <c r="X42" s="10">
        <f t="shared" si="14"/>
        <v>0</v>
      </c>
      <c r="Y42" s="10">
        <f>'Rateio Custos Fixos'!F48</f>
        <v>0</v>
      </c>
      <c r="Z42" s="10">
        <f>'Rateio Custos Fixos'!G48</f>
        <v>0</v>
      </c>
      <c r="AA42" s="10">
        <f>'Rateio Custos Fixos'!H48</f>
        <v>0</v>
      </c>
      <c r="AB42" s="10">
        <f>'Rateio Custos Fixos'!I48</f>
        <v>0</v>
      </c>
      <c r="AC42" s="10">
        <f>'Rateio Custos Fixos'!J48</f>
        <v>0</v>
      </c>
      <c r="AD42" s="10">
        <f>'Rateio Custos Fixos'!K48</f>
        <v>0</v>
      </c>
      <c r="AE42" s="10">
        <f>'Rateio Custos Fixos'!L48</f>
        <v>0</v>
      </c>
      <c r="AF42" s="10">
        <f>'Rateio Custos Fixos'!M48</f>
        <v>0</v>
      </c>
      <c r="AG42" s="10">
        <f>'Rateio Custos Fixos'!N48</f>
        <v>0</v>
      </c>
      <c r="AH42" s="10">
        <f>'Rateio Custos Fixos'!O48</f>
        <v>0</v>
      </c>
      <c r="AI42" s="10">
        <f>'Rateio Custos Fixos'!P48</f>
        <v>0</v>
      </c>
      <c r="AJ42" s="10">
        <f>'Rateio Custos Fixos'!Q48</f>
        <v>0</v>
      </c>
      <c r="AK42" s="10">
        <f>'Rateio Custos Fixos'!R48</f>
        <v>0</v>
      </c>
      <c r="AL42" s="10">
        <f>'Rateio Custos Fixos'!S48</f>
        <v>0</v>
      </c>
      <c r="AM42" s="10">
        <f>'Rateio Custos Fixos'!T48</f>
        <v>0</v>
      </c>
      <c r="AN42" s="10">
        <f>'Rateio Custos Fixos'!U48</f>
        <v>0</v>
      </c>
      <c r="AO42" s="10"/>
      <c r="AP42" s="10">
        <f t="shared" si="15"/>
        <v>0</v>
      </c>
      <c r="AQ42" s="10">
        <f t="shared" si="16"/>
        <v>0</v>
      </c>
      <c r="AR42" s="10">
        <v>2631.3166170147401</v>
      </c>
      <c r="AS42" s="10">
        <f t="shared" si="17"/>
        <v>0</v>
      </c>
      <c r="AT42" s="10" t="e">
        <f t="shared" si="18"/>
        <v>#DIV/0!</v>
      </c>
      <c r="AU42" s="10" t="e">
        <f t="shared" si="19"/>
        <v>#DIV/0!</v>
      </c>
      <c r="AV42" s="10" t="e">
        <f t="shared" si="20"/>
        <v>#DIV/0!</v>
      </c>
      <c r="AW42" s="10" t="e">
        <f>(AS42*#REF!)/'Est. Cust. Naci.'!H42</f>
        <v>#REF!</v>
      </c>
      <c r="AX42" s="10">
        <f t="shared" si="21"/>
        <v>0</v>
      </c>
    </row>
    <row r="43" spans="2:50" hidden="1">
      <c r="B43">
        <f>'LISTA DE COMPRAS'!A42</f>
        <v>38</v>
      </c>
      <c r="C43" s="83">
        <f>'LISTA DE COMPRAS'!C42</f>
        <v>0</v>
      </c>
      <c r="G43" s="118">
        <f>'LISTA DE COMPRAS'!D43</f>
        <v>0</v>
      </c>
      <c r="H43" s="2">
        <f>'LISTA DE COMPRAS'!J42</f>
        <v>0</v>
      </c>
      <c r="I43" s="119">
        <f>'LISTA DE COMPRAS'!P42</f>
        <v>0</v>
      </c>
      <c r="J43" s="12">
        <f>'LISTA DE COMPRAS'!K42</f>
        <v>0</v>
      </c>
      <c r="K43" s="12">
        <f t="shared" si="5"/>
        <v>0</v>
      </c>
      <c r="L43" s="10">
        <f t="shared" si="6"/>
        <v>0</v>
      </c>
      <c r="M43" s="10">
        <f t="shared" si="7"/>
        <v>0</v>
      </c>
      <c r="N43" s="4">
        <f t="shared" si="8"/>
        <v>0</v>
      </c>
      <c r="O43" s="10">
        <f>'Rateio Custos Fixos'!E49</f>
        <v>0</v>
      </c>
      <c r="P43" s="10">
        <f t="shared" si="9"/>
        <v>0</v>
      </c>
      <c r="Q43" s="10">
        <f t="shared" si="10"/>
        <v>0</v>
      </c>
      <c r="R43" s="10">
        <f t="shared" si="23"/>
        <v>0</v>
      </c>
      <c r="S43" s="10">
        <f t="shared" si="11"/>
        <v>0</v>
      </c>
      <c r="T43" s="10">
        <f t="shared" si="24"/>
        <v>0</v>
      </c>
      <c r="U43" s="10">
        <f t="shared" si="24"/>
        <v>0</v>
      </c>
      <c r="V43" s="10">
        <f t="shared" si="22"/>
        <v>0</v>
      </c>
      <c r="W43" s="10">
        <f t="shared" si="13"/>
        <v>0</v>
      </c>
      <c r="X43" s="10">
        <f t="shared" si="14"/>
        <v>0</v>
      </c>
      <c r="Y43" s="10">
        <f>'Rateio Custos Fixos'!F49</f>
        <v>0</v>
      </c>
      <c r="Z43" s="10">
        <f>'Rateio Custos Fixos'!G49</f>
        <v>0</v>
      </c>
      <c r="AA43" s="10">
        <f>'Rateio Custos Fixos'!H49</f>
        <v>0</v>
      </c>
      <c r="AB43" s="10">
        <f>'Rateio Custos Fixos'!I49</f>
        <v>0</v>
      </c>
      <c r="AC43" s="10">
        <f>'Rateio Custos Fixos'!J49</f>
        <v>0</v>
      </c>
      <c r="AD43" s="10">
        <f>'Rateio Custos Fixos'!K49</f>
        <v>0</v>
      </c>
      <c r="AE43" s="10">
        <f>'Rateio Custos Fixos'!L49</f>
        <v>0</v>
      </c>
      <c r="AF43" s="10">
        <f>'Rateio Custos Fixos'!M49</f>
        <v>0</v>
      </c>
      <c r="AG43" s="10">
        <f>'Rateio Custos Fixos'!N49</f>
        <v>0</v>
      </c>
      <c r="AH43" s="10">
        <f>'Rateio Custos Fixos'!O49</f>
        <v>0</v>
      </c>
      <c r="AI43" s="10">
        <f>'Rateio Custos Fixos'!P49</f>
        <v>0</v>
      </c>
      <c r="AJ43" s="10">
        <f>'Rateio Custos Fixos'!Q49</f>
        <v>0</v>
      </c>
      <c r="AK43" s="10">
        <f>'Rateio Custos Fixos'!R49</f>
        <v>0</v>
      </c>
      <c r="AL43" s="10">
        <f>'Rateio Custos Fixos'!S49</f>
        <v>0</v>
      </c>
      <c r="AM43" s="10">
        <f>'Rateio Custos Fixos'!T49</f>
        <v>0</v>
      </c>
      <c r="AN43" s="10">
        <f>'Rateio Custos Fixos'!U49</f>
        <v>0</v>
      </c>
      <c r="AO43" s="10"/>
      <c r="AP43" s="10">
        <f t="shared" si="15"/>
        <v>0</v>
      </c>
      <c r="AQ43" s="10">
        <f t="shared" si="16"/>
        <v>0</v>
      </c>
      <c r="AR43" s="10">
        <v>2632.3166170147401</v>
      </c>
      <c r="AS43" s="10">
        <f t="shared" si="17"/>
        <v>0</v>
      </c>
      <c r="AT43" s="10" t="e">
        <f t="shared" si="18"/>
        <v>#DIV/0!</v>
      </c>
      <c r="AU43" s="10" t="e">
        <f t="shared" si="19"/>
        <v>#DIV/0!</v>
      </c>
      <c r="AV43" s="10" t="e">
        <f t="shared" si="20"/>
        <v>#DIV/0!</v>
      </c>
      <c r="AW43" s="10" t="e">
        <f>(AS43*#REF!)/'Est. Cust. Naci.'!H43</f>
        <v>#REF!</v>
      </c>
      <c r="AX43" s="10">
        <f t="shared" si="21"/>
        <v>0</v>
      </c>
    </row>
    <row r="44" spans="2:50" hidden="1">
      <c r="B44">
        <f>'LISTA DE COMPRAS'!A43</f>
        <v>39</v>
      </c>
      <c r="C44" s="83">
        <f>'LISTA DE COMPRAS'!C43</f>
        <v>0</v>
      </c>
      <c r="G44" s="118">
        <f>'LISTA DE COMPRAS'!D44</f>
        <v>0</v>
      </c>
      <c r="H44" s="2">
        <f>'LISTA DE COMPRAS'!J43</f>
        <v>0</v>
      </c>
      <c r="I44" s="119">
        <f>'LISTA DE COMPRAS'!P43</f>
        <v>0</v>
      </c>
      <c r="J44" s="12">
        <f>'LISTA DE COMPRAS'!K43</f>
        <v>0</v>
      </c>
      <c r="K44" s="12">
        <f t="shared" si="5"/>
        <v>0</v>
      </c>
      <c r="L44" s="10">
        <f t="shared" si="6"/>
        <v>0</v>
      </c>
      <c r="M44" s="10">
        <f t="shared" si="7"/>
        <v>0</v>
      </c>
      <c r="N44" s="4">
        <f t="shared" si="8"/>
        <v>0</v>
      </c>
      <c r="O44" s="10">
        <f>'Rateio Custos Fixos'!E50</f>
        <v>0</v>
      </c>
      <c r="P44" s="10">
        <f t="shared" si="9"/>
        <v>0</v>
      </c>
      <c r="Q44" s="10">
        <f t="shared" si="10"/>
        <v>0</v>
      </c>
      <c r="R44" s="10">
        <f t="shared" si="23"/>
        <v>0</v>
      </c>
      <c r="S44" s="10">
        <f t="shared" si="11"/>
        <v>0</v>
      </c>
      <c r="T44" s="10">
        <f t="shared" si="24"/>
        <v>0</v>
      </c>
      <c r="U44" s="10">
        <f t="shared" si="24"/>
        <v>0</v>
      </c>
      <c r="V44" s="10">
        <f t="shared" si="22"/>
        <v>0</v>
      </c>
      <c r="W44" s="10">
        <f t="shared" si="13"/>
        <v>0</v>
      </c>
      <c r="X44" s="10">
        <f t="shared" si="14"/>
        <v>0</v>
      </c>
      <c r="Y44" s="10">
        <f>'Rateio Custos Fixos'!F50</f>
        <v>0</v>
      </c>
      <c r="Z44" s="10">
        <f>'Rateio Custos Fixos'!G50</f>
        <v>0</v>
      </c>
      <c r="AA44" s="10">
        <f>'Rateio Custos Fixos'!H50</f>
        <v>0</v>
      </c>
      <c r="AB44" s="10">
        <f>'Rateio Custos Fixos'!I50</f>
        <v>0</v>
      </c>
      <c r="AC44" s="10">
        <f>'Rateio Custos Fixos'!J50</f>
        <v>0</v>
      </c>
      <c r="AD44" s="10">
        <f>'Rateio Custos Fixos'!K50</f>
        <v>0</v>
      </c>
      <c r="AE44" s="10">
        <f>'Rateio Custos Fixos'!L50</f>
        <v>0</v>
      </c>
      <c r="AF44" s="10">
        <f>'Rateio Custos Fixos'!M50</f>
        <v>0</v>
      </c>
      <c r="AG44" s="10">
        <f>'Rateio Custos Fixos'!N50</f>
        <v>0</v>
      </c>
      <c r="AH44" s="10">
        <f>'Rateio Custos Fixos'!O50</f>
        <v>0</v>
      </c>
      <c r="AI44" s="10">
        <f>'Rateio Custos Fixos'!P50</f>
        <v>0</v>
      </c>
      <c r="AJ44" s="10">
        <f>'Rateio Custos Fixos'!Q50</f>
        <v>0</v>
      </c>
      <c r="AK44" s="10">
        <f>'Rateio Custos Fixos'!R50</f>
        <v>0</v>
      </c>
      <c r="AL44" s="10">
        <f>'Rateio Custos Fixos'!S50</f>
        <v>0</v>
      </c>
      <c r="AM44" s="10">
        <f>'Rateio Custos Fixos'!T50</f>
        <v>0</v>
      </c>
      <c r="AN44" s="10">
        <f>'Rateio Custos Fixos'!U50</f>
        <v>0</v>
      </c>
      <c r="AO44" s="10"/>
      <c r="AP44" s="10">
        <f t="shared" si="15"/>
        <v>0</v>
      </c>
      <c r="AQ44" s="10">
        <f t="shared" si="16"/>
        <v>0</v>
      </c>
      <c r="AR44" s="10">
        <v>2633.3166170147401</v>
      </c>
      <c r="AS44" s="10">
        <f t="shared" si="17"/>
        <v>0</v>
      </c>
      <c r="AT44" s="10" t="e">
        <f t="shared" si="18"/>
        <v>#DIV/0!</v>
      </c>
      <c r="AU44" s="10" t="e">
        <f t="shared" si="19"/>
        <v>#DIV/0!</v>
      </c>
      <c r="AV44" s="10" t="e">
        <f t="shared" si="20"/>
        <v>#DIV/0!</v>
      </c>
      <c r="AW44" s="10" t="e">
        <f>(AS44*#REF!)/'Est. Cust. Naci.'!H44</f>
        <v>#REF!</v>
      </c>
      <c r="AX44" s="10">
        <f t="shared" si="21"/>
        <v>0</v>
      </c>
    </row>
    <row r="45" spans="2:50" hidden="1">
      <c r="B45">
        <f>'LISTA DE COMPRAS'!A44</f>
        <v>40</v>
      </c>
      <c r="C45" s="83">
        <f>'LISTA DE COMPRAS'!C44</f>
        <v>0</v>
      </c>
      <c r="G45" s="118">
        <f>'LISTA DE COMPRAS'!D45</f>
        <v>0</v>
      </c>
      <c r="H45" s="2">
        <f>'LISTA DE COMPRAS'!J44</f>
        <v>0</v>
      </c>
      <c r="I45" s="119">
        <f>'LISTA DE COMPRAS'!P44</f>
        <v>0</v>
      </c>
      <c r="J45" s="12">
        <f>'LISTA DE COMPRAS'!K44</f>
        <v>0</v>
      </c>
      <c r="K45" s="12">
        <f t="shared" si="5"/>
        <v>0</v>
      </c>
      <c r="L45" s="10">
        <f t="shared" si="6"/>
        <v>0</v>
      </c>
      <c r="M45" s="10">
        <f t="shared" si="7"/>
        <v>0</v>
      </c>
      <c r="N45" s="4">
        <f t="shared" si="8"/>
        <v>0</v>
      </c>
      <c r="O45" s="10">
        <f>'Rateio Custos Fixos'!E51</f>
        <v>0</v>
      </c>
      <c r="P45" s="10">
        <f t="shared" si="9"/>
        <v>0</v>
      </c>
      <c r="Q45" s="10">
        <f t="shared" si="10"/>
        <v>0</v>
      </c>
      <c r="R45" s="10">
        <f t="shared" si="23"/>
        <v>0</v>
      </c>
      <c r="S45" s="10">
        <f t="shared" si="11"/>
        <v>0</v>
      </c>
      <c r="T45" s="10">
        <f t="shared" si="24"/>
        <v>0</v>
      </c>
      <c r="U45" s="10">
        <f t="shared" si="24"/>
        <v>0</v>
      </c>
      <c r="V45" s="10">
        <f t="shared" si="22"/>
        <v>0</v>
      </c>
      <c r="W45" s="10">
        <f t="shared" si="13"/>
        <v>0</v>
      </c>
      <c r="X45" s="10">
        <f t="shared" si="14"/>
        <v>0</v>
      </c>
      <c r="Y45" s="10">
        <f>'Rateio Custos Fixos'!F51</f>
        <v>0</v>
      </c>
      <c r="Z45" s="10">
        <f>'Rateio Custos Fixos'!G51</f>
        <v>0</v>
      </c>
      <c r="AA45" s="10">
        <f>'Rateio Custos Fixos'!H51</f>
        <v>0</v>
      </c>
      <c r="AB45" s="10">
        <f>'Rateio Custos Fixos'!I51</f>
        <v>0</v>
      </c>
      <c r="AC45" s="10">
        <f>'Rateio Custos Fixos'!J51</f>
        <v>0</v>
      </c>
      <c r="AD45" s="10">
        <f>'Rateio Custos Fixos'!K51</f>
        <v>0</v>
      </c>
      <c r="AE45" s="10">
        <f>'Rateio Custos Fixos'!L51</f>
        <v>0</v>
      </c>
      <c r="AF45" s="10">
        <f>'Rateio Custos Fixos'!M51</f>
        <v>0</v>
      </c>
      <c r="AG45" s="10">
        <f>'Rateio Custos Fixos'!N51</f>
        <v>0</v>
      </c>
      <c r="AH45" s="10">
        <f>'Rateio Custos Fixos'!O51</f>
        <v>0</v>
      </c>
      <c r="AI45" s="10">
        <f>'Rateio Custos Fixos'!P51</f>
        <v>0</v>
      </c>
      <c r="AJ45" s="10">
        <f>'Rateio Custos Fixos'!Q51</f>
        <v>0</v>
      </c>
      <c r="AK45" s="10">
        <f>'Rateio Custos Fixos'!R51</f>
        <v>0</v>
      </c>
      <c r="AL45" s="10">
        <f>'Rateio Custos Fixos'!S51</f>
        <v>0</v>
      </c>
      <c r="AM45" s="10">
        <f>'Rateio Custos Fixos'!T51</f>
        <v>0</v>
      </c>
      <c r="AN45" s="10">
        <f>'Rateio Custos Fixos'!U51</f>
        <v>0</v>
      </c>
      <c r="AO45" s="10"/>
      <c r="AP45" s="10">
        <f t="shared" si="15"/>
        <v>0</v>
      </c>
      <c r="AQ45" s="10">
        <f t="shared" si="16"/>
        <v>0</v>
      </c>
      <c r="AR45" s="10">
        <v>2634.3166170147401</v>
      </c>
      <c r="AS45" s="10">
        <f t="shared" si="17"/>
        <v>0</v>
      </c>
      <c r="AT45" s="10" t="e">
        <f t="shared" si="18"/>
        <v>#DIV/0!</v>
      </c>
      <c r="AU45" s="10" t="e">
        <f t="shared" si="19"/>
        <v>#DIV/0!</v>
      </c>
      <c r="AV45" s="10" t="e">
        <f t="shared" si="20"/>
        <v>#DIV/0!</v>
      </c>
      <c r="AW45" s="10" t="e">
        <f>(AS45*#REF!)/'Est. Cust. Naci.'!H45</f>
        <v>#REF!</v>
      </c>
      <c r="AX45" s="10">
        <f t="shared" si="21"/>
        <v>0</v>
      </c>
    </row>
    <row r="46" spans="2:50" hidden="1">
      <c r="B46">
        <f>'LISTA DE COMPRAS'!A45</f>
        <v>41</v>
      </c>
      <c r="C46" s="83">
        <f>'LISTA DE COMPRAS'!C45</f>
        <v>0</v>
      </c>
      <c r="G46" s="118">
        <f>'LISTA DE COMPRAS'!D46</f>
        <v>0</v>
      </c>
      <c r="H46" s="2">
        <f>'LISTA DE COMPRAS'!J45</f>
        <v>0</v>
      </c>
      <c r="I46" s="119">
        <f>'LISTA DE COMPRAS'!P45</f>
        <v>0</v>
      </c>
      <c r="J46" s="12">
        <f>'LISTA DE COMPRAS'!K45</f>
        <v>0</v>
      </c>
      <c r="K46" s="12">
        <f t="shared" si="5"/>
        <v>0</v>
      </c>
      <c r="L46" s="10">
        <f t="shared" si="6"/>
        <v>0</v>
      </c>
      <c r="M46" s="10">
        <f t="shared" si="7"/>
        <v>0</v>
      </c>
      <c r="N46" s="4">
        <f t="shared" si="8"/>
        <v>0</v>
      </c>
      <c r="O46" s="10">
        <f>'Rateio Custos Fixos'!E52</f>
        <v>0</v>
      </c>
      <c r="P46" s="10">
        <f t="shared" si="9"/>
        <v>0</v>
      </c>
      <c r="Q46" s="10">
        <f t="shared" si="10"/>
        <v>0</v>
      </c>
      <c r="R46" s="10">
        <f t="shared" si="23"/>
        <v>0</v>
      </c>
      <c r="S46" s="10">
        <f t="shared" si="11"/>
        <v>0</v>
      </c>
      <c r="T46" s="10">
        <f t="shared" si="24"/>
        <v>0</v>
      </c>
      <c r="U46" s="10">
        <f t="shared" si="24"/>
        <v>0</v>
      </c>
      <c r="V46" s="10">
        <f t="shared" si="22"/>
        <v>0</v>
      </c>
      <c r="W46" s="10">
        <f t="shared" si="13"/>
        <v>0</v>
      </c>
      <c r="X46" s="10">
        <f t="shared" si="14"/>
        <v>0</v>
      </c>
      <c r="Y46" s="10">
        <f>'Rateio Custos Fixos'!F52</f>
        <v>0</v>
      </c>
      <c r="Z46" s="10">
        <f>'Rateio Custos Fixos'!G52</f>
        <v>0</v>
      </c>
      <c r="AA46" s="10">
        <f>'Rateio Custos Fixos'!H52</f>
        <v>0</v>
      </c>
      <c r="AB46" s="10">
        <f>'Rateio Custos Fixos'!I52</f>
        <v>0</v>
      </c>
      <c r="AC46" s="10">
        <f>'Rateio Custos Fixos'!J52</f>
        <v>0</v>
      </c>
      <c r="AD46" s="10">
        <f>'Rateio Custos Fixos'!K52</f>
        <v>0</v>
      </c>
      <c r="AE46" s="10">
        <f>'Rateio Custos Fixos'!L52</f>
        <v>0</v>
      </c>
      <c r="AF46" s="10">
        <f>'Rateio Custos Fixos'!M52</f>
        <v>0</v>
      </c>
      <c r="AG46" s="10">
        <f>'Rateio Custos Fixos'!N52</f>
        <v>0</v>
      </c>
      <c r="AH46" s="10">
        <f>'Rateio Custos Fixos'!O52</f>
        <v>0</v>
      </c>
      <c r="AI46" s="10">
        <f>'Rateio Custos Fixos'!P52</f>
        <v>0</v>
      </c>
      <c r="AJ46" s="10">
        <f>'Rateio Custos Fixos'!Q52</f>
        <v>0</v>
      </c>
      <c r="AK46" s="10">
        <f>'Rateio Custos Fixos'!R52</f>
        <v>0</v>
      </c>
      <c r="AL46" s="10">
        <f>'Rateio Custos Fixos'!S52</f>
        <v>0</v>
      </c>
      <c r="AM46" s="10">
        <f>'Rateio Custos Fixos'!T52</f>
        <v>0</v>
      </c>
      <c r="AN46" s="10">
        <f>'Rateio Custos Fixos'!U52</f>
        <v>0</v>
      </c>
      <c r="AO46" s="10"/>
      <c r="AP46" s="10">
        <f t="shared" si="15"/>
        <v>0</v>
      </c>
      <c r="AQ46" s="10">
        <f t="shared" si="16"/>
        <v>0</v>
      </c>
      <c r="AR46" s="10">
        <v>2635.3166170147401</v>
      </c>
      <c r="AS46" s="10">
        <f t="shared" si="17"/>
        <v>0</v>
      </c>
      <c r="AT46" s="10" t="e">
        <f t="shared" si="18"/>
        <v>#DIV/0!</v>
      </c>
      <c r="AU46" s="10" t="e">
        <f t="shared" si="19"/>
        <v>#DIV/0!</v>
      </c>
      <c r="AV46" s="10" t="e">
        <f t="shared" si="20"/>
        <v>#DIV/0!</v>
      </c>
      <c r="AW46" s="10" t="e">
        <f>(AS46*#REF!)/'Est. Cust. Naci.'!H46</f>
        <v>#REF!</v>
      </c>
      <c r="AX46" s="10">
        <f t="shared" si="21"/>
        <v>0</v>
      </c>
    </row>
    <row r="47" spans="2:50" hidden="1">
      <c r="B47">
        <f>'LISTA DE COMPRAS'!A46</f>
        <v>42</v>
      </c>
      <c r="C47" s="83">
        <f>'LISTA DE COMPRAS'!C46</f>
        <v>0</v>
      </c>
      <c r="G47" s="118">
        <f>'LISTA DE COMPRAS'!D47</f>
        <v>0</v>
      </c>
      <c r="H47" s="2">
        <f>'LISTA DE COMPRAS'!J46</f>
        <v>0</v>
      </c>
      <c r="I47" s="119">
        <f>'LISTA DE COMPRAS'!P46</f>
        <v>0</v>
      </c>
      <c r="J47" s="12">
        <f>'LISTA DE COMPRAS'!K46</f>
        <v>0</v>
      </c>
      <c r="K47" s="12">
        <f t="shared" si="5"/>
        <v>0</v>
      </c>
      <c r="L47" s="10">
        <f t="shared" si="6"/>
        <v>0</v>
      </c>
      <c r="M47" s="10">
        <f t="shared" si="7"/>
        <v>0</v>
      </c>
      <c r="N47" s="4">
        <f t="shared" si="8"/>
        <v>0</v>
      </c>
      <c r="O47" s="10">
        <f>'Rateio Custos Fixos'!E53</f>
        <v>0</v>
      </c>
      <c r="P47" s="10">
        <f t="shared" si="9"/>
        <v>0</v>
      </c>
      <c r="Q47" s="10">
        <f t="shared" si="10"/>
        <v>0</v>
      </c>
      <c r="R47" s="10">
        <f t="shared" si="23"/>
        <v>0</v>
      </c>
      <c r="S47" s="10">
        <f t="shared" si="11"/>
        <v>0</v>
      </c>
      <c r="T47" s="10">
        <f t="shared" si="24"/>
        <v>0</v>
      </c>
      <c r="U47" s="10">
        <f t="shared" si="24"/>
        <v>0</v>
      </c>
      <c r="V47" s="10">
        <f t="shared" si="22"/>
        <v>0</v>
      </c>
      <c r="W47" s="10">
        <f t="shared" si="13"/>
        <v>0</v>
      </c>
      <c r="X47" s="10">
        <f t="shared" si="14"/>
        <v>0</v>
      </c>
      <c r="Y47" s="10">
        <f>'Rateio Custos Fixos'!F53</f>
        <v>0</v>
      </c>
      <c r="Z47" s="10">
        <f>'Rateio Custos Fixos'!G53</f>
        <v>0</v>
      </c>
      <c r="AA47" s="10">
        <f>'Rateio Custos Fixos'!H53</f>
        <v>0</v>
      </c>
      <c r="AB47" s="10">
        <f>'Rateio Custos Fixos'!I53</f>
        <v>0</v>
      </c>
      <c r="AC47" s="10">
        <f>'Rateio Custos Fixos'!J53</f>
        <v>0</v>
      </c>
      <c r="AD47" s="10">
        <f>'Rateio Custos Fixos'!K53</f>
        <v>0</v>
      </c>
      <c r="AE47" s="10">
        <f>'Rateio Custos Fixos'!L53</f>
        <v>0</v>
      </c>
      <c r="AF47" s="10">
        <f>'Rateio Custos Fixos'!M53</f>
        <v>0</v>
      </c>
      <c r="AG47" s="10">
        <f>'Rateio Custos Fixos'!N53</f>
        <v>0</v>
      </c>
      <c r="AH47" s="10">
        <f>'Rateio Custos Fixos'!O53</f>
        <v>0</v>
      </c>
      <c r="AI47" s="10">
        <f>'Rateio Custos Fixos'!P53</f>
        <v>0</v>
      </c>
      <c r="AJ47" s="10">
        <f>'Rateio Custos Fixos'!Q53</f>
        <v>0</v>
      </c>
      <c r="AK47" s="10">
        <f>'Rateio Custos Fixos'!R53</f>
        <v>0</v>
      </c>
      <c r="AL47" s="10">
        <f>'Rateio Custos Fixos'!S53</f>
        <v>0</v>
      </c>
      <c r="AM47" s="10">
        <f>'Rateio Custos Fixos'!T53</f>
        <v>0</v>
      </c>
      <c r="AN47" s="10">
        <f>'Rateio Custos Fixos'!U53</f>
        <v>0</v>
      </c>
      <c r="AO47" s="10"/>
      <c r="AP47" s="10">
        <f t="shared" si="15"/>
        <v>0</v>
      </c>
      <c r="AQ47" s="10">
        <f t="shared" si="16"/>
        <v>0</v>
      </c>
      <c r="AR47" s="10">
        <v>2636.3166170147401</v>
      </c>
      <c r="AS47" s="10">
        <f t="shared" si="17"/>
        <v>0</v>
      </c>
      <c r="AT47" s="10" t="e">
        <f t="shared" si="18"/>
        <v>#DIV/0!</v>
      </c>
      <c r="AU47" s="10" t="e">
        <f t="shared" si="19"/>
        <v>#DIV/0!</v>
      </c>
      <c r="AV47" s="10" t="e">
        <f t="shared" si="20"/>
        <v>#DIV/0!</v>
      </c>
      <c r="AW47" s="10" t="e">
        <f>(AS47*#REF!)/'Est. Cust. Naci.'!H47</f>
        <v>#REF!</v>
      </c>
      <c r="AX47" s="10">
        <f t="shared" si="21"/>
        <v>0</v>
      </c>
    </row>
    <row r="48" spans="2:50" hidden="1">
      <c r="B48">
        <f>'LISTA DE COMPRAS'!A47</f>
        <v>43</v>
      </c>
      <c r="C48" s="83">
        <f>'LISTA DE COMPRAS'!C47</f>
        <v>0</v>
      </c>
      <c r="G48" s="118">
        <f>'LISTA DE COMPRAS'!D48</f>
        <v>0</v>
      </c>
      <c r="H48" s="2">
        <f>'LISTA DE COMPRAS'!J47</f>
        <v>0</v>
      </c>
      <c r="I48" s="119">
        <f>'LISTA DE COMPRAS'!P47</f>
        <v>0</v>
      </c>
      <c r="J48" s="12">
        <f>'LISTA DE COMPRAS'!K47</f>
        <v>0</v>
      </c>
      <c r="K48" s="12">
        <f t="shared" si="5"/>
        <v>0</v>
      </c>
      <c r="L48" s="10">
        <f t="shared" si="6"/>
        <v>0</v>
      </c>
      <c r="M48" s="10">
        <f t="shared" si="7"/>
        <v>0</v>
      </c>
      <c r="N48" s="4">
        <f t="shared" si="8"/>
        <v>0</v>
      </c>
      <c r="O48" s="10">
        <f>'Rateio Custos Fixos'!E54</f>
        <v>0</v>
      </c>
      <c r="P48" s="10">
        <f t="shared" si="9"/>
        <v>0</v>
      </c>
      <c r="Q48" s="10">
        <f t="shared" si="10"/>
        <v>0</v>
      </c>
      <c r="R48" s="10">
        <f t="shared" si="23"/>
        <v>0</v>
      </c>
      <c r="S48" s="10">
        <f t="shared" si="11"/>
        <v>0</v>
      </c>
      <c r="T48" s="10">
        <f t="shared" si="24"/>
        <v>0</v>
      </c>
      <c r="U48" s="10">
        <f t="shared" si="24"/>
        <v>0</v>
      </c>
      <c r="V48" s="10">
        <f t="shared" si="22"/>
        <v>0</v>
      </c>
      <c r="W48" s="10">
        <f t="shared" si="13"/>
        <v>0</v>
      </c>
      <c r="X48" s="10">
        <f t="shared" si="14"/>
        <v>0</v>
      </c>
      <c r="Y48" s="10">
        <f>'Rateio Custos Fixos'!F54</f>
        <v>0</v>
      </c>
      <c r="Z48" s="10">
        <f>'Rateio Custos Fixos'!G54</f>
        <v>0</v>
      </c>
      <c r="AA48" s="10">
        <f>'Rateio Custos Fixos'!H54</f>
        <v>0</v>
      </c>
      <c r="AB48" s="10">
        <f>'Rateio Custos Fixos'!I54</f>
        <v>0</v>
      </c>
      <c r="AC48" s="10">
        <f>'Rateio Custos Fixos'!J54</f>
        <v>0</v>
      </c>
      <c r="AD48" s="10">
        <f>'Rateio Custos Fixos'!K54</f>
        <v>0</v>
      </c>
      <c r="AE48" s="10">
        <f>'Rateio Custos Fixos'!L54</f>
        <v>0</v>
      </c>
      <c r="AF48" s="10">
        <f>'Rateio Custos Fixos'!M54</f>
        <v>0</v>
      </c>
      <c r="AG48" s="10">
        <f>'Rateio Custos Fixos'!N54</f>
        <v>0</v>
      </c>
      <c r="AH48" s="10">
        <f>'Rateio Custos Fixos'!O54</f>
        <v>0</v>
      </c>
      <c r="AI48" s="10">
        <f>'Rateio Custos Fixos'!P54</f>
        <v>0</v>
      </c>
      <c r="AJ48" s="10">
        <f>'Rateio Custos Fixos'!Q54</f>
        <v>0</v>
      </c>
      <c r="AK48" s="10">
        <f>'Rateio Custos Fixos'!R54</f>
        <v>0</v>
      </c>
      <c r="AL48" s="10">
        <f>'Rateio Custos Fixos'!S54</f>
        <v>0</v>
      </c>
      <c r="AM48" s="10">
        <f>'Rateio Custos Fixos'!T54</f>
        <v>0</v>
      </c>
      <c r="AN48" s="10">
        <f>'Rateio Custos Fixos'!U54</f>
        <v>0</v>
      </c>
      <c r="AO48" s="10"/>
      <c r="AP48" s="10">
        <f t="shared" si="15"/>
        <v>0</v>
      </c>
      <c r="AQ48" s="10">
        <f t="shared" si="16"/>
        <v>0</v>
      </c>
      <c r="AR48" s="10">
        <v>2637.3166170147401</v>
      </c>
      <c r="AS48" s="10">
        <f t="shared" si="17"/>
        <v>0</v>
      </c>
      <c r="AT48" s="10" t="e">
        <f t="shared" si="18"/>
        <v>#DIV/0!</v>
      </c>
      <c r="AU48" s="10" t="e">
        <f t="shared" si="19"/>
        <v>#DIV/0!</v>
      </c>
      <c r="AV48" s="10" t="e">
        <f t="shared" si="20"/>
        <v>#DIV/0!</v>
      </c>
      <c r="AW48" s="10" t="e">
        <f>(AS48*#REF!)/'Est. Cust. Naci.'!H48</f>
        <v>#REF!</v>
      </c>
      <c r="AX48" s="10">
        <f t="shared" si="21"/>
        <v>0</v>
      </c>
    </row>
    <row r="49" spans="2:50" hidden="1">
      <c r="B49">
        <f>'LISTA DE COMPRAS'!A48</f>
        <v>44</v>
      </c>
      <c r="C49" s="83">
        <f>'LISTA DE COMPRAS'!C48</f>
        <v>0</v>
      </c>
      <c r="G49" s="118">
        <f>'LISTA DE COMPRAS'!D49</f>
        <v>0</v>
      </c>
      <c r="H49" s="2">
        <f>'LISTA DE COMPRAS'!J48</f>
        <v>0</v>
      </c>
      <c r="I49" s="119">
        <f>'LISTA DE COMPRAS'!P48</f>
        <v>0</v>
      </c>
      <c r="J49" s="12">
        <f>'LISTA DE COMPRAS'!K48</f>
        <v>0</v>
      </c>
      <c r="K49" s="12">
        <f t="shared" si="5"/>
        <v>0</v>
      </c>
      <c r="L49" s="10">
        <f t="shared" si="6"/>
        <v>0</v>
      </c>
      <c r="M49" s="10">
        <f t="shared" si="7"/>
        <v>0</v>
      </c>
      <c r="N49" s="4">
        <f t="shared" si="8"/>
        <v>0</v>
      </c>
      <c r="O49" s="10">
        <f>'Rateio Custos Fixos'!E55</f>
        <v>0</v>
      </c>
      <c r="P49" s="10">
        <f t="shared" si="9"/>
        <v>0</v>
      </c>
      <c r="Q49" s="10">
        <f t="shared" si="10"/>
        <v>0</v>
      </c>
      <c r="R49" s="10">
        <f t="shared" si="23"/>
        <v>0</v>
      </c>
      <c r="S49" s="10">
        <f t="shared" si="11"/>
        <v>0</v>
      </c>
      <c r="T49" s="10">
        <f t="shared" si="24"/>
        <v>0</v>
      </c>
      <c r="U49" s="10">
        <f t="shared" si="24"/>
        <v>0</v>
      </c>
      <c r="V49" s="10">
        <f t="shared" si="22"/>
        <v>0</v>
      </c>
      <c r="W49" s="10">
        <f t="shared" si="13"/>
        <v>0</v>
      </c>
      <c r="X49" s="10">
        <f t="shared" si="14"/>
        <v>0</v>
      </c>
      <c r="Y49" s="10">
        <f>'Rateio Custos Fixos'!F55</f>
        <v>0</v>
      </c>
      <c r="Z49" s="10">
        <f>'Rateio Custos Fixos'!G55</f>
        <v>0</v>
      </c>
      <c r="AA49" s="10">
        <f>'Rateio Custos Fixos'!H55</f>
        <v>0</v>
      </c>
      <c r="AB49" s="10">
        <f>'Rateio Custos Fixos'!I55</f>
        <v>0</v>
      </c>
      <c r="AC49" s="10">
        <f>'Rateio Custos Fixos'!J55</f>
        <v>0</v>
      </c>
      <c r="AD49" s="10">
        <f>'Rateio Custos Fixos'!K55</f>
        <v>0</v>
      </c>
      <c r="AE49" s="10">
        <f>'Rateio Custos Fixos'!L55</f>
        <v>0</v>
      </c>
      <c r="AF49" s="10">
        <f>'Rateio Custos Fixos'!M55</f>
        <v>0</v>
      </c>
      <c r="AG49" s="10">
        <f>'Rateio Custos Fixos'!N55</f>
        <v>0</v>
      </c>
      <c r="AH49" s="10">
        <f>'Rateio Custos Fixos'!O55</f>
        <v>0</v>
      </c>
      <c r="AI49" s="10">
        <f>'Rateio Custos Fixos'!P55</f>
        <v>0</v>
      </c>
      <c r="AJ49" s="10">
        <f>'Rateio Custos Fixos'!Q55</f>
        <v>0</v>
      </c>
      <c r="AK49" s="10">
        <f>'Rateio Custos Fixos'!R55</f>
        <v>0</v>
      </c>
      <c r="AL49" s="10">
        <f>'Rateio Custos Fixos'!S55</f>
        <v>0</v>
      </c>
      <c r="AM49" s="10">
        <f>'Rateio Custos Fixos'!T55</f>
        <v>0</v>
      </c>
      <c r="AN49" s="10">
        <f>'Rateio Custos Fixos'!U55</f>
        <v>0</v>
      </c>
      <c r="AO49" s="10"/>
      <c r="AP49" s="10">
        <f t="shared" si="15"/>
        <v>0</v>
      </c>
      <c r="AQ49" s="10">
        <f t="shared" si="16"/>
        <v>0</v>
      </c>
      <c r="AR49" s="10">
        <v>2638.3166170147401</v>
      </c>
      <c r="AS49" s="10">
        <f t="shared" si="17"/>
        <v>0</v>
      </c>
      <c r="AT49" s="10" t="e">
        <f t="shared" si="18"/>
        <v>#DIV/0!</v>
      </c>
      <c r="AU49" s="10" t="e">
        <f t="shared" si="19"/>
        <v>#DIV/0!</v>
      </c>
      <c r="AV49" s="10" t="e">
        <f t="shared" si="20"/>
        <v>#DIV/0!</v>
      </c>
      <c r="AW49" s="10" t="e">
        <f>(AS49*#REF!)/'Est. Cust. Naci.'!H49</f>
        <v>#REF!</v>
      </c>
      <c r="AX49" s="10">
        <f t="shared" si="21"/>
        <v>0</v>
      </c>
    </row>
    <row r="50" spans="2:50" hidden="1">
      <c r="B50">
        <f>'LISTA DE COMPRAS'!A49</f>
        <v>45</v>
      </c>
      <c r="C50" s="83">
        <f>'LISTA DE COMPRAS'!C49</f>
        <v>0</v>
      </c>
      <c r="G50" s="118">
        <f>'LISTA DE COMPRAS'!D50</f>
        <v>0</v>
      </c>
      <c r="H50" s="2">
        <f>'LISTA DE COMPRAS'!J49</f>
        <v>0</v>
      </c>
      <c r="I50" s="119">
        <f>'LISTA DE COMPRAS'!P49</f>
        <v>0</v>
      </c>
      <c r="J50" s="12">
        <f>'LISTA DE COMPRAS'!K49</f>
        <v>0</v>
      </c>
      <c r="K50" s="12">
        <f t="shared" si="5"/>
        <v>0</v>
      </c>
      <c r="L50" s="10">
        <f t="shared" si="6"/>
        <v>0</v>
      </c>
      <c r="M50" s="10">
        <f t="shared" si="7"/>
        <v>0</v>
      </c>
      <c r="N50" s="4">
        <f t="shared" si="8"/>
        <v>0</v>
      </c>
      <c r="O50" s="10">
        <f>'Rateio Custos Fixos'!E56</f>
        <v>0</v>
      </c>
      <c r="P50" s="10">
        <f t="shared" si="9"/>
        <v>0</v>
      </c>
      <c r="Q50" s="10">
        <f t="shared" si="10"/>
        <v>0</v>
      </c>
      <c r="R50" s="10">
        <f t="shared" si="23"/>
        <v>0</v>
      </c>
      <c r="S50" s="10">
        <f t="shared" si="11"/>
        <v>0</v>
      </c>
      <c r="T50" s="10">
        <f t="shared" si="24"/>
        <v>0</v>
      </c>
      <c r="U50" s="10">
        <f t="shared" si="24"/>
        <v>0</v>
      </c>
      <c r="V50" s="10">
        <f t="shared" si="22"/>
        <v>0</v>
      </c>
      <c r="W50" s="10">
        <f t="shared" si="13"/>
        <v>0</v>
      </c>
      <c r="X50" s="10">
        <f t="shared" si="14"/>
        <v>0</v>
      </c>
      <c r="Y50" s="10">
        <f>'Rateio Custos Fixos'!F56</f>
        <v>0</v>
      </c>
      <c r="Z50" s="10">
        <f>'Rateio Custos Fixos'!G56</f>
        <v>0</v>
      </c>
      <c r="AA50" s="10">
        <f>'Rateio Custos Fixos'!H56</f>
        <v>0</v>
      </c>
      <c r="AB50" s="10">
        <f>'Rateio Custos Fixos'!I56</f>
        <v>0</v>
      </c>
      <c r="AC50" s="10">
        <f>'Rateio Custos Fixos'!J56</f>
        <v>0</v>
      </c>
      <c r="AD50" s="10">
        <f>'Rateio Custos Fixos'!K56</f>
        <v>0</v>
      </c>
      <c r="AE50" s="10">
        <f>'Rateio Custos Fixos'!L56</f>
        <v>0</v>
      </c>
      <c r="AF50" s="10">
        <f>'Rateio Custos Fixos'!M56</f>
        <v>0</v>
      </c>
      <c r="AG50" s="10">
        <f>'Rateio Custos Fixos'!N56</f>
        <v>0</v>
      </c>
      <c r="AH50" s="10">
        <f>'Rateio Custos Fixos'!O56</f>
        <v>0</v>
      </c>
      <c r="AI50" s="10">
        <f>'Rateio Custos Fixos'!P56</f>
        <v>0</v>
      </c>
      <c r="AJ50" s="10">
        <f>'Rateio Custos Fixos'!Q56</f>
        <v>0</v>
      </c>
      <c r="AK50" s="10">
        <f>'Rateio Custos Fixos'!R56</f>
        <v>0</v>
      </c>
      <c r="AL50" s="10">
        <f>'Rateio Custos Fixos'!S56</f>
        <v>0</v>
      </c>
      <c r="AM50" s="10">
        <f>'Rateio Custos Fixos'!T56</f>
        <v>0</v>
      </c>
      <c r="AN50" s="10">
        <f>'Rateio Custos Fixos'!U56</f>
        <v>0</v>
      </c>
      <c r="AO50" s="10"/>
      <c r="AP50" s="10">
        <f t="shared" si="15"/>
        <v>0</v>
      </c>
      <c r="AQ50" s="10">
        <f t="shared" si="16"/>
        <v>0</v>
      </c>
      <c r="AR50" s="10">
        <v>2639.3166170147401</v>
      </c>
      <c r="AS50" s="10">
        <f t="shared" si="17"/>
        <v>0</v>
      </c>
      <c r="AT50" s="10" t="e">
        <f t="shared" si="18"/>
        <v>#DIV/0!</v>
      </c>
      <c r="AU50" s="10" t="e">
        <f t="shared" si="19"/>
        <v>#DIV/0!</v>
      </c>
      <c r="AV50" s="10" t="e">
        <f t="shared" si="20"/>
        <v>#DIV/0!</v>
      </c>
      <c r="AW50" s="10" t="e">
        <f>(AS50*#REF!)/'Est. Cust. Naci.'!H50</f>
        <v>#REF!</v>
      </c>
      <c r="AX50" s="10">
        <f t="shared" si="21"/>
        <v>0</v>
      </c>
    </row>
    <row r="51" spans="2:50" hidden="1">
      <c r="B51">
        <f>'LISTA DE COMPRAS'!A50</f>
        <v>46</v>
      </c>
      <c r="C51" s="83">
        <f>'LISTA DE COMPRAS'!C50</f>
        <v>0</v>
      </c>
      <c r="G51" s="118">
        <f>'LISTA DE COMPRAS'!D51</f>
        <v>0</v>
      </c>
      <c r="H51" s="2">
        <f>'LISTA DE COMPRAS'!J50</f>
        <v>0</v>
      </c>
      <c r="I51" s="119">
        <f>'LISTA DE COMPRAS'!P50</f>
        <v>0</v>
      </c>
      <c r="J51" s="12">
        <f>'LISTA DE COMPRAS'!K50</f>
        <v>0</v>
      </c>
      <c r="K51" s="12">
        <f t="shared" si="5"/>
        <v>0</v>
      </c>
      <c r="L51" s="10">
        <f t="shared" si="6"/>
        <v>0</v>
      </c>
      <c r="M51" s="10">
        <f t="shared" si="7"/>
        <v>0</v>
      </c>
      <c r="N51" s="4">
        <f t="shared" si="8"/>
        <v>0</v>
      </c>
      <c r="O51" s="10">
        <f>'Rateio Custos Fixos'!E57</f>
        <v>0</v>
      </c>
      <c r="P51" s="10">
        <f t="shared" si="9"/>
        <v>0</v>
      </c>
      <c r="Q51" s="10">
        <f t="shared" si="10"/>
        <v>0</v>
      </c>
      <c r="R51" s="10">
        <f t="shared" si="23"/>
        <v>0</v>
      </c>
      <c r="S51" s="10">
        <f t="shared" si="11"/>
        <v>0</v>
      </c>
      <c r="T51" s="10">
        <f t="shared" si="24"/>
        <v>0</v>
      </c>
      <c r="U51" s="10">
        <f t="shared" si="24"/>
        <v>0</v>
      </c>
      <c r="V51" s="10">
        <f t="shared" si="22"/>
        <v>0</v>
      </c>
      <c r="W51" s="10">
        <f t="shared" si="13"/>
        <v>0</v>
      </c>
      <c r="X51" s="10">
        <f t="shared" si="14"/>
        <v>0</v>
      </c>
      <c r="Y51" s="10">
        <f>'Rateio Custos Fixos'!F57</f>
        <v>0</v>
      </c>
      <c r="Z51" s="10">
        <f>'Rateio Custos Fixos'!G57</f>
        <v>0</v>
      </c>
      <c r="AA51" s="10">
        <f>'Rateio Custos Fixos'!H57</f>
        <v>0</v>
      </c>
      <c r="AB51" s="10">
        <f>'Rateio Custos Fixos'!I57</f>
        <v>0</v>
      </c>
      <c r="AC51" s="10">
        <f>'Rateio Custos Fixos'!J57</f>
        <v>0</v>
      </c>
      <c r="AD51" s="10">
        <f>'Rateio Custos Fixos'!K57</f>
        <v>0</v>
      </c>
      <c r="AE51" s="10">
        <f>'Rateio Custos Fixos'!L57</f>
        <v>0</v>
      </c>
      <c r="AF51" s="10">
        <f>'Rateio Custos Fixos'!M57</f>
        <v>0</v>
      </c>
      <c r="AG51" s="10">
        <f>'Rateio Custos Fixos'!N57</f>
        <v>0</v>
      </c>
      <c r="AH51" s="10">
        <f>'Rateio Custos Fixos'!O57</f>
        <v>0</v>
      </c>
      <c r="AI51" s="10">
        <f>'Rateio Custos Fixos'!P57</f>
        <v>0</v>
      </c>
      <c r="AJ51" s="10">
        <f>'Rateio Custos Fixos'!Q57</f>
        <v>0</v>
      </c>
      <c r="AK51" s="10">
        <f>'Rateio Custos Fixos'!R57</f>
        <v>0</v>
      </c>
      <c r="AL51" s="10">
        <f>'Rateio Custos Fixos'!S57</f>
        <v>0</v>
      </c>
      <c r="AM51" s="10">
        <f>'Rateio Custos Fixos'!T57</f>
        <v>0</v>
      </c>
      <c r="AN51" s="10">
        <f>'Rateio Custos Fixos'!U57</f>
        <v>0</v>
      </c>
      <c r="AO51" s="10"/>
      <c r="AP51" s="10">
        <f t="shared" si="15"/>
        <v>0</v>
      </c>
      <c r="AQ51" s="10">
        <f t="shared" si="16"/>
        <v>0</v>
      </c>
      <c r="AR51" s="10">
        <v>2640.3166170147401</v>
      </c>
      <c r="AS51" s="10">
        <f t="shared" si="17"/>
        <v>0</v>
      </c>
      <c r="AT51" s="10" t="e">
        <f t="shared" si="18"/>
        <v>#DIV/0!</v>
      </c>
      <c r="AU51" s="10" t="e">
        <f t="shared" si="19"/>
        <v>#DIV/0!</v>
      </c>
      <c r="AV51" s="10" t="e">
        <f t="shared" si="20"/>
        <v>#DIV/0!</v>
      </c>
      <c r="AW51" s="10" t="e">
        <f>(AS51*#REF!)/'Est. Cust. Naci.'!H51</f>
        <v>#REF!</v>
      </c>
      <c r="AX51" s="10">
        <f t="shared" si="21"/>
        <v>0</v>
      </c>
    </row>
    <row r="52" spans="2:50" hidden="1">
      <c r="B52">
        <f>'LISTA DE COMPRAS'!A51</f>
        <v>47</v>
      </c>
      <c r="C52" s="83">
        <f>'LISTA DE COMPRAS'!C51</f>
        <v>0</v>
      </c>
      <c r="G52" s="118">
        <f>'LISTA DE COMPRAS'!D52</f>
        <v>0</v>
      </c>
      <c r="H52" s="2">
        <f>'LISTA DE COMPRAS'!J51</f>
        <v>0</v>
      </c>
      <c r="I52" s="119">
        <f>'LISTA DE COMPRAS'!P51</f>
        <v>0</v>
      </c>
      <c r="J52" s="12">
        <f>'LISTA DE COMPRAS'!K51</f>
        <v>0</v>
      </c>
      <c r="K52" s="12">
        <f t="shared" si="5"/>
        <v>0</v>
      </c>
      <c r="L52" s="10">
        <f t="shared" si="6"/>
        <v>0</v>
      </c>
      <c r="M52" s="10">
        <f t="shared" si="7"/>
        <v>0</v>
      </c>
      <c r="N52" s="4">
        <f t="shared" si="8"/>
        <v>0</v>
      </c>
      <c r="O52" s="10">
        <f>'Rateio Custos Fixos'!E58</f>
        <v>0</v>
      </c>
      <c r="P52" s="10">
        <f t="shared" si="9"/>
        <v>0</v>
      </c>
      <c r="Q52" s="10">
        <f t="shared" si="10"/>
        <v>0</v>
      </c>
      <c r="R52" s="10">
        <f t="shared" si="23"/>
        <v>0</v>
      </c>
      <c r="S52" s="10">
        <f t="shared" si="11"/>
        <v>0</v>
      </c>
      <c r="T52" s="10">
        <f t="shared" si="24"/>
        <v>0</v>
      </c>
      <c r="U52" s="10">
        <f t="shared" si="24"/>
        <v>0</v>
      </c>
      <c r="V52" s="10">
        <f t="shared" si="22"/>
        <v>0</v>
      </c>
      <c r="W52" s="10">
        <f t="shared" si="13"/>
        <v>0</v>
      </c>
      <c r="X52" s="10">
        <f t="shared" si="14"/>
        <v>0</v>
      </c>
      <c r="Y52" s="10">
        <f>'Rateio Custos Fixos'!F58</f>
        <v>0</v>
      </c>
      <c r="Z52" s="10">
        <f>'Rateio Custos Fixos'!G58</f>
        <v>0</v>
      </c>
      <c r="AA52" s="10">
        <f>'Rateio Custos Fixos'!H58</f>
        <v>0</v>
      </c>
      <c r="AB52" s="10">
        <f>'Rateio Custos Fixos'!I58</f>
        <v>0</v>
      </c>
      <c r="AC52" s="10">
        <f>'Rateio Custos Fixos'!J58</f>
        <v>0</v>
      </c>
      <c r="AD52" s="10">
        <f>'Rateio Custos Fixos'!K58</f>
        <v>0</v>
      </c>
      <c r="AE52" s="10">
        <f>'Rateio Custos Fixos'!L58</f>
        <v>0</v>
      </c>
      <c r="AF52" s="10">
        <f>'Rateio Custos Fixos'!M58</f>
        <v>0</v>
      </c>
      <c r="AG52" s="10">
        <f>'Rateio Custos Fixos'!N58</f>
        <v>0</v>
      </c>
      <c r="AH52" s="10">
        <f>'Rateio Custos Fixos'!O58</f>
        <v>0</v>
      </c>
      <c r="AI52" s="10">
        <f>'Rateio Custos Fixos'!P58</f>
        <v>0</v>
      </c>
      <c r="AJ52" s="10">
        <f>'Rateio Custos Fixos'!Q58</f>
        <v>0</v>
      </c>
      <c r="AK52" s="10">
        <f>'Rateio Custos Fixos'!R58</f>
        <v>0</v>
      </c>
      <c r="AL52" s="10">
        <f>'Rateio Custos Fixos'!S58</f>
        <v>0</v>
      </c>
      <c r="AM52" s="10">
        <f>'Rateio Custos Fixos'!T58</f>
        <v>0</v>
      </c>
      <c r="AN52" s="10">
        <f>'Rateio Custos Fixos'!U58</f>
        <v>0</v>
      </c>
      <c r="AO52" s="10"/>
      <c r="AP52" s="10">
        <f t="shared" si="15"/>
        <v>0</v>
      </c>
      <c r="AQ52" s="10">
        <f t="shared" si="16"/>
        <v>0</v>
      </c>
      <c r="AR52" s="10">
        <v>2641.3166170147401</v>
      </c>
      <c r="AS52" s="10">
        <f t="shared" si="17"/>
        <v>0</v>
      </c>
      <c r="AT52" s="10" t="e">
        <f t="shared" si="18"/>
        <v>#DIV/0!</v>
      </c>
      <c r="AU52" s="10" t="e">
        <f t="shared" si="19"/>
        <v>#DIV/0!</v>
      </c>
      <c r="AV52" s="10" t="e">
        <f t="shared" si="20"/>
        <v>#DIV/0!</v>
      </c>
      <c r="AW52" s="10" t="e">
        <f>(AS52*#REF!)/'Est. Cust. Naci.'!H52</f>
        <v>#REF!</v>
      </c>
      <c r="AX52" s="10">
        <f t="shared" si="21"/>
        <v>0</v>
      </c>
    </row>
    <row r="53" spans="2:50" hidden="1">
      <c r="B53">
        <f>'LISTA DE COMPRAS'!A52</f>
        <v>48</v>
      </c>
      <c r="C53" s="83">
        <f>'LISTA DE COMPRAS'!C52</f>
        <v>0</v>
      </c>
      <c r="G53" s="118">
        <f>'LISTA DE COMPRAS'!D53</f>
        <v>0</v>
      </c>
      <c r="H53" s="2">
        <f>'LISTA DE COMPRAS'!J52</f>
        <v>0</v>
      </c>
      <c r="I53" s="119">
        <f>'LISTA DE COMPRAS'!P52</f>
        <v>0</v>
      </c>
      <c r="J53" s="12">
        <f>'LISTA DE COMPRAS'!K52</f>
        <v>0</v>
      </c>
      <c r="K53" s="12">
        <f t="shared" si="5"/>
        <v>0</v>
      </c>
      <c r="L53" s="10">
        <f t="shared" si="6"/>
        <v>0</v>
      </c>
      <c r="M53" s="10">
        <f t="shared" si="7"/>
        <v>0</v>
      </c>
      <c r="N53" s="4">
        <f t="shared" si="8"/>
        <v>0</v>
      </c>
      <c r="O53" s="10">
        <f>'Rateio Custos Fixos'!E59</f>
        <v>0</v>
      </c>
      <c r="P53" s="10">
        <f t="shared" si="9"/>
        <v>0</v>
      </c>
      <c r="Q53" s="10">
        <f t="shared" si="10"/>
        <v>0</v>
      </c>
      <c r="R53" s="10">
        <f t="shared" si="23"/>
        <v>0</v>
      </c>
      <c r="S53" s="10">
        <f t="shared" si="11"/>
        <v>0</v>
      </c>
      <c r="T53" s="10">
        <f t="shared" si="24"/>
        <v>0</v>
      </c>
      <c r="U53" s="10">
        <f t="shared" si="24"/>
        <v>0</v>
      </c>
      <c r="V53" s="10">
        <f t="shared" si="22"/>
        <v>0</v>
      </c>
      <c r="W53" s="10">
        <f t="shared" si="13"/>
        <v>0</v>
      </c>
      <c r="X53" s="10">
        <f t="shared" si="14"/>
        <v>0</v>
      </c>
      <c r="Y53" s="10">
        <f>'Rateio Custos Fixos'!F59</f>
        <v>0</v>
      </c>
      <c r="Z53" s="10">
        <f>'Rateio Custos Fixos'!G59</f>
        <v>0</v>
      </c>
      <c r="AA53" s="10">
        <f>'Rateio Custos Fixos'!H59</f>
        <v>0</v>
      </c>
      <c r="AB53" s="10">
        <f>'Rateio Custos Fixos'!I59</f>
        <v>0</v>
      </c>
      <c r="AC53" s="10">
        <f>'Rateio Custos Fixos'!J59</f>
        <v>0</v>
      </c>
      <c r="AD53" s="10">
        <f>'Rateio Custos Fixos'!K59</f>
        <v>0</v>
      </c>
      <c r="AE53" s="10">
        <f>'Rateio Custos Fixos'!L59</f>
        <v>0</v>
      </c>
      <c r="AF53" s="10">
        <f>'Rateio Custos Fixos'!M59</f>
        <v>0</v>
      </c>
      <c r="AG53" s="10">
        <f>'Rateio Custos Fixos'!N59</f>
        <v>0</v>
      </c>
      <c r="AH53" s="10">
        <f>'Rateio Custos Fixos'!O59</f>
        <v>0</v>
      </c>
      <c r="AI53" s="10">
        <f>'Rateio Custos Fixos'!P59</f>
        <v>0</v>
      </c>
      <c r="AJ53" s="10">
        <f>'Rateio Custos Fixos'!Q59</f>
        <v>0</v>
      </c>
      <c r="AK53" s="10">
        <f>'Rateio Custos Fixos'!R59</f>
        <v>0</v>
      </c>
      <c r="AL53" s="10">
        <f>'Rateio Custos Fixos'!S59</f>
        <v>0</v>
      </c>
      <c r="AM53" s="10">
        <f>'Rateio Custos Fixos'!T59</f>
        <v>0</v>
      </c>
      <c r="AN53" s="10">
        <f>'Rateio Custos Fixos'!U59</f>
        <v>0</v>
      </c>
      <c r="AO53" s="10"/>
      <c r="AP53" s="10">
        <f t="shared" si="15"/>
        <v>0</v>
      </c>
      <c r="AQ53" s="10">
        <f t="shared" si="16"/>
        <v>0</v>
      </c>
      <c r="AR53" s="10">
        <v>2642.3166170147401</v>
      </c>
      <c r="AS53" s="10">
        <f t="shared" si="17"/>
        <v>0</v>
      </c>
      <c r="AT53" s="10" t="e">
        <f t="shared" si="18"/>
        <v>#DIV/0!</v>
      </c>
      <c r="AU53" s="10" t="e">
        <f t="shared" si="19"/>
        <v>#DIV/0!</v>
      </c>
      <c r="AV53" s="10" t="e">
        <f t="shared" si="20"/>
        <v>#DIV/0!</v>
      </c>
      <c r="AW53" s="10" t="e">
        <f>(AS53*#REF!)/'Est. Cust. Naci.'!H53</f>
        <v>#REF!</v>
      </c>
      <c r="AX53" s="10">
        <f t="shared" si="21"/>
        <v>0</v>
      </c>
    </row>
    <row r="54" spans="2:50" hidden="1">
      <c r="B54">
        <f>'LISTA DE COMPRAS'!A53</f>
        <v>49</v>
      </c>
      <c r="C54" s="83">
        <f>'LISTA DE COMPRAS'!C53</f>
        <v>0</v>
      </c>
      <c r="G54" s="118">
        <f>'LISTA DE COMPRAS'!D54</f>
        <v>0</v>
      </c>
      <c r="H54" s="2">
        <f>'LISTA DE COMPRAS'!J53</f>
        <v>0</v>
      </c>
      <c r="I54" s="119">
        <f>'LISTA DE COMPRAS'!P53</f>
        <v>0</v>
      </c>
      <c r="J54" s="12">
        <f>'LISTA DE COMPRAS'!K53</f>
        <v>0</v>
      </c>
      <c r="K54" s="12">
        <f t="shared" si="5"/>
        <v>0</v>
      </c>
      <c r="L54" s="10">
        <f t="shared" si="6"/>
        <v>0</v>
      </c>
      <c r="M54" s="10">
        <f t="shared" si="7"/>
        <v>0</v>
      </c>
      <c r="N54" s="4">
        <f t="shared" si="8"/>
        <v>0</v>
      </c>
      <c r="O54" s="10">
        <f>'Rateio Custos Fixos'!E60</f>
        <v>0</v>
      </c>
      <c r="P54" s="10">
        <f t="shared" si="9"/>
        <v>0</v>
      </c>
      <c r="Q54" s="10">
        <f t="shared" si="10"/>
        <v>0</v>
      </c>
      <c r="R54" s="10">
        <f t="shared" si="23"/>
        <v>0</v>
      </c>
      <c r="S54" s="10">
        <f t="shared" si="11"/>
        <v>0</v>
      </c>
      <c r="T54" s="10">
        <f t="shared" si="24"/>
        <v>0</v>
      </c>
      <c r="U54" s="10">
        <f t="shared" si="24"/>
        <v>0</v>
      </c>
      <c r="V54" s="10">
        <f t="shared" si="22"/>
        <v>0</v>
      </c>
      <c r="W54" s="10">
        <f t="shared" si="13"/>
        <v>0</v>
      </c>
      <c r="X54" s="10" t="e">
        <f>SUM(#REF!)</f>
        <v>#REF!</v>
      </c>
      <c r="Y54" s="10">
        <f>'Rateio Custos Fixos'!F60</f>
        <v>0</v>
      </c>
      <c r="Z54" s="10">
        <f>'Rateio Custos Fixos'!G60</f>
        <v>0</v>
      </c>
      <c r="AA54" s="10">
        <f>'Rateio Custos Fixos'!H60</f>
        <v>0</v>
      </c>
      <c r="AB54" s="10">
        <f>'Rateio Custos Fixos'!I60</f>
        <v>0</v>
      </c>
      <c r="AC54" s="10">
        <f>'Rateio Custos Fixos'!J60</f>
        <v>0</v>
      </c>
      <c r="AD54" s="10">
        <f>'Rateio Custos Fixos'!K60</f>
        <v>0</v>
      </c>
      <c r="AE54" s="10">
        <f>'Rateio Custos Fixos'!L60</f>
        <v>0</v>
      </c>
      <c r="AF54" s="10">
        <f>'Rateio Custos Fixos'!M60</f>
        <v>0</v>
      </c>
      <c r="AG54" s="10">
        <f>'Rateio Custos Fixos'!N60</f>
        <v>0</v>
      </c>
      <c r="AH54" s="10">
        <f>'Rateio Custos Fixos'!O60</f>
        <v>0</v>
      </c>
      <c r="AI54" s="10">
        <f>'Rateio Custos Fixos'!P60</f>
        <v>0</v>
      </c>
      <c r="AJ54" s="10">
        <f>'Rateio Custos Fixos'!Q60</f>
        <v>0</v>
      </c>
      <c r="AK54" s="10">
        <f>'Rateio Custos Fixos'!R60</f>
        <v>0</v>
      </c>
      <c r="AL54" s="10">
        <f>'Rateio Custos Fixos'!S60</f>
        <v>0</v>
      </c>
      <c r="AM54" s="10">
        <f>'Rateio Custos Fixos'!T60</f>
        <v>0</v>
      </c>
      <c r="AN54" s="10">
        <f>'Rateio Custos Fixos'!U60</f>
        <v>0</v>
      </c>
      <c r="AO54" s="10"/>
      <c r="AP54" s="10">
        <f t="shared" si="15"/>
        <v>0</v>
      </c>
      <c r="AQ54" s="10">
        <f t="shared" si="16"/>
        <v>0</v>
      </c>
      <c r="AR54" s="10">
        <v>2643.3166170147401</v>
      </c>
      <c r="AS54" s="10" t="e">
        <f t="shared" si="17"/>
        <v>#REF!</v>
      </c>
      <c r="AT54" s="10" t="e">
        <f t="shared" si="18"/>
        <v>#DIV/0!</v>
      </c>
      <c r="AU54" s="10" t="e">
        <f t="shared" si="19"/>
        <v>#REF!</v>
      </c>
      <c r="AV54" s="10" t="e">
        <f t="shared" si="20"/>
        <v>#DIV/0!</v>
      </c>
      <c r="AW54" s="10" t="e">
        <f>(AS54*#REF!)/'Est. Cust. Naci.'!H54</f>
        <v>#REF!</v>
      </c>
      <c r="AX54" s="10">
        <f t="shared" si="21"/>
        <v>0</v>
      </c>
    </row>
    <row r="55" spans="2:50" hidden="1">
      <c r="B55">
        <f>'LISTA DE COMPRAS'!A54</f>
        <v>50</v>
      </c>
      <c r="C55" s="83">
        <f>'LISTA DE COMPRAS'!C54</f>
        <v>0</v>
      </c>
      <c r="G55" s="118">
        <f>'LISTA DE COMPRAS'!D55</f>
        <v>0</v>
      </c>
      <c r="H55" s="2">
        <f>'LISTA DE COMPRAS'!J54</f>
        <v>0</v>
      </c>
      <c r="I55" s="119">
        <f>'LISTA DE COMPRAS'!P54</f>
        <v>0</v>
      </c>
      <c r="J55" s="12">
        <f>'LISTA DE COMPRAS'!K54</f>
        <v>0</v>
      </c>
      <c r="K55" s="12">
        <f t="shared" si="5"/>
        <v>0</v>
      </c>
      <c r="L55" s="10">
        <f t="shared" si="6"/>
        <v>0</v>
      </c>
      <c r="M55" s="10">
        <f t="shared" si="7"/>
        <v>0</v>
      </c>
      <c r="N55" s="4">
        <f t="shared" si="8"/>
        <v>0</v>
      </c>
      <c r="O55" s="10">
        <f>'Rateio Custos Fixos'!E61</f>
        <v>0</v>
      </c>
      <c r="P55" s="10">
        <f t="shared" si="9"/>
        <v>0</v>
      </c>
      <c r="Q55" s="10">
        <f t="shared" si="10"/>
        <v>0</v>
      </c>
      <c r="R55" s="10">
        <f t="shared" si="23"/>
        <v>0</v>
      </c>
      <c r="S55" s="10">
        <f t="shared" si="11"/>
        <v>0</v>
      </c>
      <c r="T55" s="10">
        <f t="shared" si="24"/>
        <v>0</v>
      </c>
      <c r="U55" s="10">
        <f t="shared" si="24"/>
        <v>0</v>
      </c>
      <c r="V55" s="10">
        <f t="shared" si="22"/>
        <v>0</v>
      </c>
      <c r="W55" s="10">
        <f t="shared" si="13"/>
        <v>0</v>
      </c>
      <c r="X55" s="10" t="e">
        <f>SUM(#REF!)</f>
        <v>#REF!</v>
      </c>
      <c r="Y55" s="10">
        <f>'Rateio Custos Fixos'!F61</f>
        <v>0</v>
      </c>
      <c r="Z55" s="10">
        <f>'Rateio Custos Fixos'!G61</f>
        <v>0</v>
      </c>
      <c r="AA55" s="10">
        <f>'Rateio Custos Fixos'!H61</f>
        <v>0</v>
      </c>
      <c r="AB55" s="10">
        <f>'Rateio Custos Fixos'!I61</f>
        <v>0</v>
      </c>
      <c r="AC55" s="10">
        <f>'Rateio Custos Fixos'!J61</f>
        <v>0</v>
      </c>
      <c r="AD55" s="10">
        <f>'Rateio Custos Fixos'!K61</f>
        <v>0</v>
      </c>
      <c r="AE55" s="10">
        <f>'Rateio Custos Fixos'!L61</f>
        <v>0</v>
      </c>
      <c r="AF55" s="10">
        <f>'Rateio Custos Fixos'!M61</f>
        <v>0</v>
      </c>
      <c r="AG55" s="10">
        <f>'Rateio Custos Fixos'!N61</f>
        <v>0</v>
      </c>
      <c r="AH55" s="10">
        <f>'Rateio Custos Fixos'!O61</f>
        <v>0</v>
      </c>
      <c r="AI55" s="10">
        <f>'Rateio Custos Fixos'!P61</f>
        <v>0</v>
      </c>
      <c r="AJ55" s="10">
        <f>'Rateio Custos Fixos'!Q61</f>
        <v>0</v>
      </c>
      <c r="AK55" s="10">
        <f>'Rateio Custos Fixos'!R61</f>
        <v>0</v>
      </c>
      <c r="AL55" s="10">
        <f>'Rateio Custos Fixos'!S61</f>
        <v>0</v>
      </c>
      <c r="AM55" s="10">
        <f>'Rateio Custos Fixos'!T61</f>
        <v>0</v>
      </c>
      <c r="AN55" s="10">
        <f>'Rateio Custos Fixos'!U61</f>
        <v>0</v>
      </c>
      <c r="AO55" s="10"/>
      <c r="AP55" s="10">
        <f t="shared" si="15"/>
        <v>0</v>
      </c>
      <c r="AQ55" s="10">
        <f t="shared" si="16"/>
        <v>0</v>
      </c>
      <c r="AR55" s="10">
        <v>2644.3166170147401</v>
      </c>
      <c r="AS55" s="10" t="e">
        <f t="shared" si="17"/>
        <v>#REF!</v>
      </c>
      <c r="AT55" s="10" t="e">
        <f t="shared" si="18"/>
        <v>#DIV/0!</v>
      </c>
      <c r="AU55" s="10" t="e">
        <f t="shared" si="19"/>
        <v>#REF!</v>
      </c>
      <c r="AV55" s="10" t="e">
        <f t="shared" si="20"/>
        <v>#DIV/0!</v>
      </c>
      <c r="AW55" s="10" t="e">
        <f>(AS55*#REF!)/'Est. Cust. Naci.'!H55</f>
        <v>#REF!</v>
      </c>
      <c r="AX55" s="10">
        <f t="shared" si="21"/>
        <v>0</v>
      </c>
    </row>
    <row r="56" spans="2:50" hidden="1">
      <c r="B56">
        <f>'LISTA DE COMPRAS'!A55</f>
        <v>51</v>
      </c>
      <c r="C56" s="83">
        <f>'LISTA DE COMPRAS'!C55</f>
        <v>0</v>
      </c>
      <c r="G56" s="118">
        <f>'LISTA DE COMPRAS'!D56</f>
        <v>0</v>
      </c>
      <c r="H56" s="2">
        <f>'LISTA DE COMPRAS'!J55</f>
        <v>0</v>
      </c>
      <c r="I56" s="119">
        <f>'LISTA DE COMPRAS'!P55</f>
        <v>0</v>
      </c>
      <c r="J56" s="12">
        <f>'LISTA DE COMPRAS'!K55</f>
        <v>0</v>
      </c>
      <c r="K56" s="12">
        <f t="shared" si="5"/>
        <v>0</v>
      </c>
      <c r="L56" s="10">
        <f t="shared" si="6"/>
        <v>0</v>
      </c>
      <c r="M56" s="10">
        <f t="shared" si="7"/>
        <v>0</v>
      </c>
      <c r="N56" s="4">
        <f t="shared" si="8"/>
        <v>0</v>
      </c>
      <c r="O56" s="10">
        <f>'Rateio Custos Fixos'!E62</f>
        <v>0</v>
      </c>
      <c r="P56" s="10">
        <f t="shared" si="9"/>
        <v>0</v>
      </c>
      <c r="Q56" s="10">
        <f t="shared" si="10"/>
        <v>0</v>
      </c>
      <c r="R56" s="10">
        <f t="shared" si="23"/>
        <v>0</v>
      </c>
      <c r="S56" s="10">
        <f t="shared" si="11"/>
        <v>0</v>
      </c>
      <c r="T56" s="10">
        <f t="shared" si="24"/>
        <v>0</v>
      </c>
      <c r="U56" s="10">
        <f t="shared" si="24"/>
        <v>0</v>
      </c>
      <c r="V56" s="10">
        <f t="shared" si="22"/>
        <v>0</v>
      </c>
      <c r="W56" s="10">
        <f t="shared" si="13"/>
        <v>0</v>
      </c>
      <c r="X56" s="10">
        <f>SUM(R59:V59)</f>
        <v>0</v>
      </c>
      <c r="Y56" s="10">
        <f>'Rateio Custos Fixos'!F62</f>
        <v>0</v>
      </c>
      <c r="Z56" s="10">
        <f>'Rateio Custos Fixos'!G62</f>
        <v>0</v>
      </c>
      <c r="AA56" s="10">
        <f>'Rateio Custos Fixos'!H62</f>
        <v>0</v>
      </c>
      <c r="AB56" s="10">
        <f>'Rateio Custos Fixos'!I62</f>
        <v>0</v>
      </c>
      <c r="AC56" s="10">
        <f>'Rateio Custos Fixos'!J62</f>
        <v>0</v>
      </c>
      <c r="AD56" s="10">
        <f>'Rateio Custos Fixos'!K62</f>
        <v>0</v>
      </c>
      <c r="AE56" s="10">
        <f>'Rateio Custos Fixos'!L62</f>
        <v>0</v>
      </c>
      <c r="AF56" s="10">
        <f>'Rateio Custos Fixos'!M62</f>
        <v>0</v>
      </c>
      <c r="AG56" s="10">
        <f>'Rateio Custos Fixos'!N62</f>
        <v>0</v>
      </c>
      <c r="AH56" s="10">
        <f>'Rateio Custos Fixos'!O62</f>
        <v>0</v>
      </c>
      <c r="AI56" s="10">
        <f>'Rateio Custos Fixos'!P62</f>
        <v>0</v>
      </c>
      <c r="AJ56" s="10">
        <f>'Rateio Custos Fixos'!Q62</f>
        <v>0</v>
      </c>
      <c r="AK56" s="10">
        <f>'Rateio Custos Fixos'!R62</f>
        <v>0</v>
      </c>
      <c r="AL56" s="10">
        <f>'Rateio Custos Fixos'!S62</f>
        <v>0</v>
      </c>
      <c r="AM56" s="10">
        <f>'Rateio Custos Fixos'!T62</f>
        <v>0</v>
      </c>
      <c r="AN56" s="10">
        <f>'Rateio Custos Fixos'!U62</f>
        <v>0</v>
      </c>
      <c r="AO56" s="10"/>
      <c r="AP56" s="10">
        <f t="shared" si="15"/>
        <v>0</v>
      </c>
      <c r="AQ56" s="10">
        <f t="shared" si="16"/>
        <v>0</v>
      </c>
      <c r="AR56" s="10">
        <v>2645.3166170147401</v>
      </c>
      <c r="AS56" s="10">
        <f t="shared" si="17"/>
        <v>0</v>
      </c>
      <c r="AT56" s="10" t="e">
        <f t="shared" si="18"/>
        <v>#DIV/0!</v>
      </c>
      <c r="AU56" s="10" t="e">
        <f t="shared" si="19"/>
        <v>#DIV/0!</v>
      </c>
      <c r="AV56" s="10" t="e">
        <f t="shared" si="20"/>
        <v>#DIV/0!</v>
      </c>
      <c r="AW56" s="10" t="e">
        <f>(AS56*#REF!)/'Est. Cust. Naci.'!H56</f>
        <v>#REF!</v>
      </c>
      <c r="AX56" s="10">
        <f t="shared" si="21"/>
        <v>0</v>
      </c>
    </row>
    <row r="57" spans="2:50" hidden="1">
      <c r="B57">
        <f>'LISTA DE COMPRAS'!A56</f>
        <v>52</v>
      </c>
      <c r="C57" s="83">
        <f>'LISTA DE COMPRAS'!C56</f>
        <v>0</v>
      </c>
      <c r="G57" s="118">
        <f>'LISTA DE COMPRAS'!D57</f>
        <v>0</v>
      </c>
      <c r="H57" s="2">
        <f>'LISTA DE COMPRAS'!J56</f>
        <v>0</v>
      </c>
      <c r="I57" s="119">
        <f>'LISTA DE COMPRAS'!P56</f>
        <v>0</v>
      </c>
      <c r="J57" s="12">
        <f>'LISTA DE COMPRAS'!K56</f>
        <v>0</v>
      </c>
      <c r="K57" s="12">
        <f t="shared" si="5"/>
        <v>0</v>
      </c>
      <c r="L57" s="10">
        <f t="shared" si="6"/>
        <v>0</v>
      </c>
      <c r="M57" s="10">
        <f t="shared" si="7"/>
        <v>0</v>
      </c>
      <c r="N57" s="4">
        <f t="shared" si="8"/>
        <v>0</v>
      </c>
      <c r="O57" s="10">
        <f>'Rateio Custos Fixos'!E63</f>
        <v>0</v>
      </c>
      <c r="P57" s="10">
        <f t="shared" si="9"/>
        <v>0</v>
      </c>
      <c r="Q57" s="10">
        <f t="shared" si="10"/>
        <v>0</v>
      </c>
      <c r="R57" s="10">
        <f t="shared" si="23"/>
        <v>0</v>
      </c>
      <c r="S57" s="10">
        <f t="shared" si="11"/>
        <v>0</v>
      </c>
      <c r="T57" s="10">
        <f t="shared" si="24"/>
        <v>0</v>
      </c>
      <c r="U57" s="10">
        <f t="shared" si="24"/>
        <v>0</v>
      </c>
      <c r="V57" s="10">
        <f t="shared" si="22"/>
        <v>0</v>
      </c>
      <c r="W57" s="10">
        <f t="shared" si="13"/>
        <v>0</v>
      </c>
      <c r="X57" s="10">
        <f>SUM(R60:V60)</f>
        <v>0</v>
      </c>
      <c r="Y57" s="10">
        <f>'Rateio Custos Fixos'!F63</f>
        <v>0</v>
      </c>
      <c r="Z57" s="10">
        <f>'Rateio Custos Fixos'!G63</f>
        <v>0</v>
      </c>
      <c r="AA57" s="10">
        <f>'Rateio Custos Fixos'!H63</f>
        <v>0</v>
      </c>
      <c r="AB57" s="10">
        <f>'Rateio Custos Fixos'!I63</f>
        <v>0</v>
      </c>
      <c r="AC57" s="10">
        <f>'Rateio Custos Fixos'!J63</f>
        <v>0</v>
      </c>
      <c r="AD57" s="10">
        <f>'Rateio Custos Fixos'!K63</f>
        <v>0</v>
      </c>
      <c r="AE57" s="10">
        <f>'Rateio Custos Fixos'!L63</f>
        <v>0</v>
      </c>
      <c r="AF57" s="10">
        <f>'Rateio Custos Fixos'!M63</f>
        <v>0</v>
      </c>
      <c r="AG57" s="10">
        <f>'Rateio Custos Fixos'!N63</f>
        <v>0</v>
      </c>
      <c r="AH57" s="10">
        <f>'Rateio Custos Fixos'!O63</f>
        <v>0</v>
      </c>
      <c r="AI57" s="10">
        <f>'Rateio Custos Fixos'!P63</f>
        <v>0</v>
      </c>
      <c r="AJ57" s="10">
        <f>'Rateio Custos Fixos'!Q63</f>
        <v>0</v>
      </c>
      <c r="AK57" s="10">
        <f>'Rateio Custos Fixos'!R63</f>
        <v>0</v>
      </c>
      <c r="AL57" s="10">
        <f>'Rateio Custos Fixos'!S63</f>
        <v>0</v>
      </c>
      <c r="AM57" s="10">
        <f>'Rateio Custos Fixos'!T63</f>
        <v>0</v>
      </c>
      <c r="AN57" s="10">
        <f>'Rateio Custos Fixos'!U63</f>
        <v>0</v>
      </c>
      <c r="AO57" s="10"/>
      <c r="AP57" s="10">
        <f t="shared" si="15"/>
        <v>0</v>
      </c>
      <c r="AQ57" s="10">
        <f t="shared" si="16"/>
        <v>0</v>
      </c>
      <c r="AR57" s="10">
        <v>2646.3166170147401</v>
      </c>
      <c r="AS57" s="10">
        <f t="shared" si="17"/>
        <v>0</v>
      </c>
      <c r="AT57" s="10" t="e">
        <f t="shared" si="18"/>
        <v>#DIV/0!</v>
      </c>
      <c r="AU57" s="10" t="e">
        <f t="shared" si="19"/>
        <v>#DIV/0!</v>
      </c>
      <c r="AV57" s="10" t="e">
        <f t="shared" si="20"/>
        <v>#DIV/0!</v>
      </c>
      <c r="AW57" s="10" t="e">
        <f>(AS57*#REF!)/'Est. Cust. Naci.'!H57</f>
        <v>#REF!</v>
      </c>
      <c r="AX57" s="10">
        <f t="shared" si="21"/>
        <v>0</v>
      </c>
    </row>
    <row r="58" spans="2:50" hidden="1">
      <c r="B58">
        <f>'LISTA DE COMPRAS'!A57</f>
        <v>53</v>
      </c>
      <c r="C58" s="83">
        <f>'LISTA DE COMPRAS'!C57</f>
        <v>0</v>
      </c>
      <c r="G58" s="118" t="e">
        <f>'LISTA DE COMPRAS'!#REF!</f>
        <v>#REF!</v>
      </c>
      <c r="H58" s="2">
        <f>'LISTA DE COMPRAS'!J57</f>
        <v>0</v>
      </c>
      <c r="I58" s="119">
        <f>'LISTA DE COMPRAS'!P57</f>
        <v>0</v>
      </c>
      <c r="J58" s="12">
        <f>'LISTA DE COMPRAS'!K57</f>
        <v>0</v>
      </c>
      <c r="K58" s="12">
        <f t="shared" si="5"/>
        <v>0</v>
      </c>
      <c r="L58" s="10">
        <f t="shared" si="6"/>
        <v>0</v>
      </c>
      <c r="M58" s="10">
        <f t="shared" si="7"/>
        <v>0</v>
      </c>
      <c r="N58" s="4">
        <f t="shared" si="8"/>
        <v>0</v>
      </c>
      <c r="O58" s="10">
        <f>'Rateio Custos Fixos'!E64</f>
        <v>0</v>
      </c>
      <c r="P58" s="10">
        <f t="shared" si="9"/>
        <v>0</v>
      </c>
      <c r="Q58" s="10">
        <f t="shared" si="10"/>
        <v>0</v>
      </c>
      <c r="R58" s="10">
        <f t="shared" si="23"/>
        <v>0</v>
      </c>
      <c r="S58" s="10">
        <f t="shared" si="11"/>
        <v>0</v>
      </c>
      <c r="T58" s="10">
        <f t="shared" si="24"/>
        <v>0</v>
      </c>
      <c r="U58" s="10">
        <f t="shared" si="24"/>
        <v>0</v>
      </c>
      <c r="V58" s="10">
        <f t="shared" si="22"/>
        <v>0</v>
      </c>
      <c r="W58" s="10">
        <f t="shared" si="13"/>
        <v>0</v>
      </c>
      <c r="X58" s="10">
        <f>SUM(R61:V61)</f>
        <v>0</v>
      </c>
      <c r="Y58" s="10">
        <f>'Rateio Custos Fixos'!F64</f>
        <v>0</v>
      </c>
      <c r="Z58" s="10">
        <f>'Rateio Custos Fixos'!G64</f>
        <v>0</v>
      </c>
      <c r="AA58" s="10">
        <f>'Rateio Custos Fixos'!H64</f>
        <v>0</v>
      </c>
      <c r="AB58" s="10">
        <f>'Rateio Custos Fixos'!I64</f>
        <v>0</v>
      </c>
      <c r="AC58" s="10">
        <f>'Rateio Custos Fixos'!J64</f>
        <v>0</v>
      </c>
      <c r="AD58" s="10">
        <f>'Rateio Custos Fixos'!K64</f>
        <v>0</v>
      </c>
      <c r="AE58" s="10">
        <f>'Rateio Custos Fixos'!L64</f>
        <v>0</v>
      </c>
      <c r="AF58" s="10">
        <f>'Rateio Custos Fixos'!M64</f>
        <v>0</v>
      </c>
      <c r="AG58" s="10">
        <f>'Rateio Custos Fixos'!N64</f>
        <v>0</v>
      </c>
      <c r="AH58" s="10">
        <f>'Rateio Custos Fixos'!O64</f>
        <v>0</v>
      </c>
      <c r="AI58" s="10">
        <f>'Rateio Custos Fixos'!P64</f>
        <v>0</v>
      </c>
      <c r="AJ58" s="10">
        <f>'Rateio Custos Fixos'!Q64</f>
        <v>0</v>
      </c>
      <c r="AK58" s="10">
        <f>'Rateio Custos Fixos'!R64</f>
        <v>0</v>
      </c>
      <c r="AL58" s="10">
        <f>'Rateio Custos Fixos'!S64</f>
        <v>0</v>
      </c>
      <c r="AM58" s="10">
        <f>'Rateio Custos Fixos'!T64</f>
        <v>0</v>
      </c>
      <c r="AN58" s="10">
        <f>'Rateio Custos Fixos'!U64</f>
        <v>0</v>
      </c>
      <c r="AO58" s="10"/>
      <c r="AP58" s="10">
        <f t="shared" si="15"/>
        <v>0</v>
      </c>
      <c r="AQ58" s="10">
        <f t="shared" si="16"/>
        <v>0</v>
      </c>
      <c r="AR58" s="10">
        <v>2647.3166170147401</v>
      </c>
      <c r="AS58" s="10">
        <f t="shared" si="17"/>
        <v>0</v>
      </c>
      <c r="AT58" s="10" t="e">
        <f t="shared" si="18"/>
        <v>#DIV/0!</v>
      </c>
      <c r="AU58" s="10" t="e">
        <f t="shared" si="19"/>
        <v>#DIV/0!</v>
      </c>
      <c r="AV58" s="10" t="e">
        <f t="shared" si="20"/>
        <v>#DIV/0!</v>
      </c>
      <c r="AW58" s="10" t="e">
        <f>(AS58*#REF!)/'Est. Cust. Naci.'!H58</f>
        <v>#REF!</v>
      </c>
      <c r="AX58" s="10">
        <f t="shared" si="21"/>
        <v>0</v>
      </c>
    </row>
    <row r="59" spans="2:50">
      <c r="B59">
        <f>'LISTA DE COMPRAS'!A58</f>
        <v>0</v>
      </c>
    </row>
    <row r="62" spans="2:50">
      <c r="L62" t="e" vm="1">
        <v>#VALUE!</v>
      </c>
      <c r="N62" s="10">
        <v>5.0999999999999996</v>
      </c>
    </row>
  </sheetData>
  <autoFilter ref="A4:BA6" xr:uid="{5657F730-3338-4C15-B194-26A8EB2D236B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757A-B503-465F-94ED-BC0767E10E0A}">
  <dimension ref="A1:W66"/>
  <sheetViews>
    <sheetView zoomScale="110" zoomScaleNormal="110" workbookViewId="0">
      <selection activeCell="B3" sqref="B3"/>
    </sheetView>
  </sheetViews>
  <sheetFormatPr defaultRowHeight="15"/>
  <cols>
    <col min="1" max="1" width="10.5703125" bestFit="1" customWidth="1"/>
    <col min="2" max="2" width="12.5703125" customWidth="1"/>
    <col min="3" max="3" width="14.28515625" bestFit="1" customWidth="1"/>
    <col min="4" max="4" width="9.140625" customWidth="1"/>
    <col min="5" max="5" width="16.28515625" customWidth="1"/>
    <col min="6" max="10" width="15.7109375" customWidth="1"/>
    <col min="11" max="11" width="19.7109375" bestFit="1" customWidth="1"/>
    <col min="12" max="22" width="15.7109375" customWidth="1"/>
    <col min="23" max="23" width="15.42578125" bestFit="1" customWidth="1"/>
  </cols>
  <sheetData>
    <row r="1" spans="1:23">
      <c r="A1" t="s">
        <v>99</v>
      </c>
      <c r="F1" t="s">
        <v>100</v>
      </c>
      <c r="G1" s="2" t="s">
        <v>16</v>
      </c>
    </row>
    <row r="2" spans="1:23">
      <c r="F2" s="12">
        <v>3363</v>
      </c>
      <c r="G2" s="10">
        <f>F2*B3</f>
        <v>17151.3</v>
      </c>
    </row>
    <row r="3" spans="1:23">
      <c r="A3" t="e" vm="1">
        <v>#VALUE!</v>
      </c>
      <c r="B3" s="10">
        <v>5.0999999999999996</v>
      </c>
      <c r="F3" s="10">
        <v>2344</v>
      </c>
      <c r="G3" s="10">
        <f>F3</f>
        <v>2344</v>
      </c>
    </row>
    <row r="4" spans="1:23">
      <c r="A4" t="e" vm="2">
        <v>#VALUE!</v>
      </c>
      <c r="B4" s="10" cm="1">
        <f t="array" aca="1" ref="B4" ca="1">_FV(A4,"Preço")</f>
        <v>5.9729999999999999</v>
      </c>
      <c r="F4" t="s">
        <v>52</v>
      </c>
      <c r="G4" s="10">
        <f>SUM(G2:G3)</f>
        <v>19495.3</v>
      </c>
    </row>
    <row r="5" spans="1:23">
      <c r="G5" s="12">
        <f>G4/B3</f>
        <v>3822.6078431372548</v>
      </c>
    </row>
    <row r="8" spans="1:23">
      <c r="U8" s="4" t="e">
        <f>'Rateio Custos Fixos'!#REF!</f>
        <v>#REF!</v>
      </c>
      <c r="V8" s="4"/>
    </row>
    <row r="10" spans="1:23" s="2" customFormat="1" ht="45">
      <c r="A10" s="5" t="s">
        <v>58</v>
      </c>
      <c r="B10" s="5" t="s">
        <v>101</v>
      </c>
      <c r="C10" s="5" t="str">
        <f>'[2]Lista de Compra'!Q2</f>
        <v>% Rateio Preço</v>
      </c>
      <c r="E10" s="6" t="s">
        <v>100</v>
      </c>
      <c r="F10" s="6" t="s">
        <v>33</v>
      </c>
      <c r="G10" s="6" t="s">
        <v>34</v>
      </c>
      <c r="H10" s="6" t="s">
        <v>87</v>
      </c>
      <c r="I10" s="6" t="s">
        <v>36</v>
      </c>
      <c r="J10" s="6" t="s">
        <v>37</v>
      </c>
      <c r="K10" s="6" t="s">
        <v>38</v>
      </c>
      <c r="L10" s="6" t="s">
        <v>39</v>
      </c>
      <c r="M10" s="6" t="s">
        <v>40</v>
      </c>
      <c r="N10" s="6" t="s">
        <v>41</v>
      </c>
      <c r="O10" s="6" t="s">
        <v>42</v>
      </c>
      <c r="P10" s="6" t="s">
        <v>44</v>
      </c>
      <c r="Q10" s="6" t="s">
        <v>45</v>
      </c>
      <c r="R10" s="6" t="s">
        <v>46</v>
      </c>
      <c r="S10" s="6" t="s">
        <v>47</v>
      </c>
      <c r="T10" s="6" t="s">
        <v>48</v>
      </c>
      <c r="U10" s="6" t="s">
        <v>49</v>
      </c>
      <c r="V10" s="6" t="s">
        <v>130</v>
      </c>
    </row>
    <row r="11" spans="1:23">
      <c r="B11">
        <f>SUM(B12:B64)</f>
        <v>425</v>
      </c>
      <c r="C11" s="7">
        <f>SUM(C12:C64)</f>
        <v>1</v>
      </c>
      <c r="E11" s="8">
        <f>G4</f>
        <v>19495.3</v>
      </c>
      <c r="F11" s="8">
        <v>214.5</v>
      </c>
      <c r="G11" s="8">
        <v>540</v>
      </c>
      <c r="H11" s="8">
        <f>1547</f>
        <v>1547</v>
      </c>
      <c r="I11" s="8">
        <v>60</v>
      </c>
      <c r="J11" s="8">
        <v>300</v>
      </c>
      <c r="K11" s="8">
        <v>400</v>
      </c>
      <c r="L11" s="8">
        <f>774.9</f>
        <v>774.9</v>
      </c>
      <c r="M11" s="8">
        <v>140</v>
      </c>
      <c r="N11" s="9">
        <v>0.08</v>
      </c>
      <c r="O11" s="8">
        <v>0</v>
      </c>
      <c r="P11" s="8">
        <f>756.95</f>
        <v>756.95</v>
      </c>
      <c r="Q11" s="8">
        <v>225</v>
      </c>
      <c r="R11" s="8">
        <f>117.45</f>
        <v>117.45</v>
      </c>
      <c r="S11" s="8">
        <v>286</v>
      </c>
      <c r="T11" s="8">
        <v>6000</v>
      </c>
      <c r="U11" s="8">
        <v>2400</v>
      </c>
      <c r="V11" s="196">
        <v>3.5000000000000003E-2</v>
      </c>
      <c r="W11" s="10">
        <f>SUM(E11:V11)</f>
        <v>33257.215000000011</v>
      </c>
    </row>
    <row r="12" spans="1:23">
      <c r="A12" s="2">
        <f>'LISTA DE COMPRAS'!A5</f>
        <v>1</v>
      </c>
      <c r="B12" s="2">
        <f>'LISTA DE COMPRAS'!J5</f>
        <v>30</v>
      </c>
      <c r="C12" s="11">
        <f>'LISTA DE COMPRAS'!Q5</f>
        <v>1.9155528996808092E-2</v>
      </c>
      <c r="E12" s="169">
        <f t="shared" ref="E12:H26" si="0">E$11*$C12</f>
        <v>373.44278445147279</v>
      </c>
      <c r="F12" s="169">
        <f t="shared" si="0"/>
        <v>4.1088609698153356</v>
      </c>
      <c r="G12" s="169">
        <f t="shared" si="0"/>
        <v>10.34398565827637</v>
      </c>
      <c r="H12" s="169">
        <f t="shared" si="0"/>
        <v>29.633603358062118</v>
      </c>
      <c r="I12" s="169">
        <f t="shared" ref="I12:V27" si="1">I$11*$C12</f>
        <v>1.1493317398084855</v>
      </c>
      <c r="J12" s="169">
        <f t="shared" si="1"/>
        <v>5.7466586990424275</v>
      </c>
      <c r="K12" s="169">
        <f t="shared" si="1"/>
        <v>7.6622115987232373</v>
      </c>
      <c r="L12" s="169">
        <f t="shared" si="1"/>
        <v>14.84361941962659</v>
      </c>
      <c r="M12" s="169">
        <f t="shared" si="1"/>
        <v>2.681774059553133</v>
      </c>
      <c r="N12" s="169">
        <f t="shared" ref="N12" si="2">$N$11*E12</f>
        <v>29.875422756117825</v>
      </c>
      <c r="O12" s="169">
        <f t="shared" si="1"/>
        <v>0</v>
      </c>
      <c r="P12" s="169">
        <f t="shared" si="1"/>
        <v>14.499777674133886</v>
      </c>
      <c r="Q12" s="169">
        <f t="shared" si="1"/>
        <v>4.3099940242818207</v>
      </c>
      <c r="R12" s="169">
        <f t="shared" si="1"/>
        <v>2.2498168806751107</v>
      </c>
      <c r="S12" s="169">
        <f t="shared" si="1"/>
        <v>5.4784812930871141</v>
      </c>
      <c r="T12" s="169">
        <f t="shared" si="1"/>
        <v>114.93317398084855</v>
      </c>
      <c r="U12" s="169">
        <f t="shared" si="1"/>
        <v>45.97326959233942</v>
      </c>
      <c r="V12" s="169">
        <f>V$11*'Est. Cust. Naci.'!L6</f>
        <v>1759.4923500000002</v>
      </c>
      <c r="W12" s="10"/>
    </row>
    <row r="13" spans="1:23">
      <c r="A13" s="2">
        <f>'LISTA DE COMPRAS'!A6</f>
        <v>2</v>
      </c>
      <c r="B13" s="2">
        <f>'LISTA DE COMPRAS'!J6</f>
        <v>30</v>
      </c>
      <c r="C13" s="11">
        <f>'LISTA DE COMPRAS'!Q6</f>
        <v>7.4332104181545233E-2</v>
      </c>
      <c r="E13" s="169">
        <f t="shared" si="0"/>
        <v>1449.1266706504787</v>
      </c>
      <c r="F13" s="169">
        <f t="shared" si="0"/>
        <v>15.944236346941452</v>
      </c>
      <c r="G13" s="169">
        <f t="shared" si="0"/>
        <v>40.139336258034426</v>
      </c>
      <c r="H13" s="169">
        <f t="shared" si="0"/>
        <v>114.99176516885048</v>
      </c>
      <c r="I13" s="169">
        <f t="shared" si="1"/>
        <v>4.459926250892714</v>
      </c>
      <c r="J13" s="169">
        <f t="shared" si="1"/>
        <v>22.29963125446357</v>
      </c>
      <c r="K13" s="169">
        <f t="shared" si="1"/>
        <v>29.732841672618093</v>
      </c>
      <c r="L13" s="169">
        <f t="shared" si="1"/>
        <v>57.599947530279401</v>
      </c>
      <c r="M13" s="169">
        <f t="shared" si="1"/>
        <v>10.406494585416333</v>
      </c>
      <c r="N13" s="169">
        <f t="shared" ref="N13:N62" si="3">$N$11*E13</f>
        <v>115.93013365203829</v>
      </c>
      <c r="O13" s="169">
        <f t="shared" si="1"/>
        <v>0</v>
      </c>
      <c r="P13" s="169">
        <f t="shared" si="1"/>
        <v>56.265686260220669</v>
      </c>
      <c r="Q13" s="169">
        <f t="shared" si="1"/>
        <v>16.724723440847676</v>
      </c>
      <c r="R13" s="169">
        <f t="shared" si="1"/>
        <v>8.7303056361224876</v>
      </c>
      <c r="S13" s="169">
        <f t="shared" si="1"/>
        <v>21.258981795921937</v>
      </c>
      <c r="T13" s="169">
        <f t="shared" si="1"/>
        <v>445.99262508927143</v>
      </c>
      <c r="U13" s="169">
        <f t="shared" si="1"/>
        <v>178.39705003570856</v>
      </c>
      <c r="V13" s="169">
        <f>V$11*'Est. Cust. Naci.'!L7</f>
        <v>6827.6250000000009</v>
      </c>
      <c r="W13" s="10">
        <f>SUM(F13:U13)</f>
        <v>1138.8736849776276</v>
      </c>
    </row>
    <row r="14" spans="1:23">
      <c r="A14" s="2">
        <f>'LISTA DE COMPRAS'!A7</f>
        <v>3</v>
      </c>
      <c r="B14" s="2">
        <f>'LISTA DE COMPRAS'!J7</f>
        <v>20</v>
      </c>
      <c r="C14" s="11">
        <f>'LISTA DE COMPRAS'!Q7</f>
        <v>1.1659937910830625E-2</v>
      </c>
      <c r="E14" s="169">
        <f t="shared" si="0"/>
        <v>227.31398755301626</v>
      </c>
      <c r="F14" s="169">
        <f t="shared" si="0"/>
        <v>2.5010566818731692</v>
      </c>
      <c r="G14" s="169">
        <f t="shared" si="0"/>
        <v>6.296366471848537</v>
      </c>
      <c r="H14" s="169">
        <f t="shared" si="0"/>
        <v>18.037923948054978</v>
      </c>
      <c r="I14" s="169">
        <f t="shared" si="1"/>
        <v>0.69959627464983754</v>
      </c>
      <c r="J14" s="169">
        <f t="shared" si="1"/>
        <v>3.4979813732491873</v>
      </c>
      <c r="K14" s="169">
        <f t="shared" si="1"/>
        <v>4.6639751643322498</v>
      </c>
      <c r="L14" s="169">
        <f t="shared" si="1"/>
        <v>9.0352858871026509</v>
      </c>
      <c r="M14" s="169">
        <f t="shared" si="1"/>
        <v>1.6323913075162875</v>
      </c>
      <c r="N14" s="169">
        <f t="shared" si="3"/>
        <v>18.185119004241301</v>
      </c>
      <c r="O14" s="169">
        <f t="shared" si="1"/>
        <v>0</v>
      </c>
      <c r="P14" s="169">
        <f t="shared" si="1"/>
        <v>8.8259900016032429</v>
      </c>
      <c r="Q14" s="169">
        <f t="shared" si="1"/>
        <v>2.6234860299368905</v>
      </c>
      <c r="R14" s="169">
        <f t="shared" si="1"/>
        <v>1.3694597076270569</v>
      </c>
      <c r="S14" s="169">
        <f t="shared" si="1"/>
        <v>3.3347422424975588</v>
      </c>
      <c r="T14" s="169">
        <f t="shared" si="1"/>
        <v>69.959627464983754</v>
      </c>
      <c r="U14" s="169">
        <f t="shared" si="1"/>
        <v>27.983850985993499</v>
      </c>
      <c r="V14" s="169">
        <f>V$11*'Est. Cust. Naci.'!L8</f>
        <v>714.00000000000011</v>
      </c>
      <c r="W14" s="10">
        <f>SUM(F14:U14)</f>
        <v>178.64685254551017</v>
      </c>
    </row>
    <row r="15" spans="1:23">
      <c r="A15" s="2">
        <f>'LISTA DE COMPRAS'!A8</f>
        <v>4</v>
      </c>
      <c r="B15" s="2">
        <f>'LISTA DE COMPRAS'!J8</f>
        <v>240</v>
      </c>
      <c r="C15" s="11">
        <f>'LISTA DE COMPRAS'!Q8</f>
        <v>7.7206278876564985E-3</v>
      </c>
      <c r="E15" s="169">
        <f t="shared" si="0"/>
        <v>150.51595685822974</v>
      </c>
      <c r="F15" s="169">
        <f t="shared" si="0"/>
        <v>1.6560746819023189</v>
      </c>
      <c r="G15" s="169">
        <f t="shared" si="0"/>
        <v>4.1691390593345092</v>
      </c>
      <c r="H15" s="169">
        <f t="shared" si="0"/>
        <v>11.943811342204603</v>
      </c>
      <c r="I15" s="169">
        <f t="shared" si="1"/>
        <v>0.46323767325938991</v>
      </c>
      <c r="J15" s="169">
        <f t="shared" si="1"/>
        <v>2.3161883662969496</v>
      </c>
      <c r="K15" s="169">
        <f t="shared" si="1"/>
        <v>3.0882511550625993</v>
      </c>
      <c r="L15" s="169">
        <f t="shared" si="1"/>
        <v>5.9827145501450207</v>
      </c>
      <c r="M15" s="169">
        <f t="shared" si="1"/>
        <v>1.0808879042719097</v>
      </c>
      <c r="N15" s="169">
        <f t="shared" si="3"/>
        <v>12.041276548658379</v>
      </c>
      <c r="O15" s="169">
        <f t="shared" si="1"/>
        <v>0</v>
      </c>
      <c r="P15" s="169">
        <f t="shared" si="1"/>
        <v>5.8441292795615869</v>
      </c>
      <c r="Q15" s="169">
        <f t="shared" si="1"/>
        <v>1.7371412747227122</v>
      </c>
      <c r="R15" s="169">
        <f t="shared" si="1"/>
        <v>0.90678774540525575</v>
      </c>
      <c r="S15" s="169">
        <f t="shared" si="1"/>
        <v>2.2080995758697584</v>
      </c>
      <c r="T15" s="169">
        <f t="shared" si="1"/>
        <v>46.323767325938988</v>
      </c>
      <c r="U15" s="169">
        <f t="shared" si="1"/>
        <v>18.529506930375597</v>
      </c>
      <c r="V15" s="169">
        <f>V$11*'Est. Cust. Naci.'!L9</f>
        <v>5673.3011999999999</v>
      </c>
      <c r="W15" s="10">
        <f>SUM(F15:U15)</f>
        <v>118.29101341300958</v>
      </c>
    </row>
    <row r="16" spans="1:23">
      <c r="A16" s="2">
        <f>'LISTA DE COMPRAS'!A9</f>
        <v>5</v>
      </c>
      <c r="B16" s="2">
        <f>'LISTA DE COMPRAS'!J9</f>
        <v>20</v>
      </c>
      <c r="C16" s="11">
        <f>'LISTA DE COMPRAS'!Q9</f>
        <v>1.3375697774409352E-2</v>
      </c>
      <c r="E16" s="169">
        <f t="shared" si="0"/>
        <v>260.76324082144259</v>
      </c>
      <c r="F16" s="169">
        <f t="shared" si="0"/>
        <v>2.869087172610806</v>
      </c>
      <c r="G16" s="169">
        <f t="shared" si="0"/>
        <v>7.2228767981810496</v>
      </c>
      <c r="H16" s="169">
        <f t="shared" si="0"/>
        <v>20.692204457011268</v>
      </c>
      <c r="I16" s="169">
        <f t="shared" si="1"/>
        <v>0.80254186646456105</v>
      </c>
      <c r="J16" s="169">
        <f t="shared" si="1"/>
        <v>4.0127093323228058</v>
      </c>
      <c r="K16" s="169">
        <f t="shared" si="1"/>
        <v>5.3502791097637408</v>
      </c>
      <c r="L16" s="169">
        <f t="shared" si="1"/>
        <v>10.364828205389806</v>
      </c>
      <c r="M16" s="169">
        <f t="shared" si="1"/>
        <v>1.8725976884173092</v>
      </c>
      <c r="N16" s="169">
        <f t="shared" si="3"/>
        <v>20.861059265715408</v>
      </c>
      <c r="O16" s="169">
        <f t="shared" si="1"/>
        <v>0</v>
      </c>
      <c r="P16" s="169">
        <f t="shared" si="1"/>
        <v>10.12473443033916</v>
      </c>
      <c r="Q16" s="169">
        <f t="shared" si="1"/>
        <v>3.0095319992421041</v>
      </c>
      <c r="R16" s="169">
        <f t="shared" si="1"/>
        <v>1.5709757036043783</v>
      </c>
      <c r="S16" s="169">
        <f t="shared" si="1"/>
        <v>3.8254495634810746</v>
      </c>
      <c r="T16" s="169">
        <f t="shared" si="1"/>
        <v>80.254186646456105</v>
      </c>
      <c r="U16" s="169">
        <f t="shared" si="1"/>
        <v>32.101674658582446</v>
      </c>
      <c r="V16" s="169">
        <f>V$11*'Est. Cust. Naci.'!L10</f>
        <v>819.06510000000014</v>
      </c>
    </row>
    <row r="17" spans="1:22">
      <c r="A17" s="2">
        <f>'LISTA DE COMPRAS'!A10</f>
        <v>6</v>
      </c>
      <c r="B17" s="2">
        <f>'LISTA DE COMPRAS'!J10</f>
        <v>3</v>
      </c>
      <c r="C17" s="11">
        <f>'LISTA DE COMPRAS'!Q10</f>
        <v>4.1273848216758245E-2</v>
      </c>
      <c r="E17" s="169">
        <f t="shared" si="0"/>
        <v>804.64605314016694</v>
      </c>
      <c r="F17" s="169">
        <f t="shared" si="0"/>
        <v>8.8532404424946431</v>
      </c>
      <c r="G17" s="169">
        <f t="shared" si="0"/>
        <v>22.287878037049452</v>
      </c>
      <c r="H17" s="169">
        <f t="shared" si="0"/>
        <v>63.850643191325005</v>
      </c>
      <c r="I17" s="169">
        <f t="shared" si="1"/>
        <v>2.4764308930054946</v>
      </c>
      <c r="J17" s="169">
        <f t="shared" si="1"/>
        <v>12.382154465027474</v>
      </c>
      <c r="K17" s="169">
        <f t="shared" si="1"/>
        <v>16.509539286703298</v>
      </c>
      <c r="L17" s="169">
        <f t="shared" si="1"/>
        <v>31.983104983165962</v>
      </c>
      <c r="M17" s="169">
        <f t="shared" si="1"/>
        <v>5.7783387503461547</v>
      </c>
      <c r="N17" s="169">
        <f t="shared" si="3"/>
        <v>64.371684251213352</v>
      </c>
      <c r="O17" s="169">
        <f t="shared" si="1"/>
        <v>0</v>
      </c>
      <c r="P17" s="169">
        <f t="shared" si="1"/>
        <v>31.242239407675157</v>
      </c>
      <c r="Q17" s="169">
        <f t="shared" si="1"/>
        <v>9.2866158487706052</v>
      </c>
      <c r="R17" s="169">
        <f t="shared" si="1"/>
        <v>4.8476134730582556</v>
      </c>
      <c r="S17" s="169">
        <f t="shared" si="1"/>
        <v>11.804320589992859</v>
      </c>
      <c r="T17" s="169">
        <f t="shared" si="1"/>
        <v>247.64308930054946</v>
      </c>
      <c r="U17" s="169">
        <f t="shared" si="1"/>
        <v>99.057235720219794</v>
      </c>
      <c r="V17" s="169">
        <f>V$11*'Est. Cust. Naci.'!L11</f>
        <v>379.11258000000004</v>
      </c>
    </row>
    <row r="18" spans="1:22">
      <c r="A18" s="2">
        <f>'LISTA DE COMPRAS'!A11</f>
        <v>7</v>
      </c>
      <c r="B18" s="2">
        <f>'LISTA DE COMPRAS'!J11</f>
        <v>10</v>
      </c>
      <c r="C18" s="11">
        <f>'LISTA DE COMPRAS'!Q11</f>
        <v>3.4012621882788474E-2</v>
      </c>
      <c r="E18" s="169">
        <f t="shared" si="0"/>
        <v>663.08626739152612</v>
      </c>
      <c r="F18" s="169">
        <f t="shared" si="0"/>
        <v>7.2957073938581276</v>
      </c>
      <c r="G18" s="169">
        <f t="shared" si="0"/>
        <v>18.366815816705778</v>
      </c>
      <c r="H18" s="169">
        <f t="shared" si="0"/>
        <v>52.617526052673767</v>
      </c>
      <c r="I18" s="169">
        <f t="shared" si="1"/>
        <v>2.0407573129673082</v>
      </c>
      <c r="J18" s="169">
        <f t="shared" si="1"/>
        <v>10.203786564836543</v>
      </c>
      <c r="K18" s="169">
        <f t="shared" si="1"/>
        <v>13.605048753115391</v>
      </c>
      <c r="L18" s="169">
        <f t="shared" si="1"/>
        <v>26.356380696972789</v>
      </c>
      <c r="M18" s="169">
        <f t="shared" si="1"/>
        <v>4.7617670635903862</v>
      </c>
      <c r="N18" s="169">
        <f t="shared" si="3"/>
        <v>53.046901391322088</v>
      </c>
      <c r="O18" s="169">
        <f t="shared" si="1"/>
        <v>0</v>
      </c>
      <c r="P18" s="169">
        <f t="shared" si="1"/>
        <v>25.745854134176739</v>
      </c>
      <c r="Q18" s="169">
        <f t="shared" si="1"/>
        <v>7.6528399236274067</v>
      </c>
      <c r="R18" s="169">
        <f t="shared" si="1"/>
        <v>3.9947824401335064</v>
      </c>
      <c r="S18" s="169">
        <f t="shared" si="1"/>
        <v>9.7276098584775035</v>
      </c>
      <c r="T18" s="169">
        <f t="shared" si="1"/>
        <v>204.07573129673085</v>
      </c>
      <c r="U18" s="169">
        <f t="shared" si="1"/>
        <v>81.630292518692343</v>
      </c>
      <c r="V18" s="169">
        <f>V$11*'Est. Cust. Naci.'!L12</f>
        <v>1041.3868499999999</v>
      </c>
    </row>
    <row r="19" spans="1:22">
      <c r="A19" s="2">
        <f>'LISTA DE COMPRAS'!A12</f>
        <v>8</v>
      </c>
      <c r="B19" s="2">
        <f>'LISTA DE COMPRAS'!J12</f>
        <v>20</v>
      </c>
      <c r="C19" s="11">
        <f>'LISTA DE COMPRAS'!Q12</f>
        <v>8.8662167873956085E-3</v>
      </c>
      <c r="E19" s="169">
        <f t="shared" si="0"/>
        <v>172.84955613531361</v>
      </c>
      <c r="F19" s="169">
        <f t="shared" si="0"/>
        <v>1.9018035008963581</v>
      </c>
      <c r="G19" s="169">
        <f t="shared" si="0"/>
        <v>4.7877570651936283</v>
      </c>
      <c r="H19" s="169">
        <f t="shared" si="0"/>
        <v>13.716037370101006</v>
      </c>
      <c r="I19" s="169">
        <f t="shared" si="1"/>
        <v>0.53197300724373653</v>
      </c>
      <c r="J19" s="169">
        <f t="shared" si="1"/>
        <v>2.6598650362186826</v>
      </c>
      <c r="K19" s="169">
        <f t="shared" si="1"/>
        <v>3.5464867149582435</v>
      </c>
      <c r="L19" s="169">
        <f t="shared" si="1"/>
        <v>6.8704313885528565</v>
      </c>
      <c r="M19" s="169">
        <f t="shared" si="1"/>
        <v>1.2412703502353852</v>
      </c>
      <c r="N19" s="169">
        <f t="shared" si="3"/>
        <v>13.827964490825089</v>
      </c>
      <c r="O19" s="169">
        <f t="shared" si="1"/>
        <v>0</v>
      </c>
      <c r="P19" s="169">
        <f t="shared" si="1"/>
        <v>6.7112827972191065</v>
      </c>
      <c r="Q19" s="169">
        <f t="shared" si="1"/>
        <v>1.9948987771640119</v>
      </c>
      <c r="R19" s="169">
        <f t="shared" si="1"/>
        <v>1.0413371616796143</v>
      </c>
      <c r="S19" s="169">
        <f t="shared" si="1"/>
        <v>2.5357380011951438</v>
      </c>
      <c r="T19" s="169">
        <f t="shared" si="1"/>
        <v>53.197300724373648</v>
      </c>
      <c r="U19" s="169">
        <f t="shared" si="1"/>
        <v>21.278920289749461</v>
      </c>
      <c r="V19" s="169">
        <f>V$11*'Est. Cust. Naci.'!L13</f>
        <v>542.92560000000014</v>
      </c>
    </row>
    <row r="20" spans="1:22">
      <c r="A20" s="2">
        <f>'LISTA DE COMPRAS'!A13</f>
        <v>9</v>
      </c>
      <c r="B20" s="2">
        <f>'LISTA DE COMPRAS'!J13</f>
        <v>5</v>
      </c>
      <c r="C20" s="11">
        <f>'LISTA DE COMPRAS'!Q13</f>
        <v>6.3439390185247274E-2</v>
      </c>
      <c r="E20" s="169">
        <f t="shared" si="0"/>
        <v>1236.7699434784511</v>
      </c>
      <c r="F20" s="169">
        <f t="shared" si="0"/>
        <v>13.60774919473554</v>
      </c>
      <c r="G20" s="169">
        <f t="shared" si="0"/>
        <v>34.25727070003353</v>
      </c>
      <c r="H20" s="169">
        <f t="shared" si="0"/>
        <v>98.140736616577527</v>
      </c>
      <c r="I20" s="169">
        <f t="shared" si="1"/>
        <v>3.8063634111148366</v>
      </c>
      <c r="J20" s="169">
        <f t="shared" si="1"/>
        <v>19.031817055574184</v>
      </c>
      <c r="K20" s="169">
        <f t="shared" si="1"/>
        <v>25.375756074098909</v>
      </c>
      <c r="L20" s="169">
        <f t="shared" si="1"/>
        <v>49.159183454548113</v>
      </c>
      <c r="M20" s="169">
        <f t="shared" si="1"/>
        <v>8.8815146259346189</v>
      </c>
      <c r="N20" s="169">
        <f t="shared" si="3"/>
        <v>98.941595478276085</v>
      </c>
      <c r="O20" s="169">
        <f t="shared" si="1"/>
        <v>0</v>
      </c>
      <c r="P20" s="169">
        <f t="shared" si="1"/>
        <v>48.020446400722925</v>
      </c>
      <c r="Q20" s="169">
        <f t="shared" si="1"/>
        <v>14.273862791680637</v>
      </c>
      <c r="R20" s="169">
        <f t="shared" si="1"/>
        <v>7.4509563772572927</v>
      </c>
      <c r="S20" s="169">
        <f t="shared" si="1"/>
        <v>18.143665592980721</v>
      </c>
      <c r="T20" s="169">
        <f t="shared" si="1"/>
        <v>380.63634111148366</v>
      </c>
      <c r="U20" s="169">
        <f t="shared" si="1"/>
        <v>152.25453644459347</v>
      </c>
      <c r="V20" s="169">
        <f>V$11*'Est. Cust. Naci.'!L14</f>
        <v>971.18280000000004</v>
      </c>
    </row>
    <row r="21" spans="1:22">
      <c r="A21" s="2">
        <f>'LISTA DE COMPRAS'!A14</f>
        <v>10</v>
      </c>
      <c r="B21" s="2">
        <f>'LISTA DE COMPRAS'!J14</f>
        <v>5</v>
      </c>
      <c r="C21" s="11">
        <f>'LISTA DE COMPRAS'!Q14</f>
        <v>5.4725918584483543E-2</v>
      </c>
      <c r="E21" s="169">
        <f t="shared" si="0"/>
        <v>1066.8982005800819</v>
      </c>
      <c r="F21" s="169">
        <f t="shared" si="0"/>
        <v>11.73870953637172</v>
      </c>
      <c r="G21" s="169">
        <f t="shared" si="0"/>
        <v>29.551996035621112</v>
      </c>
      <c r="H21" s="169">
        <f t="shared" si="0"/>
        <v>84.660996050196047</v>
      </c>
      <c r="I21" s="169">
        <f t="shared" si="1"/>
        <v>3.2835551150690128</v>
      </c>
      <c r="J21" s="169">
        <f t="shared" si="1"/>
        <v>16.417775575345065</v>
      </c>
      <c r="K21" s="169">
        <f t="shared" si="1"/>
        <v>21.890367433793418</v>
      </c>
      <c r="L21" s="169">
        <f t="shared" si="1"/>
        <v>42.407114311116295</v>
      </c>
      <c r="M21" s="169">
        <f t="shared" si="1"/>
        <v>7.6616286018276964</v>
      </c>
      <c r="N21" s="169">
        <f t="shared" si="3"/>
        <v>85.351856046406553</v>
      </c>
      <c r="O21" s="169">
        <f t="shared" si="1"/>
        <v>0</v>
      </c>
      <c r="P21" s="169">
        <f t="shared" si="1"/>
        <v>41.424784072524822</v>
      </c>
      <c r="Q21" s="169">
        <f t="shared" si="1"/>
        <v>12.313331681508798</v>
      </c>
      <c r="R21" s="169">
        <f t="shared" si="1"/>
        <v>6.4275591377475925</v>
      </c>
      <c r="S21" s="169">
        <f t="shared" si="1"/>
        <v>15.651612715162294</v>
      </c>
      <c r="T21" s="169">
        <f t="shared" si="1"/>
        <v>328.35551150690128</v>
      </c>
      <c r="U21" s="169">
        <f t="shared" si="1"/>
        <v>131.34220460276052</v>
      </c>
      <c r="V21" s="169">
        <f>V$11*'Est. Cust. Naci.'!L15</f>
        <v>837.78975000000003</v>
      </c>
    </row>
    <row r="22" spans="1:22">
      <c r="A22" s="2">
        <f>'LISTA DE COMPRAS'!A15</f>
        <v>11</v>
      </c>
      <c r="B22" s="2">
        <f>'LISTA DE COMPRAS'!J15</f>
        <v>3</v>
      </c>
      <c r="C22" s="11">
        <f>'LISTA DE COMPRAS'!Q15</f>
        <v>4.7388319657197829E-2</v>
      </c>
      <c r="E22" s="169">
        <f t="shared" si="0"/>
        <v>923.84950821296877</v>
      </c>
      <c r="F22" s="169">
        <f t="shared" si="0"/>
        <v>10.164794566468935</v>
      </c>
      <c r="G22" s="169">
        <f t="shared" si="0"/>
        <v>25.589692614886829</v>
      </c>
      <c r="H22" s="169">
        <f t="shared" si="0"/>
        <v>73.309730509685039</v>
      </c>
      <c r="I22" s="169">
        <f t="shared" si="1"/>
        <v>2.8432991794318698</v>
      </c>
      <c r="J22" s="169">
        <f t="shared" si="1"/>
        <v>14.21649589715935</v>
      </c>
      <c r="K22" s="169">
        <f t="shared" si="1"/>
        <v>18.95532786287913</v>
      </c>
      <c r="L22" s="169">
        <f t="shared" si="1"/>
        <v>36.721208902362598</v>
      </c>
      <c r="M22" s="169">
        <f t="shared" si="1"/>
        <v>6.6343647520076958</v>
      </c>
      <c r="N22" s="169">
        <f t="shared" si="3"/>
        <v>73.907960657037506</v>
      </c>
      <c r="O22" s="169">
        <f t="shared" si="1"/>
        <v>0</v>
      </c>
      <c r="P22" s="169">
        <f t="shared" si="1"/>
        <v>35.870588564515899</v>
      </c>
      <c r="Q22" s="169">
        <f t="shared" si="1"/>
        <v>10.662371922869511</v>
      </c>
      <c r="R22" s="169">
        <f t="shared" si="1"/>
        <v>5.5657581437378854</v>
      </c>
      <c r="S22" s="169">
        <f t="shared" si="1"/>
        <v>13.553059421958579</v>
      </c>
      <c r="T22" s="169">
        <f t="shared" si="1"/>
        <v>284.32991794318696</v>
      </c>
      <c r="U22" s="169">
        <f t="shared" si="1"/>
        <v>113.7319671772748</v>
      </c>
      <c r="V22" s="169">
        <f>V$11*'Est. Cust. Naci.'!L16</f>
        <v>435.27582000000001</v>
      </c>
    </row>
    <row r="23" spans="1:22">
      <c r="A23" s="2">
        <f>'LISTA DE COMPRAS'!A16</f>
        <v>12</v>
      </c>
      <c r="B23" s="2">
        <f>'LISTA DE COMPRAS'!J16</f>
        <v>0</v>
      </c>
      <c r="C23" s="11">
        <f>'LISTA DE COMPRAS'!Q16</f>
        <v>3.6993485009692323E-2</v>
      </c>
      <c r="E23" s="169">
        <f t="shared" si="0"/>
        <v>721.19908830945474</v>
      </c>
      <c r="F23" s="169">
        <f t="shared" si="0"/>
        <v>7.9351025345790029</v>
      </c>
      <c r="G23" s="169">
        <f t="shared" si="0"/>
        <v>19.976481905233854</v>
      </c>
      <c r="H23" s="169">
        <f t="shared" si="0"/>
        <v>57.228921309994021</v>
      </c>
      <c r="I23" s="169">
        <f t="shared" si="1"/>
        <v>2.2196091005815393</v>
      </c>
      <c r="J23" s="169">
        <f t="shared" si="1"/>
        <v>11.098045502907697</v>
      </c>
      <c r="K23" s="169">
        <f t="shared" si="1"/>
        <v>14.79739400387693</v>
      </c>
      <c r="L23" s="169">
        <f t="shared" si="1"/>
        <v>28.666251534010581</v>
      </c>
      <c r="M23" s="169">
        <f t="shared" si="1"/>
        <v>5.1790879013569251</v>
      </c>
      <c r="N23" s="169">
        <f t="shared" si="3"/>
        <v>57.695927064756383</v>
      </c>
      <c r="O23" s="169">
        <f t="shared" si="1"/>
        <v>0</v>
      </c>
      <c r="P23" s="169">
        <f t="shared" si="1"/>
        <v>28.002218478086604</v>
      </c>
      <c r="Q23" s="169">
        <f t="shared" si="1"/>
        <v>8.323534127180773</v>
      </c>
      <c r="R23" s="169">
        <f t="shared" si="1"/>
        <v>4.3448848143883634</v>
      </c>
      <c r="S23" s="169">
        <f t="shared" si="1"/>
        <v>10.580136712772005</v>
      </c>
      <c r="T23" s="169">
        <f t="shared" si="1"/>
        <v>221.96091005815393</v>
      </c>
      <c r="U23" s="169">
        <f t="shared" si="1"/>
        <v>88.784364023261574</v>
      </c>
      <c r="V23" s="169">
        <f>V$11*'Est. Cust. Naci.'!L17</f>
        <v>0</v>
      </c>
    </row>
    <row r="24" spans="1:22">
      <c r="A24" s="2">
        <f>'LISTA DE COMPRAS'!A17</f>
        <v>13</v>
      </c>
      <c r="B24" s="2">
        <f>'LISTA DE COMPRAS'!J17</f>
        <v>0</v>
      </c>
      <c r="C24" s="11">
        <f>'LISTA DE COMPRAS'!Q17</f>
        <v>3.6993485009692323E-2</v>
      </c>
      <c r="E24" s="169">
        <f t="shared" si="0"/>
        <v>721.19908830945474</v>
      </c>
      <c r="F24" s="169">
        <f t="shared" si="0"/>
        <v>7.9351025345790029</v>
      </c>
      <c r="G24" s="169">
        <f t="shared" si="0"/>
        <v>19.976481905233854</v>
      </c>
      <c r="H24" s="169">
        <f t="shared" si="0"/>
        <v>57.228921309994021</v>
      </c>
      <c r="I24" s="169">
        <f t="shared" si="1"/>
        <v>2.2196091005815393</v>
      </c>
      <c r="J24" s="169">
        <f t="shared" si="1"/>
        <v>11.098045502907697</v>
      </c>
      <c r="K24" s="169">
        <f t="shared" si="1"/>
        <v>14.79739400387693</v>
      </c>
      <c r="L24" s="169">
        <f t="shared" si="1"/>
        <v>28.666251534010581</v>
      </c>
      <c r="M24" s="169">
        <f t="shared" si="1"/>
        <v>5.1790879013569251</v>
      </c>
      <c r="N24" s="169">
        <f t="shared" si="3"/>
        <v>57.695927064756383</v>
      </c>
      <c r="O24" s="169">
        <f t="shared" si="1"/>
        <v>0</v>
      </c>
      <c r="P24" s="169">
        <f t="shared" si="1"/>
        <v>28.002218478086604</v>
      </c>
      <c r="Q24" s="169">
        <f t="shared" si="1"/>
        <v>8.323534127180773</v>
      </c>
      <c r="R24" s="169">
        <f t="shared" si="1"/>
        <v>4.3448848143883634</v>
      </c>
      <c r="S24" s="169">
        <f t="shared" si="1"/>
        <v>10.580136712772005</v>
      </c>
      <c r="T24" s="169">
        <f t="shared" si="1"/>
        <v>221.96091005815393</v>
      </c>
      <c r="U24" s="169">
        <f t="shared" si="1"/>
        <v>88.784364023261574</v>
      </c>
      <c r="V24" s="169">
        <f>V$11*'Est. Cust. Naci.'!L18</f>
        <v>0</v>
      </c>
    </row>
    <row r="25" spans="1:22">
      <c r="A25" s="2">
        <f>'LISTA DE COMPRAS'!A18</f>
        <v>14</v>
      </c>
      <c r="B25" s="2">
        <f>'LISTA DE COMPRAS'!J18</f>
        <v>5</v>
      </c>
      <c r="C25" s="11">
        <f>'LISTA DE COMPRAS'!Q18</f>
        <v>1.7579688388159334E-2</v>
      </c>
      <c r="E25" s="169">
        <f t="shared" si="0"/>
        <v>342.72129903368267</v>
      </c>
      <c r="F25" s="169">
        <f t="shared" si="0"/>
        <v>3.7708431592601772</v>
      </c>
      <c r="G25" s="169">
        <f t="shared" si="0"/>
        <v>9.4930317296060398</v>
      </c>
      <c r="H25" s="169">
        <f t="shared" si="0"/>
        <v>27.195777936482489</v>
      </c>
      <c r="I25" s="169">
        <f t="shared" si="1"/>
        <v>1.0547813032895601</v>
      </c>
      <c r="J25" s="169">
        <f t="shared" si="1"/>
        <v>5.2739065164478003</v>
      </c>
      <c r="K25" s="169">
        <f t="shared" si="1"/>
        <v>7.0318753552637334</v>
      </c>
      <c r="L25" s="169">
        <f t="shared" si="1"/>
        <v>13.622500531984668</v>
      </c>
      <c r="M25" s="169">
        <f t="shared" si="1"/>
        <v>2.4611563743423068</v>
      </c>
      <c r="N25" s="169">
        <f t="shared" si="3"/>
        <v>27.417703922694614</v>
      </c>
      <c r="O25" s="169">
        <f t="shared" si="1"/>
        <v>0</v>
      </c>
      <c r="P25" s="169">
        <f t="shared" si="1"/>
        <v>13.306945125417208</v>
      </c>
      <c r="Q25" s="169">
        <f t="shared" si="1"/>
        <v>3.9554298873358502</v>
      </c>
      <c r="R25" s="169">
        <f t="shared" si="1"/>
        <v>2.0647344011893138</v>
      </c>
      <c r="S25" s="169">
        <f t="shared" si="1"/>
        <v>5.0277908790135699</v>
      </c>
      <c r="T25" s="169">
        <f t="shared" si="1"/>
        <v>105.478130328956</v>
      </c>
      <c r="U25" s="169">
        <f t="shared" si="1"/>
        <v>42.191252131582402</v>
      </c>
      <c r="V25" s="169">
        <f>V$11*'Est. Cust. Naci.'!L19</f>
        <v>269.12445000000002</v>
      </c>
    </row>
    <row r="26" spans="1:22">
      <c r="A26" s="2">
        <f>'LISTA DE COMPRAS'!A19</f>
        <v>15</v>
      </c>
      <c r="B26" s="2">
        <f>'LISTA DE COMPRAS'!J19</f>
        <v>5</v>
      </c>
      <c r="C26" s="11">
        <f>'LISTA DE COMPRAS'!Q19</f>
        <v>2.1018787074958824E-2</v>
      </c>
      <c r="E26" s="169">
        <f t="shared" si="0"/>
        <v>409.76755966244474</v>
      </c>
      <c r="F26" s="169">
        <f t="shared" si="0"/>
        <v>4.508529827578668</v>
      </c>
      <c r="G26" s="169">
        <f t="shared" si="0"/>
        <v>11.350145020477765</v>
      </c>
      <c r="H26" s="169">
        <f t="shared" si="0"/>
        <v>32.516063604961303</v>
      </c>
      <c r="I26" s="169">
        <f t="shared" si="1"/>
        <v>1.2611272244975296</v>
      </c>
      <c r="J26" s="169">
        <f t="shared" si="1"/>
        <v>6.3056361224876474</v>
      </c>
      <c r="K26" s="169">
        <f t="shared" si="1"/>
        <v>8.4075148299835298</v>
      </c>
      <c r="L26" s="169">
        <f t="shared" si="1"/>
        <v>16.287458104385593</v>
      </c>
      <c r="M26" s="169">
        <f t="shared" si="1"/>
        <v>2.9426301904942354</v>
      </c>
      <c r="N26" s="169">
        <f t="shared" si="3"/>
        <v>32.781404772995579</v>
      </c>
      <c r="O26" s="169">
        <f t="shared" si="1"/>
        <v>0</v>
      </c>
      <c r="P26" s="169">
        <f t="shared" si="1"/>
        <v>15.910170876390083</v>
      </c>
      <c r="Q26" s="169">
        <f t="shared" si="1"/>
        <v>4.7292270918657353</v>
      </c>
      <c r="R26" s="169">
        <f t="shared" si="1"/>
        <v>2.4686565419539139</v>
      </c>
      <c r="S26" s="169">
        <f t="shared" si="1"/>
        <v>6.0113731034382241</v>
      </c>
      <c r="T26" s="169">
        <f t="shared" si="1"/>
        <v>126.11272244975295</v>
      </c>
      <c r="U26" s="169">
        <f t="shared" si="1"/>
        <v>50.445088979901179</v>
      </c>
      <c r="V26" s="169">
        <f>V$11*'Est. Cust. Naci.'!L20</f>
        <v>321.77302500000002</v>
      </c>
    </row>
    <row r="27" spans="1:22">
      <c r="A27" s="2">
        <f>'LISTA DE COMPRAS'!A20</f>
        <v>16</v>
      </c>
      <c r="B27" s="2">
        <f>'LISTA DE COMPRAS'!J20</f>
        <v>3</v>
      </c>
      <c r="C27" s="11">
        <f>'LISTA DE COMPRAS'!Q20</f>
        <v>4.9681246447362666E-2</v>
      </c>
      <c r="E27" s="169">
        <f t="shared" ref="E27:T61" si="4">E$11*$C27</f>
        <v>968.55080386526936</v>
      </c>
      <c r="F27" s="169">
        <f t="shared" si="4"/>
        <v>10.656627362959291</v>
      </c>
      <c r="G27" s="169">
        <f t="shared" si="4"/>
        <v>26.827873081575838</v>
      </c>
      <c r="H27" s="169">
        <f t="shared" si="4"/>
        <v>76.856888254070043</v>
      </c>
      <c r="I27" s="169">
        <f t="shared" si="4"/>
        <v>2.9808747868417598</v>
      </c>
      <c r="J27" s="169">
        <f t="shared" si="4"/>
        <v>14.904373934208801</v>
      </c>
      <c r="K27" s="169">
        <f t="shared" si="4"/>
        <v>19.872498578945066</v>
      </c>
      <c r="L27" s="169">
        <f t="shared" si="4"/>
        <v>38.497997872061326</v>
      </c>
      <c r="M27" s="169">
        <f t="shared" si="4"/>
        <v>6.9553745026307734</v>
      </c>
      <c r="N27" s="169">
        <f t="shared" si="3"/>
        <v>77.484064309221552</v>
      </c>
      <c r="O27" s="169">
        <f t="shared" si="4"/>
        <v>0</v>
      </c>
      <c r="P27" s="169">
        <f t="shared" si="4"/>
        <v>37.606219498331171</v>
      </c>
      <c r="Q27" s="169">
        <f t="shared" si="4"/>
        <v>11.178280450656599</v>
      </c>
      <c r="R27" s="169">
        <f t="shared" si="4"/>
        <v>5.8350623952427449</v>
      </c>
      <c r="S27" s="169">
        <f t="shared" si="4"/>
        <v>14.208836483945722</v>
      </c>
      <c r="T27" s="169">
        <f t="shared" si="4"/>
        <v>298.08747868417601</v>
      </c>
      <c r="U27" s="169">
        <f t="shared" ref="I27:U49" si="5">U$11*$C27</f>
        <v>119.23499147367041</v>
      </c>
      <c r="V27" s="169">
        <f>V$11*'Est. Cust. Naci.'!L21</f>
        <v>456.33703499999996</v>
      </c>
    </row>
    <row r="28" spans="1:22">
      <c r="A28" s="2">
        <f>'LISTA DE COMPRAS'!A21</f>
        <v>17</v>
      </c>
      <c r="B28" s="2">
        <f>'LISTA DE COMPRAS'!J21</f>
        <v>5</v>
      </c>
      <c r="C28" s="11">
        <f>'LISTA DE COMPRAS'!Q21</f>
        <v>2.7515704478873651E-2</v>
      </c>
      <c r="E28" s="169">
        <f t="shared" si="4"/>
        <v>536.42691352698546</v>
      </c>
      <c r="F28" s="169">
        <f t="shared" si="4"/>
        <v>5.9021186107183983</v>
      </c>
      <c r="G28" s="169">
        <f t="shared" si="4"/>
        <v>14.858480418591771</v>
      </c>
      <c r="H28" s="169">
        <f t="shared" si="4"/>
        <v>42.566794828817535</v>
      </c>
      <c r="I28" s="169">
        <f t="shared" si="5"/>
        <v>1.6509422687324191</v>
      </c>
      <c r="J28" s="169">
        <f t="shared" si="5"/>
        <v>8.2547113436620947</v>
      </c>
      <c r="K28" s="169">
        <f t="shared" si="5"/>
        <v>11.00628179154946</v>
      </c>
      <c r="L28" s="169">
        <f t="shared" si="5"/>
        <v>21.321919400679192</v>
      </c>
      <c r="M28" s="169">
        <f t="shared" si="5"/>
        <v>3.852198627042311</v>
      </c>
      <c r="N28" s="169">
        <f t="shared" si="3"/>
        <v>42.91415308215884</v>
      </c>
      <c r="O28" s="169">
        <f t="shared" si="5"/>
        <v>0</v>
      </c>
      <c r="P28" s="169">
        <f t="shared" si="5"/>
        <v>20.828012505283411</v>
      </c>
      <c r="Q28" s="169">
        <f t="shared" si="5"/>
        <v>6.1910335077465719</v>
      </c>
      <c r="R28" s="169">
        <f t="shared" si="5"/>
        <v>3.2317194910437106</v>
      </c>
      <c r="S28" s="169">
        <f t="shared" si="5"/>
        <v>7.8694914809578638</v>
      </c>
      <c r="T28" s="169">
        <f t="shared" si="5"/>
        <v>165.09422687324189</v>
      </c>
      <c r="U28" s="169">
        <f t="shared" si="5"/>
        <v>66.037690749296758</v>
      </c>
      <c r="V28" s="169">
        <f>V$11*'Est. Cust. Naci.'!L22</f>
        <v>421.23322500000006</v>
      </c>
    </row>
    <row r="29" spans="1:22">
      <c r="A29" s="2">
        <f>'LISTA DE COMPRAS'!A22</f>
        <v>18</v>
      </c>
      <c r="B29" s="2">
        <f>'LISTA DE COMPRAS'!J22</f>
        <v>3</v>
      </c>
      <c r="C29" s="11">
        <f>'LISTA DE COMPRAS'!Q22</f>
        <v>3.7452303566483505E-2</v>
      </c>
      <c r="E29" s="169">
        <f t="shared" si="4"/>
        <v>730.14389371966581</v>
      </c>
      <c r="F29" s="169">
        <f t="shared" si="4"/>
        <v>8.0335191150107121</v>
      </c>
      <c r="G29" s="169">
        <f t="shared" si="4"/>
        <v>20.224243925901092</v>
      </c>
      <c r="H29" s="169">
        <f t="shared" si="4"/>
        <v>57.938713617349983</v>
      </c>
      <c r="I29" s="169">
        <f t="shared" si="5"/>
        <v>2.2471382139890101</v>
      </c>
      <c r="J29" s="169">
        <f t="shared" si="5"/>
        <v>11.235691069945052</v>
      </c>
      <c r="K29" s="169">
        <f t="shared" si="5"/>
        <v>14.980921426593403</v>
      </c>
      <c r="L29" s="169">
        <f t="shared" si="5"/>
        <v>29.021790033668069</v>
      </c>
      <c r="M29" s="169">
        <f t="shared" si="5"/>
        <v>5.2433224993076903</v>
      </c>
      <c r="N29" s="169">
        <f t="shared" si="3"/>
        <v>58.411511497573265</v>
      </c>
      <c r="O29" s="169">
        <f t="shared" si="5"/>
        <v>0</v>
      </c>
      <c r="P29" s="169">
        <f t="shared" si="5"/>
        <v>28.349521184649692</v>
      </c>
      <c r="Q29" s="169">
        <f t="shared" si="5"/>
        <v>8.4267683024587878</v>
      </c>
      <c r="R29" s="169">
        <f t="shared" si="5"/>
        <v>4.3987730538834882</v>
      </c>
      <c r="S29" s="169">
        <f t="shared" si="5"/>
        <v>10.711358820014283</v>
      </c>
      <c r="T29" s="169">
        <f t="shared" si="5"/>
        <v>224.71382139890102</v>
      </c>
      <c r="U29" s="169">
        <f t="shared" si="5"/>
        <v>89.885528559560413</v>
      </c>
      <c r="V29" s="169">
        <f>V$11*'Est. Cust. Naci.'!L23</f>
        <v>344.01055500000001</v>
      </c>
    </row>
    <row r="30" spans="1:22">
      <c r="A30" s="2">
        <f>'LISTA DE COMPRAS'!A23</f>
        <v>19</v>
      </c>
      <c r="B30" s="2">
        <f>'LISTA DE COMPRAS'!J23</f>
        <v>1</v>
      </c>
      <c r="C30" s="11">
        <f>'LISTA DE COMPRAS'!Q23</f>
        <v>5.2739065164478002E-2</v>
      </c>
      <c r="E30" s="169">
        <f t="shared" si="4"/>
        <v>1028.163897101048</v>
      </c>
      <c r="F30" s="169">
        <f t="shared" si="4"/>
        <v>11.312529477780531</v>
      </c>
      <c r="G30" s="169">
        <f t="shared" si="4"/>
        <v>28.479095188818121</v>
      </c>
      <c r="H30" s="169">
        <f t="shared" si="4"/>
        <v>81.587333809447472</v>
      </c>
      <c r="I30" s="169">
        <f t="shared" si="5"/>
        <v>3.1643439098686801</v>
      </c>
      <c r="J30" s="169">
        <f t="shared" si="5"/>
        <v>15.821719549343401</v>
      </c>
      <c r="K30" s="169">
        <f t="shared" si="5"/>
        <v>21.095626065791201</v>
      </c>
      <c r="L30" s="169">
        <f t="shared" si="5"/>
        <v>40.867501595954003</v>
      </c>
      <c r="M30" s="169">
        <f t="shared" si="5"/>
        <v>7.38346912302692</v>
      </c>
      <c r="N30" s="169">
        <f t="shared" si="3"/>
        <v>82.253111768083841</v>
      </c>
      <c r="O30" s="169">
        <f t="shared" si="5"/>
        <v>0</v>
      </c>
      <c r="P30" s="169">
        <f t="shared" si="5"/>
        <v>39.920835376251624</v>
      </c>
      <c r="Q30" s="169">
        <f t="shared" si="5"/>
        <v>11.866289662007551</v>
      </c>
      <c r="R30" s="169">
        <f t="shared" si="5"/>
        <v>6.194203203567942</v>
      </c>
      <c r="S30" s="169">
        <f t="shared" si="5"/>
        <v>15.083372637040709</v>
      </c>
      <c r="T30" s="169">
        <f t="shared" si="5"/>
        <v>316.43439098686804</v>
      </c>
      <c r="U30" s="169">
        <f t="shared" si="5"/>
        <v>126.57375639474721</v>
      </c>
      <c r="V30" s="169">
        <f>V$11*'Est. Cust. Naci.'!L24</f>
        <v>161.47467</v>
      </c>
    </row>
    <row r="31" spans="1:22">
      <c r="A31" s="2">
        <f>'LISTA DE COMPRAS'!A24</f>
        <v>20</v>
      </c>
      <c r="B31" s="2">
        <f>'LISTA DE COMPRAS'!J24</f>
        <v>1</v>
      </c>
      <c r="C31" s="11">
        <f>'LISTA DE COMPRAS'!Q24</f>
        <v>7.5668916063021965E-2</v>
      </c>
      <c r="E31" s="169">
        <f t="shared" si="4"/>
        <v>1475.1882193234321</v>
      </c>
      <c r="F31" s="169">
        <f t="shared" si="4"/>
        <v>16.230982495518212</v>
      </c>
      <c r="G31" s="169">
        <f t="shared" si="4"/>
        <v>40.861214674031864</v>
      </c>
      <c r="H31" s="169">
        <f t="shared" si="4"/>
        <v>117.05981314949499</v>
      </c>
      <c r="I31" s="169">
        <f t="shared" si="5"/>
        <v>4.540134963781318</v>
      </c>
      <c r="J31" s="169">
        <f t="shared" si="5"/>
        <v>22.700674818906588</v>
      </c>
      <c r="K31" s="169">
        <f t="shared" si="5"/>
        <v>30.267566425208788</v>
      </c>
      <c r="L31" s="169">
        <f t="shared" si="5"/>
        <v>58.635843057235718</v>
      </c>
      <c r="M31" s="169">
        <f t="shared" si="5"/>
        <v>10.593648248823076</v>
      </c>
      <c r="N31" s="169">
        <f t="shared" si="3"/>
        <v>118.01505754587457</v>
      </c>
      <c r="O31" s="169">
        <f t="shared" si="5"/>
        <v>0</v>
      </c>
      <c r="P31" s="169">
        <f t="shared" si="5"/>
        <v>57.277586013904482</v>
      </c>
      <c r="Q31" s="169">
        <f t="shared" si="5"/>
        <v>17.025506114179944</v>
      </c>
      <c r="R31" s="169">
        <f t="shared" si="5"/>
        <v>8.8873141916019307</v>
      </c>
      <c r="S31" s="169">
        <f t="shared" si="5"/>
        <v>21.641309994024283</v>
      </c>
      <c r="T31" s="169">
        <f t="shared" si="5"/>
        <v>454.01349637813178</v>
      </c>
      <c r="U31" s="169">
        <f t="shared" si="5"/>
        <v>181.6053985512527</v>
      </c>
      <c r="V31" s="169">
        <f>V$11*'Est. Cust. Naci.'!L25</f>
        <v>231.68050500000004</v>
      </c>
    </row>
    <row r="32" spans="1:22">
      <c r="A32" s="2">
        <f>'LISTA DE COMPRAS'!A25</f>
        <v>21</v>
      </c>
      <c r="B32" s="2">
        <f>'LISTA DE COMPRAS'!J25</f>
        <v>3</v>
      </c>
      <c r="C32" s="11">
        <f>'LISTA DE COMPRAS'!Q25</f>
        <v>3.6687994636428557E-2</v>
      </c>
      <c r="E32" s="169">
        <f t="shared" si="4"/>
        <v>715.24346183556565</v>
      </c>
      <c r="F32" s="169">
        <f t="shared" si="4"/>
        <v>7.8695748495139259</v>
      </c>
      <c r="G32" s="169">
        <f t="shared" si="4"/>
        <v>19.81151710367142</v>
      </c>
      <c r="H32" s="169">
        <f t="shared" si="4"/>
        <v>56.756327702554977</v>
      </c>
      <c r="I32" s="169">
        <f t="shared" si="5"/>
        <v>2.2012796781857134</v>
      </c>
      <c r="J32" s="169">
        <f t="shared" si="5"/>
        <v>11.006398390928567</v>
      </c>
      <c r="K32" s="169">
        <f t="shared" si="5"/>
        <v>14.675197854571422</v>
      </c>
      <c r="L32" s="169">
        <f t="shared" si="5"/>
        <v>28.429527043768488</v>
      </c>
      <c r="M32" s="169">
        <f t="shared" si="5"/>
        <v>5.1363192490999978</v>
      </c>
      <c r="N32" s="169">
        <f t="shared" si="3"/>
        <v>57.219476946845255</v>
      </c>
      <c r="O32" s="169">
        <f t="shared" si="5"/>
        <v>0</v>
      </c>
      <c r="P32" s="169">
        <f t="shared" si="5"/>
        <v>27.770977540044598</v>
      </c>
      <c r="Q32" s="169">
        <f t="shared" si="5"/>
        <v>8.2547987931964251</v>
      </c>
      <c r="R32" s="169">
        <f t="shared" si="5"/>
        <v>4.3090049700485338</v>
      </c>
      <c r="S32" s="169">
        <f t="shared" si="5"/>
        <v>10.492766466018567</v>
      </c>
      <c r="T32" s="169">
        <f t="shared" si="5"/>
        <v>220.12796781857134</v>
      </c>
      <c r="U32" s="169">
        <f t="shared" si="5"/>
        <v>88.051187127428534</v>
      </c>
      <c r="V32" s="169">
        <f>V$11*'Est. Cust. Naci.'!L26</f>
        <v>336.99014999999997</v>
      </c>
    </row>
    <row r="33" spans="1:22">
      <c r="A33" s="2">
        <f>'LISTA DE COMPRAS'!A26</f>
        <v>22</v>
      </c>
      <c r="B33" s="2">
        <f>'LISTA DE COMPRAS'!J26</f>
        <v>3</v>
      </c>
      <c r="C33" s="11">
        <f>'LISTA DE COMPRAS'!Q26</f>
        <v>5.2739065164478002E-2</v>
      </c>
      <c r="E33" s="169">
        <f t="shared" si="4"/>
        <v>1028.163897101048</v>
      </c>
      <c r="F33" s="169">
        <f t="shared" si="4"/>
        <v>11.312529477780531</v>
      </c>
      <c r="G33" s="169">
        <f t="shared" si="4"/>
        <v>28.479095188818121</v>
      </c>
      <c r="H33" s="169">
        <f t="shared" si="4"/>
        <v>81.587333809447472</v>
      </c>
      <c r="I33" s="169">
        <f t="shared" si="5"/>
        <v>3.1643439098686801</v>
      </c>
      <c r="J33" s="169">
        <f t="shared" si="5"/>
        <v>15.821719549343401</v>
      </c>
      <c r="K33" s="169">
        <f t="shared" si="5"/>
        <v>21.095626065791201</v>
      </c>
      <c r="L33" s="169">
        <f t="shared" si="5"/>
        <v>40.867501595954003</v>
      </c>
      <c r="M33" s="169">
        <f t="shared" si="5"/>
        <v>7.38346912302692</v>
      </c>
      <c r="N33" s="169">
        <f t="shared" si="3"/>
        <v>82.253111768083841</v>
      </c>
      <c r="O33" s="169">
        <f t="shared" si="5"/>
        <v>0</v>
      </c>
      <c r="P33" s="169">
        <f t="shared" si="5"/>
        <v>39.920835376251624</v>
      </c>
      <c r="Q33" s="169">
        <f t="shared" si="5"/>
        <v>11.866289662007551</v>
      </c>
      <c r="R33" s="169">
        <f t="shared" si="5"/>
        <v>6.194203203567942</v>
      </c>
      <c r="S33" s="169">
        <f t="shared" si="5"/>
        <v>15.083372637040709</v>
      </c>
      <c r="T33" s="169">
        <f t="shared" si="5"/>
        <v>316.43439098686804</v>
      </c>
      <c r="U33" s="169">
        <f t="shared" si="5"/>
        <v>126.57375639474721</v>
      </c>
      <c r="V33" s="169">
        <f>V$11*'Est. Cust. Naci.'!L27</f>
        <v>484.42401000000001</v>
      </c>
    </row>
    <row r="34" spans="1:22">
      <c r="A34" s="2">
        <f>'LISTA DE COMPRAS'!A27</f>
        <v>23</v>
      </c>
      <c r="B34" s="2">
        <f>'LISTA DE COMPRAS'!J27</f>
        <v>5</v>
      </c>
      <c r="C34" s="11">
        <f>'LISTA DE COMPRAS'!Q27</f>
        <v>8.6283540540146628E-2</v>
      </c>
      <c r="E34" s="169">
        <f t="shared" si="4"/>
        <v>1682.1235078923205</v>
      </c>
      <c r="F34" s="169">
        <f t="shared" si="4"/>
        <v>18.50781944586145</v>
      </c>
      <c r="G34" s="169">
        <f t="shared" si="4"/>
        <v>46.593111891679179</v>
      </c>
      <c r="H34" s="169">
        <f t="shared" si="4"/>
        <v>133.48063721560683</v>
      </c>
      <c r="I34" s="169">
        <f t="shared" si="5"/>
        <v>5.177012432408798</v>
      </c>
      <c r="J34" s="169">
        <f t="shared" si="5"/>
        <v>25.885062162043987</v>
      </c>
      <c r="K34" s="169">
        <f t="shared" si="5"/>
        <v>34.513416216058651</v>
      </c>
      <c r="L34" s="169">
        <f t="shared" si="5"/>
        <v>66.861115564559626</v>
      </c>
      <c r="M34" s="169">
        <f t="shared" si="5"/>
        <v>12.079695675620528</v>
      </c>
      <c r="N34" s="169">
        <f t="shared" si="3"/>
        <v>134.56988063138564</v>
      </c>
      <c r="O34" s="169">
        <f t="shared" si="5"/>
        <v>0</v>
      </c>
      <c r="P34" s="169">
        <f t="shared" si="5"/>
        <v>65.312326011863988</v>
      </c>
      <c r="Q34" s="169">
        <f t="shared" si="5"/>
        <v>19.413796621532992</v>
      </c>
      <c r="R34" s="169">
        <f t="shared" si="5"/>
        <v>10.134001836440222</v>
      </c>
      <c r="S34" s="169">
        <f t="shared" si="5"/>
        <v>24.677092594481934</v>
      </c>
      <c r="T34" s="169">
        <f t="shared" si="5"/>
        <v>517.70124324087976</v>
      </c>
      <c r="U34" s="169">
        <f t="shared" si="5"/>
        <v>207.08049729635189</v>
      </c>
      <c r="V34" s="169">
        <f>V$11*'Est. Cust. Naci.'!L28</f>
        <v>1320.9</v>
      </c>
    </row>
    <row r="35" spans="1:22">
      <c r="A35" s="2">
        <f>'LISTA DE COMPRAS'!A28</f>
        <v>24</v>
      </c>
      <c r="B35" s="2">
        <f>'LISTA DE COMPRAS'!J28</f>
        <v>5</v>
      </c>
      <c r="C35" s="11">
        <f>'LISTA DE COMPRAS'!Q28</f>
        <v>9.2696506391103467E-2</v>
      </c>
      <c r="E35" s="169">
        <f t="shared" si="4"/>
        <v>1807.1462010464793</v>
      </c>
      <c r="F35" s="169">
        <f t="shared" si="4"/>
        <v>19.883400620891695</v>
      </c>
      <c r="G35" s="169">
        <f t="shared" si="4"/>
        <v>50.05611345119587</v>
      </c>
      <c r="H35" s="169">
        <f t="shared" si="4"/>
        <v>143.40149538703707</v>
      </c>
      <c r="I35" s="169">
        <f t="shared" si="5"/>
        <v>5.5617903834662084</v>
      </c>
      <c r="J35" s="169">
        <f t="shared" si="5"/>
        <v>27.80895191733104</v>
      </c>
      <c r="K35" s="169">
        <f t="shared" si="5"/>
        <v>37.078602556441389</v>
      </c>
      <c r="L35" s="169">
        <f t="shared" si="5"/>
        <v>71.830522802466078</v>
      </c>
      <c r="M35" s="169">
        <f t="shared" si="5"/>
        <v>12.977510894754486</v>
      </c>
      <c r="N35" s="169">
        <f t="shared" si="3"/>
        <v>144.57169608371834</v>
      </c>
      <c r="O35" s="169">
        <f t="shared" si="5"/>
        <v>0</v>
      </c>
      <c r="P35" s="169">
        <f t="shared" si="5"/>
        <v>70.16662051274578</v>
      </c>
      <c r="Q35" s="169">
        <f t="shared" si="5"/>
        <v>20.856713937998279</v>
      </c>
      <c r="R35" s="169">
        <f t="shared" si="5"/>
        <v>10.887204675635102</v>
      </c>
      <c r="S35" s="169">
        <f t="shared" si="5"/>
        <v>26.511200827855593</v>
      </c>
      <c r="T35" s="169">
        <f t="shared" si="5"/>
        <v>556.17903834662081</v>
      </c>
      <c r="U35" s="169">
        <f t="shared" si="5"/>
        <v>222.47161533864832</v>
      </c>
      <c r="V35" s="169">
        <f>V$11*'Est. Cust. Naci.'!L29</f>
        <v>1419.075</v>
      </c>
    </row>
    <row r="36" spans="1:22" hidden="1">
      <c r="A36" s="2">
        <f>'LISTA DE COMPRAS'!A29</f>
        <v>25</v>
      </c>
      <c r="B36" s="2">
        <f>'LISTA DE COMPRAS'!J29</f>
        <v>0</v>
      </c>
      <c r="C36" s="11">
        <f>'LISTA DE COMPRAS'!Q29</f>
        <v>0</v>
      </c>
      <c r="E36" s="169">
        <f t="shared" si="4"/>
        <v>0</v>
      </c>
      <c r="F36" s="169">
        <f t="shared" si="4"/>
        <v>0</v>
      </c>
      <c r="G36" s="169">
        <f t="shared" si="4"/>
        <v>0</v>
      </c>
      <c r="H36" s="169">
        <f t="shared" si="4"/>
        <v>0</v>
      </c>
      <c r="I36" s="169">
        <f t="shared" si="5"/>
        <v>0</v>
      </c>
      <c r="J36" s="169">
        <f t="shared" si="5"/>
        <v>0</v>
      </c>
      <c r="K36" s="169">
        <f t="shared" si="5"/>
        <v>0</v>
      </c>
      <c r="L36" s="169">
        <f t="shared" si="5"/>
        <v>0</v>
      </c>
      <c r="M36" s="169">
        <f t="shared" si="5"/>
        <v>0</v>
      </c>
      <c r="N36" s="169">
        <f t="shared" si="3"/>
        <v>0</v>
      </c>
      <c r="O36" s="169">
        <f t="shared" si="5"/>
        <v>0</v>
      </c>
      <c r="P36" s="169">
        <f t="shared" si="5"/>
        <v>0</v>
      </c>
      <c r="Q36" s="169">
        <f t="shared" si="5"/>
        <v>0</v>
      </c>
      <c r="R36" s="169">
        <f t="shared" si="5"/>
        <v>0</v>
      </c>
      <c r="S36" s="169">
        <f t="shared" si="5"/>
        <v>0</v>
      </c>
      <c r="T36" s="169">
        <f t="shared" si="5"/>
        <v>0</v>
      </c>
      <c r="U36" s="169">
        <f t="shared" si="5"/>
        <v>0</v>
      </c>
      <c r="V36" s="169"/>
    </row>
    <row r="37" spans="1:22" hidden="1">
      <c r="A37" s="2">
        <f>'LISTA DE COMPRAS'!A30</f>
        <v>26</v>
      </c>
      <c r="B37" s="2">
        <f>'LISTA DE COMPRAS'!J30</f>
        <v>0</v>
      </c>
      <c r="C37" s="11">
        <f>'LISTA DE COMPRAS'!Q30</f>
        <v>0</v>
      </c>
      <c r="E37" s="169">
        <f t="shared" si="4"/>
        <v>0</v>
      </c>
      <c r="F37" s="169">
        <f t="shared" si="4"/>
        <v>0</v>
      </c>
      <c r="G37" s="169">
        <f t="shared" si="4"/>
        <v>0</v>
      </c>
      <c r="H37" s="169">
        <f t="shared" si="4"/>
        <v>0</v>
      </c>
      <c r="I37" s="169">
        <f t="shared" si="5"/>
        <v>0</v>
      </c>
      <c r="J37" s="169">
        <f t="shared" si="5"/>
        <v>0</v>
      </c>
      <c r="K37" s="169">
        <f t="shared" si="5"/>
        <v>0</v>
      </c>
      <c r="L37" s="169">
        <f t="shared" si="5"/>
        <v>0</v>
      </c>
      <c r="M37" s="169">
        <f t="shared" si="5"/>
        <v>0</v>
      </c>
      <c r="N37" s="169">
        <f t="shared" si="3"/>
        <v>0</v>
      </c>
      <c r="O37" s="169">
        <f t="shared" si="5"/>
        <v>0</v>
      </c>
      <c r="P37" s="169">
        <f t="shared" si="5"/>
        <v>0</v>
      </c>
      <c r="Q37" s="169">
        <f t="shared" si="5"/>
        <v>0</v>
      </c>
      <c r="R37" s="169">
        <f t="shared" si="5"/>
        <v>0</v>
      </c>
      <c r="S37" s="169">
        <f t="shared" si="5"/>
        <v>0</v>
      </c>
      <c r="T37" s="169">
        <f t="shared" si="5"/>
        <v>0</v>
      </c>
      <c r="U37" s="169">
        <f t="shared" si="5"/>
        <v>0</v>
      </c>
      <c r="V37" s="169"/>
    </row>
    <row r="38" spans="1:22" hidden="1">
      <c r="A38" s="2">
        <f>'LISTA DE COMPRAS'!A31</f>
        <v>27</v>
      </c>
      <c r="B38" s="2">
        <f>'LISTA DE COMPRAS'!J31</f>
        <v>0</v>
      </c>
      <c r="C38" s="11">
        <f>'LISTA DE COMPRAS'!Q31</f>
        <v>0</v>
      </c>
      <c r="E38" s="169">
        <f t="shared" si="4"/>
        <v>0</v>
      </c>
      <c r="F38" s="169">
        <f t="shared" si="4"/>
        <v>0</v>
      </c>
      <c r="G38" s="169">
        <f t="shared" si="4"/>
        <v>0</v>
      </c>
      <c r="H38" s="169">
        <f t="shared" si="4"/>
        <v>0</v>
      </c>
      <c r="I38" s="169">
        <f t="shared" si="5"/>
        <v>0</v>
      </c>
      <c r="J38" s="169">
        <f t="shared" si="5"/>
        <v>0</v>
      </c>
      <c r="K38" s="169">
        <f t="shared" si="5"/>
        <v>0</v>
      </c>
      <c r="L38" s="169">
        <f t="shared" si="5"/>
        <v>0</v>
      </c>
      <c r="M38" s="169">
        <f t="shared" si="5"/>
        <v>0</v>
      </c>
      <c r="N38" s="169">
        <f t="shared" si="3"/>
        <v>0</v>
      </c>
      <c r="O38" s="169">
        <f t="shared" si="5"/>
        <v>0</v>
      </c>
      <c r="P38" s="169">
        <f t="shared" si="5"/>
        <v>0</v>
      </c>
      <c r="Q38" s="169">
        <f t="shared" si="5"/>
        <v>0</v>
      </c>
      <c r="R38" s="169">
        <f t="shared" si="5"/>
        <v>0</v>
      </c>
      <c r="S38" s="169">
        <f t="shared" si="5"/>
        <v>0</v>
      </c>
      <c r="T38" s="169">
        <f t="shared" si="5"/>
        <v>0</v>
      </c>
      <c r="U38" s="169">
        <f t="shared" si="5"/>
        <v>0</v>
      </c>
      <c r="V38" s="169"/>
    </row>
    <row r="39" spans="1:22" hidden="1">
      <c r="A39" s="2">
        <f>'LISTA DE COMPRAS'!A32</f>
        <v>28</v>
      </c>
      <c r="B39" s="2">
        <f>'LISTA DE COMPRAS'!J32</f>
        <v>0</v>
      </c>
      <c r="C39" s="11">
        <f>'LISTA DE COMPRAS'!Q32</f>
        <v>0</v>
      </c>
      <c r="E39" s="169">
        <f t="shared" si="4"/>
        <v>0</v>
      </c>
      <c r="F39" s="169">
        <f t="shared" si="4"/>
        <v>0</v>
      </c>
      <c r="G39" s="169">
        <f t="shared" si="4"/>
        <v>0</v>
      </c>
      <c r="H39" s="169">
        <f t="shared" si="4"/>
        <v>0</v>
      </c>
      <c r="I39" s="169">
        <f t="shared" si="5"/>
        <v>0</v>
      </c>
      <c r="J39" s="169">
        <f t="shared" si="5"/>
        <v>0</v>
      </c>
      <c r="K39" s="169">
        <f t="shared" si="5"/>
        <v>0</v>
      </c>
      <c r="L39" s="169">
        <f t="shared" si="5"/>
        <v>0</v>
      </c>
      <c r="M39" s="169">
        <f t="shared" si="5"/>
        <v>0</v>
      </c>
      <c r="N39" s="169">
        <f t="shared" si="3"/>
        <v>0</v>
      </c>
      <c r="O39" s="169">
        <f t="shared" si="5"/>
        <v>0</v>
      </c>
      <c r="P39" s="169">
        <f t="shared" si="5"/>
        <v>0</v>
      </c>
      <c r="Q39" s="169">
        <f t="shared" si="5"/>
        <v>0</v>
      </c>
      <c r="R39" s="169">
        <f t="shared" si="5"/>
        <v>0</v>
      </c>
      <c r="S39" s="169">
        <f t="shared" si="5"/>
        <v>0</v>
      </c>
      <c r="T39" s="169">
        <f t="shared" si="5"/>
        <v>0</v>
      </c>
      <c r="U39" s="169">
        <f t="shared" si="5"/>
        <v>0</v>
      </c>
      <c r="V39" s="169"/>
    </row>
    <row r="40" spans="1:22" hidden="1">
      <c r="A40" s="2">
        <f>'LISTA DE COMPRAS'!A33</f>
        <v>29</v>
      </c>
      <c r="B40" s="2">
        <f>'LISTA DE COMPRAS'!J33</f>
        <v>0</v>
      </c>
      <c r="C40" s="11">
        <f>'LISTA DE COMPRAS'!Q33</f>
        <v>0</v>
      </c>
      <c r="E40" s="169">
        <f t="shared" si="4"/>
        <v>0</v>
      </c>
      <c r="F40" s="169">
        <f t="shared" si="4"/>
        <v>0</v>
      </c>
      <c r="G40" s="169">
        <f t="shared" si="4"/>
        <v>0</v>
      </c>
      <c r="H40" s="169">
        <f t="shared" si="4"/>
        <v>0</v>
      </c>
      <c r="I40" s="169">
        <f t="shared" si="5"/>
        <v>0</v>
      </c>
      <c r="J40" s="169">
        <f t="shared" si="5"/>
        <v>0</v>
      </c>
      <c r="K40" s="169">
        <f t="shared" si="5"/>
        <v>0</v>
      </c>
      <c r="L40" s="169">
        <f t="shared" si="5"/>
        <v>0</v>
      </c>
      <c r="M40" s="169">
        <f t="shared" si="5"/>
        <v>0</v>
      </c>
      <c r="N40" s="169">
        <f t="shared" si="3"/>
        <v>0</v>
      </c>
      <c r="O40" s="169">
        <f t="shared" si="5"/>
        <v>0</v>
      </c>
      <c r="P40" s="169">
        <f t="shared" si="5"/>
        <v>0</v>
      </c>
      <c r="Q40" s="169">
        <f t="shared" si="5"/>
        <v>0</v>
      </c>
      <c r="R40" s="169">
        <f t="shared" si="5"/>
        <v>0</v>
      </c>
      <c r="S40" s="169">
        <f t="shared" si="5"/>
        <v>0</v>
      </c>
      <c r="T40" s="169">
        <f t="shared" si="5"/>
        <v>0</v>
      </c>
      <c r="U40" s="169">
        <f t="shared" si="5"/>
        <v>0</v>
      </c>
      <c r="V40" s="169"/>
    </row>
    <row r="41" spans="1:22" hidden="1">
      <c r="A41" s="2">
        <f>'LISTA DE COMPRAS'!A34</f>
        <v>30</v>
      </c>
      <c r="B41" s="2">
        <f>'LISTA DE COMPRAS'!J34</f>
        <v>0</v>
      </c>
      <c r="C41" s="11">
        <f>'LISTA DE COMPRAS'!Q34</f>
        <v>0</v>
      </c>
      <c r="E41" s="169">
        <f t="shared" si="4"/>
        <v>0</v>
      </c>
      <c r="F41" s="169">
        <f t="shared" si="4"/>
        <v>0</v>
      </c>
      <c r="G41" s="169">
        <f t="shared" si="4"/>
        <v>0</v>
      </c>
      <c r="H41" s="169">
        <f t="shared" si="4"/>
        <v>0</v>
      </c>
      <c r="I41" s="169">
        <f t="shared" si="5"/>
        <v>0</v>
      </c>
      <c r="J41" s="169">
        <f t="shared" si="5"/>
        <v>0</v>
      </c>
      <c r="K41" s="169">
        <f t="shared" si="5"/>
        <v>0</v>
      </c>
      <c r="L41" s="169">
        <f t="shared" si="5"/>
        <v>0</v>
      </c>
      <c r="M41" s="169">
        <f t="shared" si="5"/>
        <v>0</v>
      </c>
      <c r="N41" s="169">
        <f t="shared" si="3"/>
        <v>0</v>
      </c>
      <c r="O41" s="169">
        <f t="shared" si="5"/>
        <v>0</v>
      </c>
      <c r="P41" s="169">
        <f t="shared" si="5"/>
        <v>0</v>
      </c>
      <c r="Q41" s="169">
        <f t="shared" si="5"/>
        <v>0</v>
      </c>
      <c r="R41" s="169">
        <f t="shared" si="5"/>
        <v>0</v>
      </c>
      <c r="S41" s="169">
        <f t="shared" si="5"/>
        <v>0</v>
      </c>
      <c r="T41" s="169">
        <f t="shared" si="5"/>
        <v>0</v>
      </c>
      <c r="U41" s="169">
        <f t="shared" si="5"/>
        <v>0</v>
      </c>
      <c r="V41" s="169"/>
    </row>
    <row r="42" spans="1:22" hidden="1">
      <c r="A42" s="2">
        <f>'LISTA DE COMPRAS'!A35</f>
        <v>31</v>
      </c>
      <c r="B42" s="2">
        <f>'LISTA DE COMPRAS'!J35</f>
        <v>0</v>
      </c>
      <c r="C42" s="11">
        <f>'LISTA DE COMPRAS'!Q35</f>
        <v>0</v>
      </c>
      <c r="E42" s="169">
        <f t="shared" si="4"/>
        <v>0</v>
      </c>
      <c r="F42" s="169">
        <f t="shared" si="4"/>
        <v>0</v>
      </c>
      <c r="G42" s="169">
        <f t="shared" si="4"/>
        <v>0</v>
      </c>
      <c r="H42" s="169">
        <f t="shared" si="4"/>
        <v>0</v>
      </c>
      <c r="I42" s="169">
        <f t="shared" si="5"/>
        <v>0</v>
      </c>
      <c r="J42" s="169">
        <f t="shared" si="5"/>
        <v>0</v>
      </c>
      <c r="K42" s="169">
        <f t="shared" si="5"/>
        <v>0</v>
      </c>
      <c r="L42" s="169">
        <f t="shared" si="5"/>
        <v>0</v>
      </c>
      <c r="M42" s="169">
        <f t="shared" si="5"/>
        <v>0</v>
      </c>
      <c r="N42" s="169">
        <f t="shared" si="3"/>
        <v>0</v>
      </c>
      <c r="O42" s="169">
        <f t="shared" si="5"/>
        <v>0</v>
      </c>
      <c r="P42" s="169">
        <f t="shared" si="5"/>
        <v>0</v>
      </c>
      <c r="Q42" s="169">
        <f t="shared" si="5"/>
        <v>0</v>
      </c>
      <c r="R42" s="169">
        <f t="shared" si="5"/>
        <v>0</v>
      </c>
      <c r="S42" s="169">
        <f t="shared" si="5"/>
        <v>0</v>
      </c>
      <c r="T42" s="169">
        <f t="shared" si="5"/>
        <v>0</v>
      </c>
      <c r="U42" s="169">
        <f t="shared" si="5"/>
        <v>0</v>
      </c>
      <c r="V42" s="169"/>
    </row>
    <row r="43" spans="1:22" hidden="1">
      <c r="A43" s="2">
        <f>'LISTA DE COMPRAS'!A36</f>
        <v>32</v>
      </c>
      <c r="B43" s="2">
        <f>'LISTA DE COMPRAS'!J36</f>
        <v>0</v>
      </c>
      <c r="C43" s="11">
        <f>'LISTA DE COMPRAS'!Q36</f>
        <v>0</v>
      </c>
      <c r="E43" s="169">
        <f t="shared" si="4"/>
        <v>0</v>
      </c>
      <c r="F43" s="169">
        <f t="shared" si="4"/>
        <v>0</v>
      </c>
      <c r="G43" s="169">
        <f t="shared" si="4"/>
        <v>0</v>
      </c>
      <c r="H43" s="169">
        <f t="shared" si="4"/>
        <v>0</v>
      </c>
      <c r="I43" s="169">
        <f t="shared" si="5"/>
        <v>0</v>
      </c>
      <c r="J43" s="169">
        <f t="shared" si="5"/>
        <v>0</v>
      </c>
      <c r="K43" s="169">
        <f t="shared" si="5"/>
        <v>0</v>
      </c>
      <c r="L43" s="169">
        <f t="shared" si="5"/>
        <v>0</v>
      </c>
      <c r="M43" s="169">
        <f t="shared" si="5"/>
        <v>0</v>
      </c>
      <c r="N43" s="169">
        <f t="shared" si="3"/>
        <v>0</v>
      </c>
      <c r="O43" s="169">
        <f t="shared" si="5"/>
        <v>0</v>
      </c>
      <c r="P43" s="169">
        <f t="shared" si="5"/>
        <v>0</v>
      </c>
      <c r="Q43" s="169">
        <f t="shared" si="5"/>
        <v>0</v>
      </c>
      <c r="R43" s="169">
        <f t="shared" si="5"/>
        <v>0</v>
      </c>
      <c r="S43" s="169">
        <f t="shared" si="5"/>
        <v>0</v>
      </c>
      <c r="T43" s="169">
        <f t="shared" si="5"/>
        <v>0</v>
      </c>
      <c r="U43" s="169">
        <f t="shared" si="5"/>
        <v>0</v>
      </c>
      <c r="V43" s="169"/>
    </row>
    <row r="44" spans="1:22" hidden="1">
      <c r="A44" s="2">
        <f>'LISTA DE COMPRAS'!A37</f>
        <v>33</v>
      </c>
      <c r="B44" s="2">
        <f>'LISTA DE COMPRAS'!J37</f>
        <v>0</v>
      </c>
      <c r="C44" s="11">
        <f>'LISTA DE COMPRAS'!Q37</f>
        <v>0</v>
      </c>
      <c r="E44" s="169">
        <f t="shared" si="4"/>
        <v>0</v>
      </c>
      <c r="F44" s="169">
        <f t="shared" si="4"/>
        <v>0</v>
      </c>
      <c r="G44" s="169">
        <f t="shared" si="4"/>
        <v>0</v>
      </c>
      <c r="H44" s="169">
        <f t="shared" si="4"/>
        <v>0</v>
      </c>
      <c r="I44" s="169">
        <f t="shared" si="5"/>
        <v>0</v>
      </c>
      <c r="J44" s="169">
        <f t="shared" si="5"/>
        <v>0</v>
      </c>
      <c r="K44" s="169">
        <f t="shared" si="5"/>
        <v>0</v>
      </c>
      <c r="L44" s="169">
        <f t="shared" si="5"/>
        <v>0</v>
      </c>
      <c r="M44" s="169">
        <f t="shared" si="5"/>
        <v>0</v>
      </c>
      <c r="N44" s="169">
        <f t="shared" si="3"/>
        <v>0</v>
      </c>
      <c r="O44" s="169">
        <f t="shared" si="5"/>
        <v>0</v>
      </c>
      <c r="P44" s="169">
        <f t="shared" si="5"/>
        <v>0</v>
      </c>
      <c r="Q44" s="169">
        <f t="shared" si="5"/>
        <v>0</v>
      </c>
      <c r="R44" s="169">
        <f t="shared" si="5"/>
        <v>0</v>
      </c>
      <c r="S44" s="169">
        <f t="shared" si="5"/>
        <v>0</v>
      </c>
      <c r="T44" s="169">
        <f t="shared" si="5"/>
        <v>0</v>
      </c>
      <c r="U44" s="169">
        <f t="shared" si="5"/>
        <v>0</v>
      </c>
      <c r="V44" s="169"/>
    </row>
    <row r="45" spans="1:22" hidden="1">
      <c r="A45" s="2">
        <f>'LISTA DE COMPRAS'!A38</f>
        <v>34</v>
      </c>
      <c r="B45" s="2">
        <f>'LISTA DE COMPRAS'!J38</f>
        <v>0</v>
      </c>
      <c r="C45" s="11">
        <f>'LISTA DE COMPRAS'!Q38</f>
        <v>0</v>
      </c>
      <c r="E45" s="169">
        <f t="shared" si="4"/>
        <v>0</v>
      </c>
      <c r="F45" s="169">
        <f t="shared" si="4"/>
        <v>0</v>
      </c>
      <c r="G45" s="169">
        <f t="shared" si="4"/>
        <v>0</v>
      </c>
      <c r="H45" s="169">
        <f t="shared" si="4"/>
        <v>0</v>
      </c>
      <c r="I45" s="169">
        <f t="shared" si="5"/>
        <v>0</v>
      </c>
      <c r="J45" s="169">
        <f t="shared" si="5"/>
        <v>0</v>
      </c>
      <c r="K45" s="169">
        <f t="shared" si="5"/>
        <v>0</v>
      </c>
      <c r="L45" s="169">
        <f t="shared" si="5"/>
        <v>0</v>
      </c>
      <c r="M45" s="169">
        <f t="shared" si="5"/>
        <v>0</v>
      </c>
      <c r="N45" s="169">
        <f t="shared" si="3"/>
        <v>0</v>
      </c>
      <c r="O45" s="169">
        <f t="shared" si="5"/>
        <v>0</v>
      </c>
      <c r="P45" s="169">
        <f t="shared" si="5"/>
        <v>0</v>
      </c>
      <c r="Q45" s="169">
        <f t="shared" si="5"/>
        <v>0</v>
      </c>
      <c r="R45" s="169">
        <f t="shared" si="5"/>
        <v>0</v>
      </c>
      <c r="S45" s="169">
        <f t="shared" si="5"/>
        <v>0</v>
      </c>
      <c r="T45" s="169">
        <f t="shared" si="5"/>
        <v>0</v>
      </c>
      <c r="U45" s="169">
        <f t="shared" si="5"/>
        <v>0</v>
      </c>
      <c r="V45" s="169"/>
    </row>
    <row r="46" spans="1:22" hidden="1">
      <c r="A46" s="2">
        <f>'LISTA DE COMPRAS'!A39</f>
        <v>35</v>
      </c>
      <c r="B46" s="2">
        <f>'LISTA DE COMPRAS'!J39</f>
        <v>0</v>
      </c>
      <c r="C46" s="11">
        <f>'LISTA DE COMPRAS'!Q39</f>
        <v>0</v>
      </c>
      <c r="E46" s="169">
        <f t="shared" si="4"/>
        <v>0</v>
      </c>
      <c r="F46" s="169">
        <f t="shared" si="4"/>
        <v>0</v>
      </c>
      <c r="G46" s="169">
        <f t="shared" si="4"/>
        <v>0</v>
      </c>
      <c r="H46" s="169">
        <f t="shared" si="4"/>
        <v>0</v>
      </c>
      <c r="I46" s="169">
        <f t="shared" si="5"/>
        <v>0</v>
      </c>
      <c r="J46" s="169">
        <f t="shared" si="5"/>
        <v>0</v>
      </c>
      <c r="K46" s="169">
        <f t="shared" si="5"/>
        <v>0</v>
      </c>
      <c r="L46" s="169">
        <f t="shared" si="5"/>
        <v>0</v>
      </c>
      <c r="M46" s="169">
        <f t="shared" si="5"/>
        <v>0</v>
      </c>
      <c r="N46" s="169">
        <f t="shared" si="3"/>
        <v>0</v>
      </c>
      <c r="O46" s="169">
        <f t="shared" si="5"/>
        <v>0</v>
      </c>
      <c r="P46" s="169">
        <f t="shared" si="5"/>
        <v>0</v>
      </c>
      <c r="Q46" s="169">
        <f t="shared" si="5"/>
        <v>0</v>
      </c>
      <c r="R46" s="169">
        <f t="shared" si="5"/>
        <v>0</v>
      </c>
      <c r="S46" s="169">
        <f t="shared" si="5"/>
        <v>0</v>
      </c>
      <c r="T46" s="169">
        <f t="shared" si="5"/>
        <v>0</v>
      </c>
      <c r="U46" s="169">
        <f t="shared" si="5"/>
        <v>0</v>
      </c>
      <c r="V46" s="169"/>
    </row>
    <row r="47" spans="1:22" hidden="1">
      <c r="A47" s="2">
        <f>'LISTA DE COMPRAS'!A40</f>
        <v>36</v>
      </c>
      <c r="B47" s="2">
        <f>'LISTA DE COMPRAS'!J40</f>
        <v>0</v>
      </c>
      <c r="C47" s="11">
        <f>'LISTA DE COMPRAS'!Q40</f>
        <v>0</v>
      </c>
      <c r="E47" s="169">
        <f t="shared" si="4"/>
        <v>0</v>
      </c>
      <c r="F47" s="169">
        <f t="shared" si="4"/>
        <v>0</v>
      </c>
      <c r="G47" s="169">
        <f t="shared" si="4"/>
        <v>0</v>
      </c>
      <c r="H47" s="169">
        <f t="shared" si="4"/>
        <v>0</v>
      </c>
      <c r="I47" s="169">
        <f t="shared" si="5"/>
        <v>0</v>
      </c>
      <c r="J47" s="169">
        <f t="shared" si="5"/>
        <v>0</v>
      </c>
      <c r="K47" s="169">
        <f t="shared" si="5"/>
        <v>0</v>
      </c>
      <c r="L47" s="169">
        <f t="shared" si="5"/>
        <v>0</v>
      </c>
      <c r="M47" s="169">
        <f t="shared" si="5"/>
        <v>0</v>
      </c>
      <c r="N47" s="169">
        <f t="shared" si="3"/>
        <v>0</v>
      </c>
      <c r="O47" s="169">
        <f t="shared" si="5"/>
        <v>0</v>
      </c>
      <c r="P47" s="169">
        <f t="shared" si="5"/>
        <v>0</v>
      </c>
      <c r="Q47" s="169">
        <f t="shared" si="5"/>
        <v>0</v>
      </c>
      <c r="R47" s="169">
        <f t="shared" si="5"/>
        <v>0</v>
      </c>
      <c r="S47" s="169">
        <f t="shared" si="5"/>
        <v>0</v>
      </c>
      <c r="T47" s="169">
        <f t="shared" si="5"/>
        <v>0</v>
      </c>
      <c r="U47" s="169">
        <f t="shared" si="5"/>
        <v>0</v>
      </c>
      <c r="V47" s="169"/>
    </row>
    <row r="48" spans="1:22" hidden="1">
      <c r="A48" s="2">
        <f>'LISTA DE COMPRAS'!A41</f>
        <v>37</v>
      </c>
      <c r="B48" s="2">
        <f>'LISTA DE COMPRAS'!J41</f>
        <v>0</v>
      </c>
      <c r="C48" s="11">
        <f>'LISTA DE COMPRAS'!Q41</f>
        <v>0</v>
      </c>
      <c r="E48" s="169">
        <f t="shared" si="4"/>
        <v>0</v>
      </c>
      <c r="F48" s="169">
        <f t="shared" si="4"/>
        <v>0</v>
      </c>
      <c r="G48" s="169">
        <f t="shared" si="4"/>
        <v>0</v>
      </c>
      <c r="H48" s="169">
        <f t="shared" si="4"/>
        <v>0</v>
      </c>
      <c r="I48" s="169">
        <f t="shared" si="5"/>
        <v>0</v>
      </c>
      <c r="J48" s="169">
        <f t="shared" si="5"/>
        <v>0</v>
      </c>
      <c r="K48" s="169">
        <f t="shared" si="5"/>
        <v>0</v>
      </c>
      <c r="L48" s="169">
        <f t="shared" si="5"/>
        <v>0</v>
      </c>
      <c r="M48" s="169">
        <f t="shared" si="5"/>
        <v>0</v>
      </c>
      <c r="N48" s="169">
        <f t="shared" si="3"/>
        <v>0</v>
      </c>
      <c r="O48" s="169">
        <f t="shared" si="5"/>
        <v>0</v>
      </c>
      <c r="P48" s="169">
        <f t="shared" si="5"/>
        <v>0</v>
      </c>
      <c r="Q48" s="169">
        <f t="shared" si="5"/>
        <v>0</v>
      </c>
      <c r="R48" s="169">
        <f t="shared" si="5"/>
        <v>0</v>
      </c>
      <c r="S48" s="169">
        <f t="shared" si="5"/>
        <v>0</v>
      </c>
      <c r="T48" s="169">
        <f t="shared" si="5"/>
        <v>0</v>
      </c>
      <c r="U48" s="169">
        <f t="shared" si="5"/>
        <v>0</v>
      </c>
      <c r="V48" s="169"/>
    </row>
    <row r="49" spans="1:22" hidden="1">
      <c r="A49" s="2">
        <f>'LISTA DE COMPRAS'!A42</f>
        <v>38</v>
      </c>
      <c r="B49" s="2">
        <f>'LISTA DE COMPRAS'!J42</f>
        <v>0</v>
      </c>
      <c r="C49" s="11">
        <f>'LISTA DE COMPRAS'!Q42</f>
        <v>0</v>
      </c>
      <c r="E49" s="169">
        <f t="shared" si="4"/>
        <v>0</v>
      </c>
      <c r="F49" s="169">
        <f t="shared" si="4"/>
        <v>0</v>
      </c>
      <c r="G49" s="169">
        <f t="shared" si="4"/>
        <v>0</v>
      </c>
      <c r="H49" s="169">
        <f t="shared" si="4"/>
        <v>0</v>
      </c>
      <c r="I49" s="169">
        <f t="shared" si="5"/>
        <v>0</v>
      </c>
      <c r="J49" s="169">
        <f t="shared" si="5"/>
        <v>0</v>
      </c>
      <c r="K49" s="169">
        <f t="shared" ref="I49:U64" si="6">K$11*$C49</f>
        <v>0</v>
      </c>
      <c r="L49" s="169">
        <f t="shared" si="6"/>
        <v>0</v>
      </c>
      <c r="M49" s="169">
        <f t="shared" si="6"/>
        <v>0</v>
      </c>
      <c r="N49" s="169">
        <f t="shared" si="3"/>
        <v>0</v>
      </c>
      <c r="O49" s="169">
        <f t="shared" si="6"/>
        <v>0</v>
      </c>
      <c r="P49" s="169">
        <f t="shared" si="6"/>
        <v>0</v>
      </c>
      <c r="Q49" s="169">
        <f t="shared" si="6"/>
        <v>0</v>
      </c>
      <c r="R49" s="169">
        <f t="shared" si="6"/>
        <v>0</v>
      </c>
      <c r="S49" s="169">
        <f t="shared" si="6"/>
        <v>0</v>
      </c>
      <c r="T49" s="169">
        <f t="shared" si="6"/>
        <v>0</v>
      </c>
      <c r="U49" s="169">
        <f t="shared" si="6"/>
        <v>0</v>
      </c>
      <c r="V49" s="169"/>
    </row>
    <row r="50" spans="1:22" hidden="1">
      <c r="A50" s="2">
        <f>'LISTA DE COMPRAS'!A43</f>
        <v>39</v>
      </c>
      <c r="B50" s="2">
        <f>'LISTA DE COMPRAS'!J43</f>
        <v>0</v>
      </c>
      <c r="C50" s="11">
        <f>'LISTA DE COMPRAS'!Q43</f>
        <v>0</v>
      </c>
      <c r="E50" s="169">
        <f t="shared" si="4"/>
        <v>0</v>
      </c>
      <c r="F50" s="169">
        <f t="shared" si="4"/>
        <v>0</v>
      </c>
      <c r="G50" s="169">
        <f t="shared" si="4"/>
        <v>0</v>
      </c>
      <c r="H50" s="169">
        <f t="shared" si="4"/>
        <v>0</v>
      </c>
      <c r="I50" s="169">
        <f t="shared" si="6"/>
        <v>0</v>
      </c>
      <c r="J50" s="169">
        <f t="shared" si="6"/>
        <v>0</v>
      </c>
      <c r="K50" s="169">
        <f t="shared" si="6"/>
        <v>0</v>
      </c>
      <c r="L50" s="169">
        <f t="shared" si="6"/>
        <v>0</v>
      </c>
      <c r="M50" s="169">
        <f t="shared" si="6"/>
        <v>0</v>
      </c>
      <c r="N50" s="169">
        <f t="shared" si="3"/>
        <v>0</v>
      </c>
      <c r="O50" s="169">
        <f t="shared" si="6"/>
        <v>0</v>
      </c>
      <c r="P50" s="169">
        <f t="shared" si="6"/>
        <v>0</v>
      </c>
      <c r="Q50" s="169">
        <f t="shared" si="6"/>
        <v>0</v>
      </c>
      <c r="R50" s="169">
        <f t="shared" si="6"/>
        <v>0</v>
      </c>
      <c r="S50" s="169">
        <f t="shared" si="6"/>
        <v>0</v>
      </c>
      <c r="T50" s="169">
        <f t="shared" si="6"/>
        <v>0</v>
      </c>
      <c r="U50" s="169">
        <f t="shared" si="6"/>
        <v>0</v>
      </c>
      <c r="V50" s="169"/>
    </row>
    <row r="51" spans="1:22" hidden="1">
      <c r="A51" s="2">
        <f>'LISTA DE COMPRAS'!A44</f>
        <v>40</v>
      </c>
      <c r="B51" s="2">
        <f>'LISTA DE COMPRAS'!J44</f>
        <v>0</v>
      </c>
      <c r="C51" s="11">
        <f>'LISTA DE COMPRAS'!Q44</f>
        <v>0</v>
      </c>
      <c r="E51" s="169">
        <f t="shared" si="4"/>
        <v>0</v>
      </c>
      <c r="F51" s="169">
        <f t="shared" si="4"/>
        <v>0</v>
      </c>
      <c r="G51" s="169">
        <f t="shared" si="4"/>
        <v>0</v>
      </c>
      <c r="H51" s="169">
        <f t="shared" si="4"/>
        <v>0</v>
      </c>
      <c r="I51" s="169">
        <f t="shared" si="6"/>
        <v>0</v>
      </c>
      <c r="J51" s="169">
        <f t="shared" si="6"/>
        <v>0</v>
      </c>
      <c r="K51" s="169">
        <f t="shared" si="6"/>
        <v>0</v>
      </c>
      <c r="L51" s="169">
        <f t="shared" si="6"/>
        <v>0</v>
      </c>
      <c r="M51" s="169">
        <f t="shared" si="6"/>
        <v>0</v>
      </c>
      <c r="N51" s="169">
        <f t="shared" si="3"/>
        <v>0</v>
      </c>
      <c r="O51" s="169">
        <f t="shared" si="6"/>
        <v>0</v>
      </c>
      <c r="P51" s="169">
        <f t="shared" si="6"/>
        <v>0</v>
      </c>
      <c r="Q51" s="169">
        <f t="shared" si="6"/>
        <v>0</v>
      </c>
      <c r="R51" s="169">
        <f t="shared" si="6"/>
        <v>0</v>
      </c>
      <c r="S51" s="169">
        <f t="shared" si="6"/>
        <v>0</v>
      </c>
      <c r="T51" s="169">
        <f t="shared" si="6"/>
        <v>0</v>
      </c>
      <c r="U51" s="169">
        <f t="shared" si="6"/>
        <v>0</v>
      </c>
      <c r="V51" s="169"/>
    </row>
    <row r="52" spans="1:22" hidden="1">
      <c r="A52" s="2">
        <f>'LISTA DE COMPRAS'!A45</f>
        <v>41</v>
      </c>
      <c r="B52" s="2">
        <f>'LISTA DE COMPRAS'!J45</f>
        <v>0</v>
      </c>
      <c r="C52" s="11">
        <f>'LISTA DE COMPRAS'!Q45</f>
        <v>0</v>
      </c>
      <c r="E52" s="169">
        <f t="shared" si="4"/>
        <v>0</v>
      </c>
      <c r="F52" s="169">
        <f t="shared" si="4"/>
        <v>0</v>
      </c>
      <c r="G52" s="169">
        <f t="shared" si="4"/>
        <v>0</v>
      </c>
      <c r="H52" s="169">
        <f t="shared" si="4"/>
        <v>0</v>
      </c>
      <c r="I52" s="169">
        <f t="shared" si="6"/>
        <v>0</v>
      </c>
      <c r="J52" s="169">
        <f t="shared" si="6"/>
        <v>0</v>
      </c>
      <c r="K52" s="169">
        <f t="shared" si="6"/>
        <v>0</v>
      </c>
      <c r="L52" s="169">
        <f t="shared" si="6"/>
        <v>0</v>
      </c>
      <c r="M52" s="169">
        <f t="shared" si="6"/>
        <v>0</v>
      </c>
      <c r="N52" s="169">
        <f t="shared" si="3"/>
        <v>0</v>
      </c>
      <c r="O52" s="169">
        <f t="shared" si="6"/>
        <v>0</v>
      </c>
      <c r="P52" s="169">
        <f t="shared" si="6"/>
        <v>0</v>
      </c>
      <c r="Q52" s="169">
        <f t="shared" si="6"/>
        <v>0</v>
      </c>
      <c r="R52" s="169">
        <f t="shared" si="6"/>
        <v>0</v>
      </c>
      <c r="S52" s="169">
        <f t="shared" si="6"/>
        <v>0</v>
      </c>
      <c r="T52" s="169">
        <f t="shared" si="6"/>
        <v>0</v>
      </c>
      <c r="U52" s="169">
        <f t="shared" si="6"/>
        <v>0</v>
      </c>
      <c r="V52" s="169"/>
    </row>
    <row r="53" spans="1:22" hidden="1">
      <c r="A53" s="2">
        <f>'LISTA DE COMPRAS'!A46</f>
        <v>42</v>
      </c>
      <c r="B53" s="2">
        <f>'LISTA DE COMPRAS'!J46</f>
        <v>0</v>
      </c>
      <c r="C53" s="11">
        <f>'LISTA DE COMPRAS'!Q46</f>
        <v>0</v>
      </c>
      <c r="E53" s="169">
        <f t="shared" si="4"/>
        <v>0</v>
      </c>
      <c r="F53" s="169">
        <f t="shared" si="4"/>
        <v>0</v>
      </c>
      <c r="G53" s="169">
        <f t="shared" si="4"/>
        <v>0</v>
      </c>
      <c r="H53" s="169">
        <f t="shared" si="4"/>
        <v>0</v>
      </c>
      <c r="I53" s="169">
        <f t="shared" si="6"/>
        <v>0</v>
      </c>
      <c r="J53" s="169">
        <f t="shared" si="6"/>
        <v>0</v>
      </c>
      <c r="K53" s="169">
        <f t="shared" si="6"/>
        <v>0</v>
      </c>
      <c r="L53" s="169">
        <f t="shared" si="6"/>
        <v>0</v>
      </c>
      <c r="M53" s="169">
        <f t="shared" si="6"/>
        <v>0</v>
      </c>
      <c r="N53" s="169">
        <f t="shared" si="3"/>
        <v>0</v>
      </c>
      <c r="O53" s="169">
        <f t="shared" si="6"/>
        <v>0</v>
      </c>
      <c r="P53" s="169">
        <f t="shared" si="6"/>
        <v>0</v>
      </c>
      <c r="Q53" s="169">
        <f t="shared" si="6"/>
        <v>0</v>
      </c>
      <c r="R53" s="169">
        <f t="shared" si="6"/>
        <v>0</v>
      </c>
      <c r="S53" s="169">
        <f t="shared" si="6"/>
        <v>0</v>
      </c>
      <c r="T53" s="169">
        <f t="shared" si="6"/>
        <v>0</v>
      </c>
      <c r="U53" s="169">
        <f t="shared" si="6"/>
        <v>0</v>
      </c>
      <c r="V53" s="169"/>
    </row>
    <row r="54" spans="1:22" hidden="1">
      <c r="A54" s="2">
        <f>'LISTA DE COMPRAS'!A47</f>
        <v>43</v>
      </c>
      <c r="B54" s="2">
        <f>'LISTA DE COMPRAS'!J47</f>
        <v>0</v>
      </c>
      <c r="C54" s="11">
        <f>'LISTA DE COMPRAS'!Q47</f>
        <v>0</v>
      </c>
      <c r="E54" s="169">
        <f t="shared" si="4"/>
        <v>0</v>
      </c>
      <c r="F54" s="169">
        <f t="shared" si="4"/>
        <v>0</v>
      </c>
      <c r="G54" s="169">
        <f t="shared" si="4"/>
        <v>0</v>
      </c>
      <c r="H54" s="169">
        <f t="shared" si="4"/>
        <v>0</v>
      </c>
      <c r="I54" s="169">
        <f t="shared" si="6"/>
        <v>0</v>
      </c>
      <c r="J54" s="169">
        <f t="shared" si="6"/>
        <v>0</v>
      </c>
      <c r="K54" s="169">
        <f t="shared" si="6"/>
        <v>0</v>
      </c>
      <c r="L54" s="169">
        <f t="shared" si="6"/>
        <v>0</v>
      </c>
      <c r="M54" s="169">
        <f t="shared" si="6"/>
        <v>0</v>
      </c>
      <c r="N54" s="169">
        <f t="shared" si="3"/>
        <v>0</v>
      </c>
      <c r="O54" s="169">
        <f t="shared" si="6"/>
        <v>0</v>
      </c>
      <c r="P54" s="169">
        <f t="shared" si="6"/>
        <v>0</v>
      </c>
      <c r="Q54" s="169">
        <f t="shared" si="6"/>
        <v>0</v>
      </c>
      <c r="R54" s="169">
        <f t="shared" si="6"/>
        <v>0</v>
      </c>
      <c r="S54" s="169">
        <f t="shared" si="6"/>
        <v>0</v>
      </c>
      <c r="T54" s="169">
        <f t="shared" si="6"/>
        <v>0</v>
      </c>
      <c r="U54" s="169">
        <f t="shared" si="6"/>
        <v>0</v>
      </c>
      <c r="V54" s="169"/>
    </row>
    <row r="55" spans="1:22" hidden="1">
      <c r="A55" s="2">
        <f>'LISTA DE COMPRAS'!A48</f>
        <v>44</v>
      </c>
      <c r="B55" s="2">
        <f>'LISTA DE COMPRAS'!J48</f>
        <v>0</v>
      </c>
      <c r="C55" s="11">
        <f>'LISTA DE COMPRAS'!Q48</f>
        <v>0</v>
      </c>
      <c r="E55" s="169">
        <f t="shared" si="4"/>
        <v>0</v>
      </c>
      <c r="F55" s="169">
        <f t="shared" si="4"/>
        <v>0</v>
      </c>
      <c r="G55" s="169">
        <f t="shared" si="4"/>
        <v>0</v>
      </c>
      <c r="H55" s="169">
        <f t="shared" si="4"/>
        <v>0</v>
      </c>
      <c r="I55" s="169">
        <f t="shared" si="6"/>
        <v>0</v>
      </c>
      <c r="J55" s="169">
        <f t="shared" si="6"/>
        <v>0</v>
      </c>
      <c r="K55" s="169">
        <f t="shared" si="6"/>
        <v>0</v>
      </c>
      <c r="L55" s="169">
        <f t="shared" si="6"/>
        <v>0</v>
      </c>
      <c r="M55" s="169">
        <f t="shared" si="6"/>
        <v>0</v>
      </c>
      <c r="N55" s="169">
        <f t="shared" si="3"/>
        <v>0</v>
      </c>
      <c r="O55" s="169">
        <f t="shared" si="6"/>
        <v>0</v>
      </c>
      <c r="P55" s="169">
        <f t="shared" si="6"/>
        <v>0</v>
      </c>
      <c r="Q55" s="169">
        <f t="shared" si="6"/>
        <v>0</v>
      </c>
      <c r="R55" s="169">
        <f t="shared" si="6"/>
        <v>0</v>
      </c>
      <c r="S55" s="169">
        <f t="shared" si="6"/>
        <v>0</v>
      </c>
      <c r="T55" s="169">
        <f t="shared" si="6"/>
        <v>0</v>
      </c>
      <c r="U55" s="169">
        <f t="shared" si="6"/>
        <v>0</v>
      </c>
      <c r="V55" s="169"/>
    </row>
    <row r="56" spans="1:22" hidden="1">
      <c r="A56" s="2">
        <f>'LISTA DE COMPRAS'!A49</f>
        <v>45</v>
      </c>
      <c r="B56" s="2">
        <f>'LISTA DE COMPRAS'!J49</f>
        <v>0</v>
      </c>
      <c r="C56" s="11">
        <f>'LISTA DE COMPRAS'!Q49</f>
        <v>0</v>
      </c>
      <c r="E56" s="169">
        <f t="shared" si="4"/>
        <v>0</v>
      </c>
      <c r="F56" s="169">
        <f t="shared" si="4"/>
        <v>0</v>
      </c>
      <c r="G56" s="169">
        <f t="shared" si="4"/>
        <v>0</v>
      </c>
      <c r="H56" s="169">
        <f t="shared" si="4"/>
        <v>0</v>
      </c>
      <c r="I56" s="169">
        <f t="shared" si="6"/>
        <v>0</v>
      </c>
      <c r="J56" s="169">
        <f t="shared" si="6"/>
        <v>0</v>
      </c>
      <c r="K56" s="169">
        <f t="shared" si="6"/>
        <v>0</v>
      </c>
      <c r="L56" s="169">
        <f t="shared" si="6"/>
        <v>0</v>
      </c>
      <c r="M56" s="169">
        <f t="shared" si="6"/>
        <v>0</v>
      </c>
      <c r="N56" s="169">
        <f t="shared" si="3"/>
        <v>0</v>
      </c>
      <c r="O56" s="169">
        <f t="shared" si="6"/>
        <v>0</v>
      </c>
      <c r="P56" s="169">
        <f t="shared" si="6"/>
        <v>0</v>
      </c>
      <c r="Q56" s="169">
        <f t="shared" si="6"/>
        <v>0</v>
      </c>
      <c r="R56" s="169">
        <f t="shared" si="6"/>
        <v>0</v>
      </c>
      <c r="S56" s="169">
        <f t="shared" si="6"/>
        <v>0</v>
      </c>
      <c r="T56" s="169">
        <f t="shared" si="6"/>
        <v>0</v>
      </c>
      <c r="U56" s="169">
        <f t="shared" si="6"/>
        <v>0</v>
      </c>
      <c r="V56" s="169"/>
    </row>
    <row r="57" spans="1:22" hidden="1">
      <c r="A57" s="2">
        <f>'LISTA DE COMPRAS'!A50</f>
        <v>46</v>
      </c>
      <c r="B57" s="2">
        <f>'LISTA DE COMPRAS'!J50</f>
        <v>0</v>
      </c>
      <c r="C57" s="11">
        <f>'LISTA DE COMPRAS'!Q50</f>
        <v>0</v>
      </c>
      <c r="E57" s="169">
        <f t="shared" si="4"/>
        <v>0</v>
      </c>
      <c r="F57" s="169">
        <f t="shared" si="4"/>
        <v>0</v>
      </c>
      <c r="G57" s="169">
        <f t="shared" si="4"/>
        <v>0</v>
      </c>
      <c r="H57" s="169">
        <f t="shared" si="4"/>
        <v>0</v>
      </c>
      <c r="I57" s="169">
        <f t="shared" si="6"/>
        <v>0</v>
      </c>
      <c r="J57" s="169">
        <f t="shared" si="6"/>
        <v>0</v>
      </c>
      <c r="K57" s="169">
        <f t="shared" si="6"/>
        <v>0</v>
      </c>
      <c r="L57" s="169">
        <f t="shared" si="6"/>
        <v>0</v>
      </c>
      <c r="M57" s="169">
        <f t="shared" si="6"/>
        <v>0</v>
      </c>
      <c r="N57" s="169">
        <f t="shared" si="3"/>
        <v>0</v>
      </c>
      <c r="O57" s="169">
        <f t="shared" si="6"/>
        <v>0</v>
      </c>
      <c r="P57" s="169">
        <f t="shared" si="6"/>
        <v>0</v>
      </c>
      <c r="Q57" s="169">
        <f t="shared" si="6"/>
        <v>0</v>
      </c>
      <c r="R57" s="169">
        <f t="shared" si="6"/>
        <v>0</v>
      </c>
      <c r="S57" s="169">
        <f t="shared" si="6"/>
        <v>0</v>
      </c>
      <c r="T57" s="169">
        <f t="shared" si="6"/>
        <v>0</v>
      </c>
      <c r="U57" s="169">
        <f t="shared" si="6"/>
        <v>0</v>
      </c>
      <c r="V57" s="169"/>
    </row>
    <row r="58" spans="1:22" hidden="1">
      <c r="A58" s="2">
        <f>'LISTA DE COMPRAS'!A51</f>
        <v>47</v>
      </c>
      <c r="B58" s="2">
        <f>'LISTA DE COMPRAS'!J51</f>
        <v>0</v>
      </c>
      <c r="C58" s="11">
        <f>'LISTA DE COMPRAS'!Q51</f>
        <v>0</v>
      </c>
      <c r="E58" s="169">
        <f t="shared" si="4"/>
        <v>0</v>
      </c>
      <c r="F58" s="169">
        <f t="shared" si="4"/>
        <v>0</v>
      </c>
      <c r="G58" s="169">
        <f t="shared" si="4"/>
        <v>0</v>
      </c>
      <c r="H58" s="169">
        <f t="shared" si="4"/>
        <v>0</v>
      </c>
      <c r="I58" s="169">
        <f t="shared" si="6"/>
        <v>0</v>
      </c>
      <c r="J58" s="169">
        <f t="shared" si="6"/>
        <v>0</v>
      </c>
      <c r="K58" s="169">
        <f t="shared" si="6"/>
        <v>0</v>
      </c>
      <c r="L58" s="169">
        <f t="shared" si="6"/>
        <v>0</v>
      </c>
      <c r="M58" s="169">
        <f t="shared" si="6"/>
        <v>0</v>
      </c>
      <c r="N58" s="169">
        <f t="shared" si="3"/>
        <v>0</v>
      </c>
      <c r="O58" s="169">
        <f t="shared" si="6"/>
        <v>0</v>
      </c>
      <c r="P58" s="169">
        <f t="shared" si="6"/>
        <v>0</v>
      </c>
      <c r="Q58" s="169">
        <f t="shared" si="6"/>
        <v>0</v>
      </c>
      <c r="R58" s="169">
        <f t="shared" si="6"/>
        <v>0</v>
      </c>
      <c r="S58" s="169">
        <f t="shared" si="6"/>
        <v>0</v>
      </c>
      <c r="T58" s="169">
        <f t="shared" si="6"/>
        <v>0</v>
      </c>
      <c r="U58" s="169">
        <f t="shared" si="6"/>
        <v>0</v>
      </c>
      <c r="V58" s="169"/>
    </row>
    <row r="59" spans="1:22" hidden="1">
      <c r="A59" s="2">
        <f>'LISTA DE COMPRAS'!A52</f>
        <v>48</v>
      </c>
      <c r="B59" s="2">
        <f>'LISTA DE COMPRAS'!J52</f>
        <v>0</v>
      </c>
      <c r="C59" s="11">
        <f>'LISTA DE COMPRAS'!Q52</f>
        <v>0</v>
      </c>
      <c r="E59" s="169">
        <f t="shared" si="4"/>
        <v>0</v>
      </c>
      <c r="F59" s="169">
        <f t="shared" si="4"/>
        <v>0</v>
      </c>
      <c r="G59" s="169">
        <f t="shared" si="4"/>
        <v>0</v>
      </c>
      <c r="H59" s="169">
        <f t="shared" si="4"/>
        <v>0</v>
      </c>
      <c r="I59" s="169">
        <f t="shared" si="6"/>
        <v>0</v>
      </c>
      <c r="J59" s="169">
        <f t="shared" si="6"/>
        <v>0</v>
      </c>
      <c r="K59" s="169">
        <f t="shared" si="6"/>
        <v>0</v>
      </c>
      <c r="L59" s="169">
        <f t="shared" si="6"/>
        <v>0</v>
      </c>
      <c r="M59" s="169">
        <f t="shared" si="6"/>
        <v>0</v>
      </c>
      <c r="N59" s="169">
        <f t="shared" si="3"/>
        <v>0</v>
      </c>
      <c r="O59" s="169">
        <f t="shared" si="6"/>
        <v>0</v>
      </c>
      <c r="P59" s="169">
        <f t="shared" si="6"/>
        <v>0</v>
      </c>
      <c r="Q59" s="169">
        <f t="shared" si="6"/>
        <v>0</v>
      </c>
      <c r="R59" s="169">
        <f t="shared" si="6"/>
        <v>0</v>
      </c>
      <c r="S59" s="169">
        <f t="shared" si="6"/>
        <v>0</v>
      </c>
      <c r="T59" s="169">
        <f t="shared" si="6"/>
        <v>0</v>
      </c>
      <c r="U59" s="169">
        <f t="shared" si="6"/>
        <v>0</v>
      </c>
      <c r="V59" s="169"/>
    </row>
    <row r="60" spans="1:22" hidden="1">
      <c r="A60" s="2">
        <f>'LISTA DE COMPRAS'!A53</f>
        <v>49</v>
      </c>
      <c r="B60" s="2">
        <f>'LISTA DE COMPRAS'!J53</f>
        <v>0</v>
      </c>
      <c r="C60" s="11">
        <f>'LISTA DE COMPRAS'!Q53</f>
        <v>0</v>
      </c>
      <c r="E60" s="169">
        <f t="shared" si="4"/>
        <v>0</v>
      </c>
      <c r="F60" s="169">
        <f t="shared" si="4"/>
        <v>0</v>
      </c>
      <c r="G60" s="169">
        <f t="shared" si="4"/>
        <v>0</v>
      </c>
      <c r="H60" s="169">
        <f t="shared" si="4"/>
        <v>0</v>
      </c>
      <c r="I60" s="169">
        <f t="shared" si="6"/>
        <v>0</v>
      </c>
      <c r="J60" s="169">
        <f t="shared" si="6"/>
        <v>0</v>
      </c>
      <c r="K60" s="169">
        <f t="shared" si="6"/>
        <v>0</v>
      </c>
      <c r="L60" s="169">
        <f t="shared" si="6"/>
        <v>0</v>
      </c>
      <c r="M60" s="169">
        <f t="shared" si="6"/>
        <v>0</v>
      </c>
      <c r="N60" s="169">
        <f t="shared" si="3"/>
        <v>0</v>
      </c>
      <c r="O60" s="169">
        <f t="shared" si="6"/>
        <v>0</v>
      </c>
      <c r="P60" s="169">
        <f t="shared" si="6"/>
        <v>0</v>
      </c>
      <c r="Q60" s="169">
        <f t="shared" si="6"/>
        <v>0</v>
      </c>
      <c r="R60" s="169">
        <f t="shared" si="6"/>
        <v>0</v>
      </c>
      <c r="S60" s="169">
        <f t="shared" si="6"/>
        <v>0</v>
      </c>
      <c r="T60" s="169">
        <f t="shared" si="6"/>
        <v>0</v>
      </c>
      <c r="U60" s="169">
        <f t="shared" si="6"/>
        <v>0</v>
      </c>
      <c r="V60" s="169"/>
    </row>
    <row r="61" spans="1:22" hidden="1">
      <c r="A61" s="2">
        <f>'LISTA DE COMPRAS'!A54</f>
        <v>50</v>
      </c>
      <c r="B61" s="2">
        <f>'LISTA DE COMPRAS'!J54</f>
        <v>0</v>
      </c>
      <c r="C61" s="11">
        <f>'LISTA DE COMPRAS'!Q54</f>
        <v>0</v>
      </c>
      <c r="E61" s="169">
        <f t="shared" si="4"/>
        <v>0</v>
      </c>
      <c r="F61" s="169">
        <f t="shared" si="4"/>
        <v>0</v>
      </c>
      <c r="G61" s="169">
        <f t="shared" si="4"/>
        <v>0</v>
      </c>
      <c r="H61" s="169">
        <f t="shared" si="4"/>
        <v>0</v>
      </c>
      <c r="I61" s="169">
        <f t="shared" si="6"/>
        <v>0</v>
      </c>
      <c r="J61" s="169">
        <f t="shared" si="6"/>
        <v>0</v>
      </c>
      <c r="K61" s="169">
        <f t="shared" si="6"/>
        <v>0</v>
      </c>
      <c r="L61" s="169">
        <f t="shared" si="6"/>
        <v>0</v>
      </c>
      <c r="M61" s="169">
        <f t="shared" si="6"/>
        <v>0</v>
      </c>
      <c r="N61" s="169">
        <f t="shared" si="3"/>
        <v>0</v>
      </c>
      <c r="O61" s="169">
        <f t="shared" si="6"/>
        <v>0</v>
      </c>
      <c r="P61" s="169">
        <f t="shared" si="6"/>
        <v>0</v>
      </c>
      <c r="Q61" s="169">
        <f t="shared" si="6"/>
        <v>0</v>
      </c>
      <c r="R61" s="169">
        <f t="shared" si="6"/>
        <v>0</v>
      </c>
      <c r="S61" s="169">
        <f t="shared" si="6"/>
        <v>0</v>
      </c>
      <c r="T61" s="169">
        <f t="shared" si="6"/>
        <v>0</v>
      </c>
      <c r="U61" s="169">
        <f t="shared" si="6"/>
        <v>0</v>
      </c>
      <c r="V61" s="169"/>
    </row>
    <row r="62" spans="1:22" hidden="1">
      <c r="A62" s="2">
        <f>'LISTA DE COMPRAS'!A55</f>
        <v>51</v>
      </c>
      <c r="B62" s="2">
        <f>'LISTA DE COMPRAS'!J55</f>
        <v>0</v>
      </c>
      <c r="C62" s="11">
        <f>'LISTA DE COMPRAS'!Q55</f>
        <v>0</v>
      </c>
      <c r="E62" s="169">
        <f t="shared" ref="E62:H65" si="7">E$11*$C62</f>
        <v>0</v>
      </c>
      <c r="F62" s="169">
        <f t="shared" si="7"/>
        <v>0</v>
      </c>
      <c r="G62" s="169">
        <f t="shared" si="7"/>
        <v>0</v>
      </c>
      <c r="H62" s="169">
        <f t="shared" si="7"/>
        <v>0</v>
      </c>
      <c r="I62" s="169">
        <f t="shared" si="6"/>
        <v>0</v>
      </c>
      <c r="J62" s="169">
        <f t="shared" si="6"/>
        <v>0</v>
      </c>
      <c r="K62" s="169">
        <f t="shared" si="6"/>
        <v>0</v>
      </c>
      <c r="L62" s="169">
        <f t="shared" si="6"/>
        <v>0</v>
      </c>
      <c r="M62" s="169">
        <f t="shared" si="6"/>
        <v>0</v>
      </c>
      <c r="N62" s="169">
        <f t="shared" si="3"/>
        <v>0</v>
      </c>
      <c r="O62" s="169">
        <f t="shared" si="6"/>
        <v>0</v>
      </c>
      <c r="P62" s="169">
        <f t="shared" si="6"/>
        <v>0</v>
      </c>
      <c r="Q62" s="169">
        <f t="shared" si="6"/>
        <v>0</v>
      </c>
      <c r="R62" s="169">
        <f t="shared" si="6"/>
        <v>0</v>
      </c>
      <c r="S62" s="169">
        <f t="shared" si="6"/>
        <v>0</v>
      </c>
      <c r="T62" s="169">
        <f t="shared" si="6"/>
        <v>0</v>
      </c>
      <c r="U62" s="169">
        <f t="shared" si="6"/>
        <v>0</v>
      </c>
      <c r="V62" s="169"/>
    </row>
    <row r="63" spans="1:22" hidden="1">
      <c r="A63" s="2">
        <f>'LISTA DE COMPRAS'!A56</f>
        <v>52</v>
      </c>
      <c r="B63" s="2">
        <f>'LISTA DE COMPRAS'!J56</f>
        <v>0</v>
      </c>
      <c r="C63" s="11">
        <f>'LISTA DE COMPRAS'!Q56</f>
        <v>0</v>
      </c>
      <c r="E63" s="169">
        <f t="shared" si="7"/>
        <v>0</v>
      </c>
      <c r="F63" s="169">
        <f t="shared" si="7"/>
        <v>0</v>
      </c>
      <c r="G63" s="169">
        <f t="shared" si="7"/>
        <v>0</v>
      </c>
      <c r="H63" s="169">
        <f t="shared" si="7"/>
        <v>0</v>
      </c>
      <c r="I63" s="169">
        <f t="shared" si="6"/>
        <v>0</v>
      </c>
      <c r="J63" s="169">
        <f t="shared" si="6"/>
        <v>0</v>
      </c>
      <c r="K63" s="169">
        <f t="shared" si="6"/>
        <v>0</v>
      </c>
      <c r="L63" s="169">
        <f t="shared" si="6"/>
        <v>0</v>
      </c>
      <c r="M63" s="169">
        <f t="shared" si="6"/>
        <v>0</v>
      </c>
      <c r="N63" s="169">
        <f t="shared" ref="N63:N65" si="8">$N$11*E63</f>
        <v>0</v>
      </c>
      <c r="O63" s="169">
        <f t="shared" si="6"/>
        <v>0</v>
      </c>
      <c r="P63" s="169">
        <f t="shared" si="6"/>
        <v>0</v>
      </c>
      <c r="Q63" s="169">
        <f t="shared" si="6"/>
        <v>0</v>
      </c>
      <c r="R63" s="169">
        <f t="shared" si="6"/>
        <v>0</v>
      </c>
      <c r="S63" s="169">
        <f t="shared" si="6"/>
        <v>0</v>
      </c>
      <c r="T63" s="169">
        <f t="shared" si="6"/>
        <v>0</v>
      </c>
      <c r="U63" s="169">
        <f t="shared" si="6"/>
        <v>0</v>
      </c>
      <c r="V63" s="169"/>
    </row>
    <row r="64" spans="1:22" hidden="1">
      <c r="A64" s="2">
        <f>'LISTA DE COMPRAS'!A57</f>
        <v>53</v>
      </c>
      <c r="B64" s="2">
        <f>'LISTA DE COMPRAS'!J57</f>
        <v>0</v>
      </c>
      <c r="C64" s="11">
        <f>'LISTA DE COMPRAS'!Q57</f>
        <v>0</v>
      </c>
      <c r="E64" s="169">
        <f t="shared" si="7"/>
        <v>0</v>
      </c>
      <c r="F64" s="169">
        <f t="shared" si="7"/>
        <v>0</v>
      </c>
      <c r="G64" s="169">
        <f t="shared" si="7"/>
        <v>0</v>
      </c>
      <c r="H64" s="169">
        <f t="shared" si="7"/>
        <v>0</v>
      </c>
      <c r="I64" s="169">
        <f t="shared" si="6"/>
        <v>0</v>
      </c>
      <c r="J64" s="169">
        <f t="shared" si="6"/>
        <v>0</v>
      </c>
      <c r="K64" s="169">
        <f t="shared" si="6"/>
        <v>0</v>
      </c>
      <c r="L64" s="169">
        <f t="shared" si="6"/>
        <v>0</v>
      </c>
      <c r="M64" s="169">
        <f t="shared" si="6"/>
        <v>0</v>
      </c>
      <c r="N64" s="169">
        <f t="shared" si="8"/>
        <v>0</v>
      </c>
      <c r="O64" s="169">
        <f t="shared" si="6"/>
        <v>0</v>
      </c>
      <c r="P64" s="169">
        <f t="shared" si="6"/>
        <v>0</v>
      </c>
      <c r="Q64" s="169">
        <f t="shared" si="6"/>
        <v>0</v>
      </c>
      <c r="R64" s="169">
        <f t="shared" si="6"/>
        <v>0</v>
      </c>
      <c r="S64" s="169">
        <f t="shared" si="6"/>
        <v>0</v>
      </c>
      <c r="T64" s="169">
        <f t="shared" si="6"/>
        <v>0</v>
      </c>
      <c r="U64" s="169">
        <f t="shared" si="6"/>
        <v>0</v>
      </c>
      <c r="V64" s="169"/>
    </row>
    <row r="65" spans="1:22" hidden="1">
      <c r="A65" s="2">
        <f>'LISTA DE COMPRAS'!A58</f>
        <v>0</v>
      </c>
      <c r="B65" s="2">
        <f>'LISTA DE COMPRAS'!J58</f>
        <v>0</v>
      </c>
      <c r="C65" s="11">
        <f>'LISTA DE COMPRAS'!P58</f>
        <v>0</v>
      </c>
      <c r="E65" s="169">
        <f t="shared" si="7"/>
        <v>0</v>
      </c>
      <c r="F65" s="169">
        <f t="shared" si="7"/>
        <v>0</v>
      </c>
      <c r="G65" s="169">
        <f t="shared" si="7"/>
        <v>0</v>
      </c>
      <c r="H65" s="169">
        <f t="shared" si="7"/>
        <v>0</v>
      </c>
      <c r="I65" s="169">
        <f t="shared" ref="I65:U65" si="9">I$11*$C65</f>
        <v>0</v>
      </c>
      <c r="J65" s="169">
        <f t="shared" si="9"/>
        <v>0</v>
      </c>
      <c r="K65" s="169">
        <f t="shared" si="9"/>
        <v>0</v>
      </c>
      <c r="L65" s="169">
        <f t="shared" si="9"/>
        <v>0</v>
      </c>
      <c r="M65" s="169">
        <f t="shared" si="9"/>
        <v>0</v>
      </c>
      <c r="N65" s="169">
        <f t="shared" si="8"/>
        <v>0</v>
      </c>
      <c r="O65" s="169">
        <f t="shared" si="9"/>
        <v>0</v>
      </c>
      <c r="P65" s="169">
        <f t="shared" si="9"/>
        <v>0</v>
      </c>
      <c r="Q65" s="169">
        <f t="shared" si="9"/>
        <v>0</v>
      </c>
      <c r="R65" s="169">
        <f t="shared" si="9"/>
        <v>0</v>
      </c>
      <c r="S65" s="169">
        <f t="shared" si="9"/>
        <v>0</v>
      </c>
      <c r="T65" s="169">
        <f t="shared" si="9"/>
        <v>0</v>
      </c>
      <c r="U65" s="169">
        <f t="shared" si="9"/>
        <v>0</v>
      </c>
      <c r="V65" s="169"/>
    </row>
    <row r="66" spans="1:22">
      <c r="N66" s="169">
        <f>SUM(N12:N65)</f>
        <v>1559.6239999999998</v>
      </c>
      <c r="V66" s="169">
        <f>SUM(V12:V35)</f>
        <v>25768.179674999999</v>
      </c>
    </row>
  </sheetData>
  <autoFilter ref="A10:W14" xr:uid="{5321A8FE-AE3F-4721-8745-DDAAECFC927C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04c3ac-e1bd-4a3b-8663-545e021c8171">
      <Terms xmlns="http://schemas.microsoft.com/office/infopath/2007/PartnerControls"/>
    </lcf76f155ced4ddcb4097134ff3c332f>
    <TaxCatchAll xmlns="b81ac5c0-75f1-4ae4-b6c0-4c413cfcaf0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0AEF83AE2E4C43860508BD3F45EFF1" ma:contentTypeVersion="14" ma:contentTypeDescription="Crie um novo documento." ma:contentTypeScope="" ma:versionID="03454f2e46f87a230baa63abe6ae244e">
  <xsd:schema xmlns:xsd="http://www.w3.org/2001/XMLSchema" xmlns:xs="http://www.w3.org/2001/XMLSchema" xmlns:p="http://schemas.microsoft.com/office/2006/metadata/properties" xmlns:ns2="c804c3ac-e1bd-4a3b-8663-545e021c8171" xmlns:ns3="b81ac5c0-75f1-4ae4-b6c0-4c413cfcaf0e" targetNamespace="http://schemas.microsoft.com/office/2006/metadata/properties" ma:root="true" ma:fieldsID="9cd5188ad430b261e2569c720ef633a1" ns2:_="" ns3:_="">
    <xsd:import namespace="c804c3ac-e1bd-4a3b-8663-545e021c8171"/>
    <xsd:import namespace="b81ac5c0-75f1-4ae4-b6c0-4c413cfcaf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04c3ac-e1bd-4a3b-8663-545e021c81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8fa8fb37-cb7c-4fcf-9922-39972c96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ac5c0-75f1-4ae4-b6c0-4c413cfcaf0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58f7ec9a-7396-45cd-ac8f-cf5113e83906}" ma:internalName="TaxCatchAll" ma:showField="CatchAllData" ma:web="b81ac5c0-75f1-4ae4-b6c0-4c413cfcaf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41F5FF-EE68-4068-BD7D-DCE5A4344D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CC087-B854-4AB5-A8C7-841F2D11F111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c804c3ac-e1bd-4a3b-8663-545e021c8171"/>
    <ds:schemaRef ds:uri="http://schemas.openxmlformats.org/package/2006/metadata/core-properties"/>
    <ds:schemaRef ds:uri="b81ac5c0-75f1-4ae4-b6c0-4c413cfcaf0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B39A7F-7243-4ECC-8080-2D6AF66302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04c3ac-e1bd-4a3b-8663-545e021c8171"/>
    <ds:schemaRef ds:uri="b81ac5c0-75f1-4ae4-b6c0-4c413cfcaf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Resumo 100%</vt:lpstr>
      <vt:lpstr>LISTA DE COMPRAS</vt:lpstr>
      <vt:lpstr>Est. Cust. Naci.</vt:lpstr>
      <vt:lpstr>Rateio Custos Fixos</vt:lpstr>
      <vt:lpstr>'Resumo 100%'!Area_de_impressao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Nassif</dc:creator>
  <cp:keywords/>
  <dc:description/>
  <cp:lastModifiedBy>Gabriel Thomé de Albuquerque</cp:lastModifiedBy>
  <cp:revision/>
  <cp:lastPrinted>2026-05-06T16:25:16Z</cp:lastPrinted>
  <dcterms:created xsi:type="dcterms:W3CDTF">2023-06-07T20:41:43Z</dcterms:created>
  <dcterms:modified xsi:type="dcterms:W3CDTF">2026-05-06T19:54:59Z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0x010100640AEF83AE2E4C43860508BD3F45EFF1</vt:lpwstr>
  </property>
  <property fmtid="{D5CDD505-2E9C-101B-9397-08002B2CF9AE}" pid="3" name="MediaServiceImageTags">
    <vt:lpwstr/>
  </property>
</Properties>
</file>