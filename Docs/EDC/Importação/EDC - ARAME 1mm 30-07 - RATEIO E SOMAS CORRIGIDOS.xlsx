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 100%" sheetId="1" state="visible" r:id="rId3"/>
    <sheet name="LISTA DE COMPRAS" sheetId="2" state="visible" r:id="rId4"/>
    <sheet name="Est. Cust. Naci." sheetId="3" state="visible" r:id="rId5"/>
    <sheet name="Rateio Custos Fixos" sheetId="4" state="visible" r:id="rId6"/>
  </sheets>
  <definedNames>
    <definedName function="false" hidden="true" localSheetId="2" name="_xlnm._FilterDatabase" vbProcedure="false">'Est. Cust. Naci.'!$A$4:$BA$6</definedName>
    <definedName function="false" hidden="true" localSheetId="3" name="_xlnm._FilterDatabase" vbProcedure="false">'Rateio Custos Fixos'!$A$10:$V$12</definedName>
    <definedName function="false" hidden="false" localSheetId="0" name="_xlnm.Print_Area" vbProcedure="false">'Resumo 100%'!$B$1:$G$56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tc={0C9ECCC5-3310-412D-8782-C1D3124F4B3E}</author>
  </authors>
  <commentList>
    <comment ref="E8" author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137</xdr:colOff>
                <xdr:row>2</xdr:row>
                <xdr:rowOff>30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<sst xmlns="http://schemas.openxmlformats.org/spreadsheetml/2006/main" count="171" uniqueCount="134">
  <si>
    <t xml:space="preserve">Estimativa de Custo 100%</t>
  </si>
  <si>
    <t xml:space="preserve">CLIENTE: SECAMAQ</t>
  </si>
  <si>
    <t xml:space="preserve">REGIME TRIBUTÁRIO: LUCRO REAL</t>
  </si>
  <si>
    <t xml:space="preserve">USO: INDUSTRIALIZAÇÃO</t>
  </si>
  <si>
    <t xml:space="preserve">CONSIDERAR ICMS 6%</t>
  </si>
  <si>
    <t xml:space="preserve">Valor das despesas</t>
  </si>
  <si>
    <t xml:space="preserve">PRODUTO: ARAME</t>
  </si>
  <si>
    <t xml:space="preserve">PORTO SAÍDA: SHANGHAI</t>
  </si>
  <si>
    <t xml:space="preserve">Custo total</t>
  </si>
  <si>
    <t xml:space="preserve">FRETE: 1x20DRY</t>
  </si>
  <si>
    <t xml:space="preserve">PORTO ENTRADA: NAVEGANTES</t>
  </si>
  <si>
    <t xml:space="preserve">SIMULAÇÃO 100%</t>
  </si>
  <si>
    <t xml:space="preserve">REFERÊNCIA CÁLCULO BASE </t>
  </si>
  <si>
    <t xml:space="preserve">R$/USD:</t>
  </si>
  <si>
    <t xml:space="preserve">NCM: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</si>
  <si>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7229.20.00
</t>
  </si>
  <si>
    <t xml:space="preserve">VALORES ADUANEIROS</t>
  </si>
  <si>
    <t xml:space="preserve">ITEM</t>
  </si>
  <si>
    <t xml:space="preserve">DESCRIÇÃO</t>
  </si>
  <si>
    <t xml:space="preserve">USD UNIT PRICE</t>
  </si>
  <si>
    <t xml:space="preserve">QTY</t>
  </si>
  <si>
    <t xml:space="preserve">BRL UNIT PRICE</t>
  </si>
  <si>
    <t xml:space="preserve">DISCRIMINAÇÃO</t>
  </si>
  <si>
    <t xml:space="preserve">PESO BRUTO</t>
  </si>
  <si>
    <t xml:space="preserve">UNIDADE (ROLO 15KG)</t>
  </si>
  <si>
    <t xml:space="preserve">PREÇO KG USD</t>
  </si>
  <si>
    <t xml:space="preserve">PREÇO TOTAL USD</t>
  </si>
  <si>
    <t xml:space="preserve">R$</t>
  </si>
  <si>
    <t xml:space="preserve">ARAME 1,0MM</t>
  </si>
  <si>
    <t xml:space="preserve">TOTAL FOB</t>
  </si>
  <si>
    <t xml:space="preserve">PRODUTO + FRETE</t>
  </si>
  <si>
    <t xml:space="preserve">SEGURO </t>
  </si>
  <si>
    <t xml:space="preserve">FRETE </t>
  </si>
  <si>
    <t xml:space="preserve">TOTAL VALOR ADUANEIRO</t>
  </si>
  <si>
    <t xml:space="preserve">IMPOSTOS</t>
  </si>
  <si>
    <t xml:space="preserve">PERCENTUAL</t>
  </si>
  <si>
    <t xml:space="preserve">VALOR (R$)</t>
  </si>
  <si>
    <t xml:space="preserve">IMPOSTO. IMPORTAÇÃO  </t>
  </si>
  <si>
    <t xml:space="preserve">PIS </t>
  </si>
  <si>
    <t xml:space="preserve">COFINS </t>
  </si>
  <si>
    <t xml:space="preserve">IPI </t>
  </si>
  <si>
    <t xml:space="preserve">ICMS</t>
  </si>
  <si>
    <t xml:space="preserve">TOTAL VALOR IMPOSTOS</t>
  </si>
  <si>
    <t xml:space="preserve">DESPESAS PORTUÁRIAS E LOGÍSTICAS </t>
  </si>
  <si>
    <t xml:space="preserve">F10</t>
  </si>
  <si>
    <t xml:space="preserve">TOTAL VALOR DESEMBARAÇO ADUANEIRO</t>
  </si>
  <si>
    <t xml:space="preserve">TOTAL   (PARTE 1 + PARTE 2 + PARTE 3) ........................................................:</t>
  </si>
  <si>
    <t xml:space="preserve">TOTAL/KG</t>
  </si>
  <si>
    <t xml:space="preserve">TOTAL/ROLO</t>
  </si>
  <si>
    <t xml:space="preserve">PREÇO FOB</t>
  </si>
  <si>
    <t xml:space="preserve">DESPESAS</t>
  </si>
  <si>
    <t xml:space="preserve">TOTAL</t>
  </si>
  <si>
    <t xml:space="preserve">% DESPESAS/FOB</t>
  </si>
  <si>
    <t xml:space="preserve">FAVOR NOTAR QUE A ESTIMATIVA DE CUSTOS NÃO CONTEMPLA VALORES DE COMISSÃO, POIS ELES VARIAM CONFORME CONTRATO.</t>
  </si>
  <si>
    <t xml:space="preserve">LISTA DE COMPRA</t>
  </si>
  <si>
    <t xml:space="preserve">Item</t>
  </si>
  <si>
    <t xml:space="preserve">Produto</t>
  </si>
  <si>
    <t xml:space="preserve">NCM</t>
  </si>
  <si>
    <t xml:space="preserve">II</t>
  </si>
  <si>
    <t xml:space="preserve">IPI</t>
  </si>
  <si>
    <t xml:space="preserve">PIS</t>
  </si>
  <si>
    <t xml:space="preserve">COFINS</t>
  </si>
  <si>
    <t xml:space="preserve">Quantidade (kg)</t>
  </si>
  <si>
    <t xml:space="preserve">Preço Unitário</t>
  </si>
  <si>
    <t xml:space="preserve">Preço Unitário Sub 50%</t>
  </si>
  <si>
    <t xml:space="preserve">Preço total por produto</t>
  </si>
  <si>
    <t xml:space="preserve">Preço total por produto Sub</t>
  </si>
  <si>
    <t xml:space="preserve">% Rateio Quantidade</t>
  </si>
  <si>
    <t xml:space="preserve">% Rateio Preço</t>
  </si>
  <si>
    <t xml:space="preserve">Preço R$ Quilo nacionalizado</t>
  </si>
  <si>
    <t xml:space="preserve">Preço R$ Rolo nancionalizado</t>
  </si>
  <si>
    <t xml:space="preserve">Arame 1,0mm</t>
  </si>
  <si>
    <t xml:space="preserve">7229.20.00</t>
  </si>
  <si>
    <t xml:space="preserve">DETALHES DO PRODUTO</t>
  </si>
  <si>
    <t xml:space="preserve">VALOR ADUANEIRO</t>
  </si>
  <si>
    <t xml:space="preserve">TAXAS PORTUÁRIAS</t>
  </si>
  <si>
    <t xml:space="preserve">Nº</t>
  </si>
  <si>
    <t xml:space="preserve">Código</t>
  </si>
  <si>
    <t xml:space="preserve">Bitola (mm)</t>
  </si>
  <si>
    <t xml:space="preserve">Embal.</t>
  </si>
  <si>
    <t xml:space="preserve">QTD</t>
  </si>
  <si>
    <t xml:space="preserve">Preço unitário Fábrica (USD)</t>
  </si>
  <si>
    <t xml:space="preserve">Preço x QTD (Valor em USD)</t>
  </si>
  <si>
    <t xml:space="preserve">Preço x QTD (valor em BRL)</t>
  </si>
  <si>
    <t xml:space="preserve">Preço x QTD (valor em BRL) SUB</t>
  </si>
  <si>
    <t xml:space="preserve">THC (valor em BRL)</t>
  </si>
  <si>
    <t xml:space="preserve">Valor do frete (Valor em BRL)</t>
  </si>
  <si>
    <t xml:space="preserve">TOTAL VALOR ADUANEIRO (SUB)</t>
  </si>
  <si>
    <t xml:space="preserve">IMPOSTO DE IMPORTAÇÃO</t>
  </si>
  <si>
    <t xml:space="preserve">Total valor aduaneiro + Imposto de importação </t>
  </si>
  <si>
    <t xml:space="preserve">TOTAL IMPOSTOS</t>
  </si>
  <si>
    <t xml:space="preserve">TOTAL IMPOSTOS (SUB)</t>
  </si>
  <si>
    <t xml:space="preserve">TAXA SISCOMEX</t>
  </si>
  <si>
    <t xml:space="preserve">LIBERAÇÃO DE B/L</t>
  </si>
  <si>
    <t xml:space="preserve">T.H.C|  CAPATAZIA</t>
  </si>
  <si>
    <t xml:space="preserve">ISPS</t>
  </si>
  <si>
    <t xml:space="preserve">DAMAGE PROTECTION</t>
  </si>
  <si>
    <t xml:space="preserve">DESCONSOLIDAÇÃO</t>
  </si>
  <si>
    <t xml:space="preserve">DEVOLUÇÃO DE CONTAINER</t>
  </si>
  <si>
    <t xml:space="preserve">TRS</t>
  </si>
  <si>
    <t xml:space="preserve">AFRMM</t>
  </si>
  <si>
    <t xml:space="preserve">ARMAZENAGEM TCP</t>
  </si>
  <si>
    <t xml:space="preserve">SCANNER TCP</t>
  </si>
  <si>
    <t xml:space="preserve">HANDLING - TCP</t>
  </si>
  <si>
    <t xml:space="preserve">PESAGEM TCP</t>
  </si>
  <si>
    <t xml:space="preserve">TAXA DO PARCEIRO - PARANAGUÁ</t>
  </si>
  <si>
    <t xml:space="preserve">FRETE RODOVIÁRIO</t>
  </si>
  <si>
    <t xml:space="preserve">DESEMBARAÇO ADUANEIRO</t>
  </si>
  <si>
    <t xml:space="preserve">TOTAL TAXAS DESEMBARAÇO</t>
  </si>
  <si>
    <t xml:space="preserve">TOTAL (sub)</t>
  </si>
  <si>
    <t xml:space="preserve">MÉTODO ANTIGO </t>
  </si>
  <si>
    <t xml:space="preserve">MÉTODO ANTIGO (sub)</t>
  </si>
  <si>
    <t xml:space="preserve">MÉTODO DANI </t>
  </si>
  <si>
    <t xml:space="preserve">MÉTODO DANI (sub)</t>
  </si>
  <si>
    <t xml:space="preserve">MÉTODO JULIANA </t>
  </si>
  <si>
    <t xml:space="preserve">MÉTODO JULIANA (sub)</t>
  </si>
  <si>
    <t xml:space="preserve">VALOR UNITÁRIO C/ COMISSÃO SEAWISE</t>
  </si>
  <si>
    <t xml:space="preserve">AAA</t>
  </si>
  <si>
    <t xml:space="preserve"> </t>
  </si>
  <si>
    <t xml:space="preserve">                                                                                         </t>
  </si>
  <si>
    <t xml:space="preserve">fob</t>
  </si>
  <si>
    <t xml:space="preserve">despesas</t>
  </si>
  <si>
    <t xml:space="preserve">total</t>
  </si>
  <si>
    <t xml:space="preserve">despesas/fob</t>
  </si>
  <si>
    <t xml:space="preserve">CÂMBIO</t>
  </si>
  <si>
    <t xml:space="preserve">FRETE</t>
  </si>
  <si>
    <t xml:space="preserve">Quantidade</t>
  </si>
  <si>
    <t xml:space="preserve"> B/L</t>
  </si>
  <si>
    <t xml:space="preserve">SERVIÇO DE ENTREGA DE CONTAINER</t>
  </si>
  <si>
    <t xml:space="preserve">ARMAZENAGEM </t>
  </si>
  <si>
    <t xml:space="preserve"> IMPORT LOGISTIC FEE</t>
  </si>
  <si>
    <t xml:space="preserve">DROP OFF</t>
  </si>
  <si>
    <t xml:space="preserve">PESAGEM </t>
  </si>
  <si>
    <t xml:space="preserve">TAXA DO PARCEIRO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</si>
</sst>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(\$* #,##0.00_);_(\$* \(#,##0.00\);_(\$* \-??_);_(@_)"/>
    <numFmt numFmtId="166" formatCode="0%"/>
    <numFmt numFmtId="167" formatCode="_(* #,##0.00_);_(* \(#,##0.00\);_(* \-??_);_(@_)"/>
    <numFmt numFmtId="168" formatCode="_-[$R$-416]\ * #,##0.00_-;\-[$R$-416]\ * #,##0.00_-;_-[$R$-416]\ * \-??_-;_-@_-"/>
    <numFmt numFmtId="169" formatCode="m/d/yyyy"/>
    <numFmt numFmtId="170" formatCode="&quot;R$ &quot;#,##0.00"/>
    <numFmt numFmtId="171" formatCode="_-[$USD]\ * #,##0.00_-;\-[$USD]\ * #,##0.00_-;_-[$USD]\ * \-??_-;_-@_-"/>
    <numFmt numFmtId="172" formatCode="0"/>
    <numFmt numFmtId="173" formatCode="[$USD]\ #,##0.00"/>
    <numFmt numFmtId="174" formatCode="[$R$-416]\ #,##0.00;\-[$R$-416]\ #,##0.00"/>
    <numFmt numFmtId="175" formatCode="0.00%"/>
    <numFmt numFmtId="176" formatCode="[$R$-416]\ #,##0.00"/>
    <numFmt numFmtId="177" formatCode="0.0%"/>
    <numFmt numFmtId="178" formatCode="_-* #,##0.00_-;\-* #,##0.00_-;_-* \-??_-;_-@_-"/>
    <numFmt numFmtId="179" formatCode="@"/>
    <numFmt numFmtId="180" formatCode="_-&quot;R$ &quot;* #,##0.00_-;&quot;-R$ &quot;* #,##0.00_-;_-&quot;R$ &quot;* \-??_-;_-@_-"/>
    <numFmt numFmtId="181" formatCode="#,##0.00"/>
    <numFmt numFmtId="182" formatCode="#,##0"/>
    <numFmt numFmtId="183" formatCode="_-[$$-409]* #,##0.00_ ;_-[$$-409]* \-#,##0.00\ ;_-[$$-409]* \-??_ ;_-@_ "/>
    <numFmt numFmtId="184" formatCode="_-[$R$-416]\ * #,##0.0000_-;\-[$R$-416]\ * #,##0.0000_-;_-[$R$-416]\ * \-????_-;_-@_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24"/>
      <color theme="1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14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4"/>
      <color theme="4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</font>
    <font>
      <b val="true"/>
      <sz val="2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1"/>
      <color rgb="FF2A2E34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3" tint="0.7999"/>
        <bgColor rgb="FFD9D9D9"/>
      </patternFill>
    </fill>
    <fill>
      <patternFill patternType="solid">
        <fgColor theme="4" tint="-0.5"/>
        <bgColor rgb="FF2A2E34"/>
      </patternFill>
    </fill>
    <fill>
      <patternFill patternType="solid">
        <fgColor theme="3" tint="0.3999"/>
        <bgColor rgb="FF8FAADC"/>
      </patternFill>
    </fill>
    <fill>
      <patternFill patternType="solid">
        <fgColor theme="3"/>
        <bgColor rgb="FF203864"/>
      </patternFill>
    </fill>
    <fill>
      <patternFill patternType="solid">
        <fgColor theme="0"/>
        <bgColor rgb="FFF2F2F2"/>
      </patternFill>
    </fill>
    <fill>
      <patternFill patternType="solid">
        <fgColor theme="4" tint="0.7999"/>
        <bgColor rgb="FFD6DCE5"/>
      </patternFill>
    </fill>
    <fill>
      <patternFill patternType="solid">
        <fgColor theme="4" tint="0.3999"/>
        <bgColor rgb="FFADB9CA"/>
      </patternFill>
    </fill>
    <fill>
      <patternFill patternType="solid">
        <fgColor theme="4"/>
        <bgColor rgb="FF44546A"/>
      </patternFill>
    </fill>
    <fill>
      <patternFill patternType="solid">
        <fgColor theme="5" tint="-0.25"/>
        <bgColor rgb="FF993300"/>
      </patternFill>
    </fill>
    <fill>
      <patternFill patternType="solid">
        <fgColor theme="4" tint="0.5999"/>
        <bgColor rgb="FFADB9CA"/>
      </patternFill>
    </fill>
    <fill>
      <patternFill patternType="solid">
        <fgColor theme="3" tint="0.5999"/>
        <bgColor rgb="FFB4C7E7"/>
      </patternFill>
    </fill>
    <fill>
      <patternFill patternType="solid">
        <fgColor theme="0" tint="-0.15"/>
        <bgColor rgb="FFD6DCE5"/>
      </patternFill>
    </fill>
    <fill>
      <patternFill patternType="solid">
        <fgColor theme="0" tint="-0.05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9D9D9"/>
      </patternFill>
    </fill>
    <fill>
      <patternFill patternType="solid">
        <fgColor theme="9" tint="0.7999"/>
        <bgColor rgb="FFF2F2F2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9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9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1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3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3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3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1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1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5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1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1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Porcentagem 2" xfId="21"/>
    <cellStyle name="Vírgula 2" xfId="22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DB9CA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FAADC"/>
      <rgbColor rgb="FF993366"/>
      <rgbColor rgb="FFF2F2F2"/>
      <rgbColor rgb="FFDAE3F3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E2F0D9"/>
      <rgbColor rgb="FFFFFF99"/>
      <rgbColor rgb="FFC5E0B4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C55A11"/>
      <rgbColor rgb="FF44546A"/>
      <rgbColor rgb="FF8497B0"/>
      <rgbColor rgb="FF203864"/>
      <rgbColor rgb="FF339966"/>
      <rgbColor rgb="FF003300"/>
      <rgbColor rgb="FF333300"/>
      <rgbColor rgb="FF993300"/>
      <rgbColor rgb="FF993366"/>
      <rgbColor rgb="FF333399"/>
      <rgbColor rgb="FF2A2E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1000080</xdr:colOff>
      <xdr:row>0</xdr:row>
      <xdr:rowOff>63360</xdr:rowOff>
    </xdr:from>
    <xdr:to>
      <xdr:col>6</xdr:col>
      <xdr:colOff>2379960</xdr:colOff>
      <xdr:row>3</xdr:row>
      <xdr:rowOff>205200</xdr:rowOff>
    </xdr:to>
    <xdr:pic>
      <xdr:nvPicPr>
        <xdr:cNvPr id="0" name="Imagem 1" descr="Avaliações da empresa Seawise: Como é trabalhar nela? | Glassdoor"/>
        <xdr:cNvPicPr/>
      </xdr:nvPicPr>
      <xdr:blipFill>
        <a:blip r:embed="rId1"/>
        <a:stretch/>
      </xdr:blipFill>
      <xdr:spPr>
        <a:xfrm>
          <a:off x="14932440" y="63360"/>
          <a:ext cx="1379880" cy="1018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1492200</xdr:colOff>
      <xdr:row>52</xdr:row>
      <xdr:rowOff>142920</xdr:rowOff>
    </xdr:from>
    <xdr:to>
      <xdr:col>6</xdr:col>
      <xdr:colOff>2189520</xdr:colOff>
      <xdr:row>55</xdr:row>
      <xdr:rowOff>126000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15424560" y="11754000"/>
          <a:ext cx="697320" cy="66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1047600</xdr:colOff>
      <xdr:row>4</xdr:row>
      <xdr:rowOff>158760</xdr:rowOff>
    </xdr:from>
    <xdr:to>
      <xdr:col>1</xdr:col>
      <xdr:colOff>2475360</xdr:colOff>
      <xdr:row>10</xdr:row>
      <xdr:rowOff>38520</xdr:rowOff>
    </xdr:to>
    <xdr:pic>
      <xdr:nvPicPr>
        <xdr:cNvPr id="2" name="Imagem 3" descr=""/>
        <xdr:cNvPicPr/>
      </xdr:nvPicPr>
      <xdr:blipFill>
        <a:blip r:embed="rId3"/>
        <a:stretch/>
      </xdr:blipFill>
      <xdr:spPr>
        <a:xfrm>
          <a:off x="1869840" y="1263600"/>
          <a:ext cx="1427760" cy="1337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963720</xdr:colOff>
      <xdr:row>0</xdr:row>
      <xdr:rowOff>0</xdr:rowOff>
    </xdr:from>
    <xdr:to>
      <xdr:col>18</xdr:col>
      <xdr:colOff>277920</xdr:colOff>
      <xdr:row>1</xdr:row>
      <xdr:rowOff>143640</xdr:rowOff>
    </xdr:to>
    <xdr:pic>
      <xdr:nvPicPr>
        <xdr:cNvPr id="3" name="Imagem 8" descr="Avaliações da empresa Seawise: Como é trabalhar nela? | Glassdoor"/>
        <xdr:cNvPicPr/>
      </xdr:nvPicPr>
      <xdr:blipFill>
        <a:blip r:embed="rId1"/>
        <a:stretch/>
      </xdr:blipFill>
      <xdr:spPr>
        <a:xfrm>
          <a:off x="13133520" y="0"/>
          <a:ext cx="715680" cy="467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537840</xdr:colOff>
      <xdr:row>5</xdr:row>
      <xdr:rowOff>78480</xdr:rowOff>
    </xdr:from>
    <xdr:to>
      <xdr:col>18</xdr:col>
      <xdr:colOff>1236240</xdr:colOff>
      <xdr:row>9</xdr:row>
      <xdr:rowOff>19080</xdr:rowOff>
    </xdr:to>
    <xdr:pic>
      <xdr:nvPicPr>
        <xdr:cNvPr id="4" name="Imagem 9" descr=""/>
        <xdr:cNvPicPr/>
      </xdr:nvPicPr>
      <xdr:blipFill>
        <a:blip r:embed="rId2"/>
        <a:stretch/>
      </xdr:blipFill>
      <xdr:spPr>
        <a:xfrm>
          <a:off x="14109120" y="2316960"/>
          <a:ext cx="698400" cy="66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369720</xdr:colOff>
      <xdr:row>4</xdr:row>
      <xdr:rowOff>145800</xdr:rowOff>
    </xdr:from>
    <xdr:to>
      <xdr:col>1</xdr:col>
      <xdr:colOff>1103400</xdr:colOff>
      <xdr:row>4</xdr:row>
      <xdr:rowOff>850680</xdr:rowOff>
    </xdr:to>
    <xdr:pic>
      <xdr:nvPicPr>
        <xdr:cNvPr id="5" name="Imagem 3" descr=""/>
        <xdr:cNvPicPr/>
      </xdr:nvPicPr>
      <xdr:blipFill>
        <a:blip r:embed="rId3"/>
        <a:stretch/>
      </xdr:blipFill>
      <xdr:spPr>
        <a:xfrm>
          <a:off x="1027440" y="1431720"/>
          <a:ext cx="733680" cy="70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P62"/>
  <sheetViews>
    <sheetView showFormulas="false" showGridLines="false" showRowColHeaders="true" showZeros="true" rightToLeft="false" tabSelected="true" showOutlineSymbols="true" defaultGridColor="true" view="pageBreakPreview" topLeftCell="A31" colorId="64" zoomScale="100" zoomScaleNormal="60" zoomScalePageLayoutView="100" workbookViewId="0">
      <selection pane="topLeft" activeCell="H20" activeCellId="0" sqref="H20"/>
    </sheetView>
  </sheetViews>
  <sheetFormatPr defaultColWidth="8.88671875" defaultRowHeight="18" customHeight="true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2" width="55.11"/>
    <col collapsed="false" customWidth="true" hidden="false" outlineLevel="0" max="3" min="3" style="2" width="31.44"/>
    <col collapsed="false" customWidth="true" hidden="false" outlineLevel="0" max="4" min="4" style="2" width="30.11"/>
    <col collapsed="false" customWidth="true" hidden="false" outlineLevel="0" max="5" min="5" style="2" width="27"/>
    <col collapsed="false" customWidth="true" hidden="false" outlineLevel="0" max="6" min="6" style="2" width="42.34"/>
    <col collapsed="false" customWidth="true" hidden="false" outlineLevel="0" max="7" min="7" style="2" width="37.67"/>
    <col collapsed="false" customWidth="true" hidden="false" outlineLevel="0" max="8" min="8" style="1" width="41"/>
    <col collapsed="false" customWidth="true" hidden="true" outlineLevel="0" max="9" min="9" style="1" width="17.88"/>
    <col collapsed="false" customWidth="true" hidden="true" outlineLevel="0" max="10" min="10" style="1" width="43.33"/>
    <col collapsed="false" customWidth="true" hidden="true" outlineLevel="0" max="11" min="11" style="1" width="14.88"/>
    <col collapsed="false" customWidth="false" hidden="true" outlineLevel="0" max="12" min="12" style="1" width="8.88"/>
    <col collapsed="false" customWidth="true" hidden="true" outlineLevel="0" max="13" min="13" style="1" width="17.88"/>
    <col collapsed="false" customWidth="true" hidden="true" outlineLevel="0" max="14" min="14" style="1" width="18.11"/>
    <col collapsed="false" customWidth="true" hidden="true" outlineLevel="0" max="15" min="15" style="1" width="24.44"/>
    <col collapsed="false" customWidth="true" hidden="false" outlineLevel="0" max="16" min="16" style="1" width="14"/>
    <col collapsed="false" customWidth="false" hidden="false" outlineLevel="0" max="16384" min="17" style="1" width="8.88"/>
  </cols>
  <sheetData>
    <row r="1" customFormat="false" ht="20.25" hidden="false" customHeight="true" outlineLevel="0" collapsed="false"/>
    <row r="3" customFormat="false" ht="30.75" hidden="false" customHeight="true" outlineLevel="0" collapsed="false">
      <c r="B3" s="3" t="s">
        <v>0</v>
      </c>
    </row>
    <row r="5" customFormat="false" ht="27.75" hidden="false" customHeight="true" outlineLevel="0" collapsed="false">
      <c r="B5" s="4"/>
      <c r="C5" s="5" t="s">
        <v>1</v>
      </c>
      <c r="D5" s="5"/>
      <c r="E5" s="5"/>
      <c r="F5" s="5"/>
      <c r="G5" s="5"/>
    </row>
    <row r="6" customFormat="false" ht="18" hidden="false" customHeight="true" outlineLevel="0" collapsed="false">
      <c r="B6" s="6"/>
      <c r="C6" s="5"/>
      <c r="D6" s="5"/>
      <c r="E6" s="5"/>
      <c r="F6" s="5"/>
      <c r="G6" s="5"/>
    </row>
    <row r="7" customFormat="false" ht="18" hidden="false" customHeight="true" outlineLevel="0" collapsed="false">
      <c r="B7" s="6"/>
      <c r="C7" s="5"/>
      <c r="D7" s="5"/>
      <c r="E7" s="5"/>
      <c r="F7" s="5"/>
      <c r="G7" s="5"/>
      <c r="J7" s="7"/>
    </row>
    <row r="8" customFormat="false" ht="18" hidden="false" customHeight="true" outlineLevel="0" collapsed="false">
      <c r="B8" s="6"/>
      <c r="C8" s="8" t="s">
        <v>2</v>
      </c>
      <c r="D8" s="8"/>
      <c r="E8" s="8" t="s">
        <v>3</v>
      </c>
      <c r="F8" s="8"/>
      <c r="G8" s="9" t="s">
        <v>4</v>
      </c>
      <c r="J8" s="1" t="s">
        <v>5</v>
      </c>
      <c r="K8" s="7" t="n">
        <v>52965.3615976</v>
      </c>
    </row>
    <row r="9" customFormat="false" ht="18" hidden="false" customHeight="true" outlineLevel="0" collapsed="false">
      <c r="B9" s="6"/>
      <c r="C9" s="10" t="s">
        <v>6</v>
      </c>
      <c r="D9" s="10"/>
      <c r="E9" s="8" t="s">
        <v>7</v>
      </c>
      <c r="F9" s="8"/>
      <c r="G9" s="11" t="n">
        <f aca="true">TODAY()</f>
        <v>46233</v>
      </c>
      <c r="J9" s="1" t="s">
        <v>8</v>
      </c>
      <c r="K9" s="7" t="n">
        <v>90312.5093576</v>
      </c>
    </row>
    <row r="10" customFormat="false" ht="15" hidden="false" customHeight="true" outlineLevel="0" collapsed="false">
      <c r="B10" s="6"/>
      <c r="C10" s="8" t="s">
        <v>9</v>
      </c>
      <c r="D10" s="12"/>
      <c r="E10" s="8" t="s">
        <v>10</v>
      </c>
      <c r="F10" s="8"/>
      <c r="G10" s="9" t="s">
        <v>11</v>
      </c>
    </row>
    <row r="11" customFormat="false" ht="15" hidden="false" customHeight="true" outlineLevel="0" collapsed="false">
      <c r="B11" s="13"/>
      <c r="C11" s="14"/>
      <c r="D11" s="15"/>
      <c r="E11" s="14"/>
      <c r="F11" s="14"/>
      <c r="G11" s="16"/>
      <c r="K11" s="17" t="n">
        <v>1.41819027085992</v>
      </c>
    </row>
    <row r="12" customFormat="false" ht="36.75" hidden="false" customHeight="true" outlineLevel="0" collapsed="false">
      <c r="A12" s="2"/>
      <c r="B12" s="18" t="s">
        <v>12</v>
      </c>
      <c r="C12" s="19" t="s">
        <v>13</v>
      </c>
      <c r="D12" s="20" t="n">
        <f aca="false">'Rateio Custos Fixos'!B3</f>
        <v>5.09</v>
      </c>
      <c r="E12" s="19" t="s">
        <v>14</v>
      </c>
      <c r="F12" s="21" t="s">
        <v>15</v>
      </c>
      <c r="G12" s="22"/>
    </row>
    <row r="13" customFormat="false" ht="18" hidden="false" customHeight="true" outlineLevel="0" collapsed="false">
      <c r="B13" s="23" t="s">
        <v>16</v>
      </c>
      <c r="C13" s="23"/>
      <c r="D13" s="23"/>
      <c r="E13" s="23"/>
      <c r="F13" s="23"/>
      <c r="G13" s="23"/>
      <c r="I13" s="24" t="s">
        <v>17</v>
      </c>
      <c r="J13" s="24" t="s">
        <v>18</v>
      </c>
      <c r="K13" s="24" t="s">
        <v>19</v>
      </c>
      <c r="L13" s="24" t="s">
        <v>20</v>
      </c>
      <c r="M13" s="24"/>
      <c r="N13" s="24"/>
      <c r="O13" s="24" t="s">
        <v>21</v>
      </c>
    </row>
    <row r="14" customFormat="false" ht="18" hidden="false" customHeight="true" outlineLevel="0" collapsed="false">
      <c r="B14" s="25" t="s">
        <v>22</v>
      </c>
      <c r="C14" s="26" t="s">
        <v>23</v>
      </c>
      <c r="D14" s="26" t="s">
        <v>24</v>
      </c>
      <c r="E14" s="26" t="s">
        <v>25</v>
      </c>
      <c r="F14" s="26" t="s">
        <v>26</v>
      </c>
      <c r="G14" s="27" t="s">
        <v>27</v>
      </c>
      <c r="I14" s="28" t="n">
        <f aca="false">'LISTA DE COMPRAS'!B4</f>
        <v>0</v>
      </c>
      <c r="J14" s="28" t="n">
        <f aca="false">'LISTA DE COMPRAS'!C4</f>
        <v>0</v>
      </c>
      <c r="K14" s="29" t="n">
        <f aca="false">'LISTA DE COMPRAS'!K4</f>
        <v>0.815</v>
      </c>
      <c r="L14" s="28" t="n">
        <f aca="false">'LISTA DE COMPRAS'!J4</f>
        <v>23760</v>
      </c>
      <c r="M14" s="30" t="n">
        <f aca="false">K14*L14*'Rateio Custos Fixos'!$B$26</f>
        <v>0</v>
      </c>
      <c r="N14" s="31" t="n">
        <f aca="false">M14+(M14*$K$11)</f>
        <v>0</v>
      </c>
      <c r="O14" s="31" t="n">
        <f aca="false">N14/L14</f>
        <v>0</v>
      </c>
    </row>
    <row r="15" customFormat="false" ht="18" hidden="false" customHeight="true" outlineLevel="0" collapsed="false">
      <c r="B15" s="32" t="s">
        <v>28</v>
      </c>
      <c r="C15" s="33" t="n">
        <v>23760</v>
      </c>
      <c r="D15" s="34"/>
      <c r="E15" s="35" t="n">
        <f aca="false">'LISTA DE COMPRAS'!K5</f>
        <v>0.815</v>
      </c>
      <c r="F15" s="36" t="n">
        <f aca="false">E15*C15</f>
        <v>19364.4</v>
      </c>
      <c r="G15" s="37" t="n">
        <f aca="false">F15*$D$12</f>
        <v>98564.796</v>
      </c>
      <c r="I15" s="28"/>
      <c r="J15" s="28"/>
      <c r="K15" s="28"/>
      <c r="L15" s="28"/>
      <c r="M15" s="30"/>
      <c r="N15" s="31"/>
      <c r="O15" s="31"/>
    </row>
    <row r="16" customFormat="false" ht="18" hidden="false" customHeight="true" outlineLevel="0" collapsed="false">
      <c r="B16" s="38" t="s">
        <v>29</v>
      </c>
      <c r="C16" s="39"/>
      <c r="D16" s="40"/>
      <c r="E16" s="41"/>
      <c r="F16" s="41" t="n">
        <f aca="false">SUM(F15)</f>
        <v>19364.4</v>
      </c>
      <c r="G16" s="42" t="n">
        <f aca="false">SUM(G15)</f>
        <v>98564.796</v>
      </c>
      <c r="I16" s="28"/>
      <c r="J16" s="28"/>
      <c r="K16" s="28"/>
      <c r="L16" s="28"/>
      <c r="M16" s="30"/>
      <c r="N16" s="31"/>
      <c r="O16" s="31"/>
    </row>
    <row r="17" customFormat="false" ht="18" hidden="false" customHeight="true" outlineLevel="0" collapsed="false">
      <c r="B17" s="43" t="s">
        <v>30</v>
      </c>
      <c r="C17" s="44"/>
      <c r="D17" s="45"/>
      <c r="E17" s="46"/>
      <c r="F17" s="47"/>
      <c r="G17" s="48" t="n">
        <f aca="false">G16+G19</f>
        <v>124987.796</v>
      </c>
      <c r="I17" s="28"/>
      <c r="J17" s="28"/>
      <c r="K17" s="28"/>
      <c r="L17" s="28"/>
      <c r="M17" s="30"/>
      <c r="N17" s="31"/>
      <c r="O17" s="31"/>
    </row>
    <row r="18" customFormat="false" ht="18" hidden="false" customHeight="true" outlineLevel="0" collapsed="false">
      <c r="B18" s="49" t="s">
        <v>31</v>
      </c>
      <c r="C18" s="50"/>
      <c r="D18" s="51"/>
      <c r="E18" s="52"/>
      <c r="F18" s="52"/>
      <c r="G18" s="53"/>
      <c r="I18" s="28"/>
      <c r="J18" s="28"/>
      <c r="K18" s="28"/>
      <c r="L18" s="28"/>
      <c r="M18" s="30"/>
      <c r="N18" s="31"/>
      <c r="O18" s="31"/>
    </row>
    <row r="19" customFormat="false" ht="18" hidden="false" customHeight="true" outlineLevel="0" collapsed="false">
      <c r="B19" s="54" t="s">
        <v>32</v>
      </c>
      <c r="C19" s="55"/>
      <c r="D19" s="56"/>
      <c r="E19" s="57"/>
      <c r="F19" s="52" t="n">
        <f aca="false">'Rateio Custos Fixos'!G5</f>
        <v>5191.15913555992</v>
      </c>
      <c r="G19" s="58" t="n">
        <f aca="false">F19*D12</f>
        <v>26423</v>
      </c>
      <c r="I19" s="28"/>
      <c r="J19" s="28"/>
      <c r="K19" s="28"/>
      <c r="L19" s="28"/>
      <c r="M19" s="30"/>
      <c r="N19" s="31"/>
      <c r="O19" s="31"/>
    </row>
    <row r="20" customFormat="false" ht="15.75" hidden="false" customHeight="true" outlineLevel="0" collapsed="false">
      <c r="B20" s="59" t="s">
        <v>33</v>
      </c>
      <c r="C20" s="60"/>
      <c r="D20" s="60"/>
      <c r="E20" s="60"/>
      <c r="F20" s="60"/>
      <c r="G20" s="61" t="n">
        <f aca="false">G17</f>
        <v>124987.796</v>
      </c>
      <c r="H20" s="1" t="n">
        <v>0.725</v>
      </c>
      <c r="I20" s="28"/>
      <c r="J20" s="28"/>
      <c r="K20" s="28"/>
      <c r="L20" s="28"/>
      <c r="M20" s="30"/>
      <c r="N20" s="31"/>
      <c r="O20" s="31"/>
    </row>
    <row r="21" customFormat="false" ht="18" hidden="false" customHeight="true" outlineLevel="0" collapsed="false">
      <c r="B21" s="23" t="s">
        <v>34</v>
      </c>
      <c r="C21" s="23"/>
      <c r="D21" s="23"/>
      <c r="E21" s="23"/>
      <c r="F21" s="23"/>
      <c r="G21" s="23"/>
    </row>
    <row r="22" s="47" customFormat="true" ht="15" hidden="false" customHeight="true" outlineLevel="0" collapsed="false">
      <c r="B22" s="62" t="s">
        <v>34</v>
      </c>
      <c r="C22" s="63" t="s">
        <v>35</v>
      </c>
      <c r="D22" s="63"/>
      <c r="E22" s="63"/>
      <c r="F22" s="63"/>
      <c r="G22" s="64" t="s">
        <v>36</v>
      </c>
      <c r="P22" s="1"/>
    </row>
    <row r="23" s="47" customFormat="true" ht="18" hidden="false" customHeight="true" outlineLevel="0" collapsed="false">
      <c r="B23" s="65" t="s">
        <v>37</v>
      </c>
      <c r="C23" s="66" t="n">
        <v>0.112</v>
      </c>
      <c r="D23" s="63"/>
      <c r="E23" s="63"/>
      <c r="F23" s="63"/>
      <c r="G23" s="67" t="n">
        <f aca="false">'Est. Cust. Naci.'!R$7</f>
        <v>13998.633152</v>
      </c>
    </row>
    <row r="24" s="47" customFormat="true" ht="18" hidden="false" customHeight="true" outlineLevel="0" collapsed="false">
      <c r="B24" s="65" t="s">
        <v>38</v>
      </c>
      <c r="C24" s="68" t="n">
        <v>0.021</v>
      </c>
      <c r="D24" s="63"/>
      <c r="E24" s="63"/>
      <c r="F24" s="63"/>
      <c r="G24" s="67" t="n">
        <f aca="false">'Est. Cust. Naci.'!U$7</f>
        <v>2918.715012192</v>
      </c>
    </row>
    <row r="25" s="47" customFormat="true" ht="18" hidden="false" customHeight="true" outlineLevel="0" collapsed="false">
      <c r="B25" s="65" t="s">
        <v>39</v>
      </c>
      <c r="C25" s="66" t="n">
        <v>0.0965</v>
      </c>
      <c r="D25" s="63"/>
      <c r="E25" s="63"/>
      <c r="F25" s="63"/>
      <c r="G25" s="67" t="n">
        <f aca="false">'Est. Cust. Naci.'!V$7</f>
        <v>13412.190413168</v>
      </c>
    </row>
    <row r="26" s="47" customFormat="true" ht="18" hidden="false" customHeight="true" outlineLevel="0" collapsed="false">
      <c r="B26" s="65" t="s">
        <v>40</v>
      </c>
      <c r="C26" s="66" t="n">
        <v>0.0325</v>
      </c>
      <c r="D26" s="63"/>
      <c r="E26" s="63"/>
      <c r="F26" s="63"/>
      <c r="G26" s="67" t="n">
        <f aca="false">'Est. Cust. Naci.'!T$7</f>
        <v>4517.05894744</v>
      </c>
    </row>
    <row r="27" s="47" customFormat="true" ht="18" hidden="false" customHeight="true" outlineLevel="0" collapsed="false">
      <c r="B27" s="65" t="s">
        <v>41</v>
      </c>
      <c r="C27" s="66" t="n">
        <v>0.06</v>
      </c>
      <c r="D27" s="63"/>
      <c r="E27" s="63"/>
      <c r="F27" s="63"/>
      <c r="G27" s="67" t="n">
        <f aca="false">'Est. Cust. Naci.'!W$7</f>
        <v>8339.18574912</v>
      </c>
    </row>
    <row r="28" s="47" customFormat="true" ht="18" hidden="false" customHeight="true" outlineLevel="0" collapsed="false">
      <c r="B28" s="59" t="s">
        <v>42</v>
      </c>
      <c r="C28" s="60"/>
      <c r="D28" s="60"/>
      <c r="E28" s="60"/>
      <c r="F28" s="60"/>
      <c r="G28" s="61" t="n">
        <f aca="false">SUM(G23:G27)</f>
        <v>43185.78327392</v>
      </c>
    </row>
    <row r="29" customFormat="false" ht="18" hidden="false" customHeight="true" outlineLevel="0" collapsed="false">
      <c r="A29" s="69"/>
      <c r="B29" s="23" t="s">
        <v>43</v>
      </c>
      <c r="C29" s="23"/>
      <c r="D29" s="23"/>
      <c r="E29" s="23"/>
      <c r="F29" s="23"/>
      <c r="G29" s="23"/>
    </row>
    <row r="30" customFormat="false" ht="18" hidden="false" customHeight="true" outlineLevel="0" collapsed="false">
      <c r="A30" s="69"/>
      <c r="B30" s="70" t="str">
        <f aca="false">'Rateio Custos Fixos'!F10</f>
        <v>TAXA SISCOMEX</v>
      </c>
      <c r="C30" s="71"/>
      <c r="D30" s="71"/>
      <c r="E30" s="71"/>
      <c r="F30" s="71"/>
      <c r="G30" s="72" t="n">
        <f aca="false">'Rateio Custos Fixos'!F11</f>
        <v>350</v>
      </c>
    </row>
    <row r="31" customFormat="false" ht="18" hidden="false" customHeight="true" outlineLevel="0" collapsed="false">
      <c r="A31" s="69" t="s">
        <v>44</v>
      </c>
      <c r="B31" s="70" t="str">
        <f aca="false">'Rateio Custos Fixos'!G10</f>
        <v> B/L</v>
      </c>
      <c r="C31" s="71"/>
      <c r="D31" s="71"/>
      <c r="E31" s="71"/>
      <c r="F31" s="71"/>
      <c r="G31" s="72" t="n">
        <f aca="false">'Rateio Custos Fixos'!G11</f>
        <v>1000</v>
      </c>
    </row>
    <row r="32" customFormat="false" ht="18" hidden="false" customHeight="true" outlineLevel="0" collapsed="false">
      <c r="A32" s="69"/>
      <c r="B32" s="70" t="str">
        <f aca="false">'Rateio Custos Fixos'!H10</f>
        <v>T.H.C|  CAPATAZIA</v>
      </c>
      <c r="C32" s="71"/>
      <c r="D32" s="71"/>
      <c r="E32" s="71"/>
      <c r="F32" s="71"/>
      <c r="G32" s="72" t="n">
        <f aca="false">'Rateio Custos Fixos'!H11</f>
        <v>1500</v>
      </c>
      <c r="H32" s="73"/>
    </row>
    <row r="33" customFormat="false" ht="18" hidden="false" customHeight="true" outlineLevel="0" collapsed="false">
      <c r="A33" s="69"/>
      <c r="B33" s="70" t="str">
        <f aca="false">'Rateio Custos Fixos'!I10</f>
        <v>ISPS</v>
      </c>
      <c r="C33" s="71"/>
      <c r="D33" s="71"/>
      <c r="E33" s="71"/>
      <c r="F33" s="71"/>
      <c r="G33" s="72" t="n">
        <f aca="false">'Rateio Custos Fixos'!I11</f>
        <v>100</v>
      </c>
    </row>
    <row r="34" customFormat="false" ht="18" hidden="false" customHeight="true" outlineLevel="0" collapsed="false">
      <c r="A34" s="69"/>
      <c r="B34" s="70" t="str">
        <f aca="false">'Rateio Custos Fixos'!J10</f>
        <v>DAMAGE PROTECTION</v>
      </c>
      <c r="C34" s="71"/>
      <c r="D34" s="71"/>
      <c r="E34" s="71"/>
      <c r="F34" s="71"/>
      <c r="G34" s="72" t="n">
        <f aca="false">'Rateio Custos Fixos'!J11</f>
        <v>180</v>
      </c>
    </row>
    <row r="35" customFormat="false" ht="18" hidden="false" customHeight="true" outlineLevel="0" collapsed="false">
      <c r="A35" s="69"/>
      <c r="B35" s="70" t="str">
        <f aca="false">'Rateio Custos Fixos'!K10</f>
        <v>DESCONSOLIDAÇÃO</v>
      </c>
      <c r="C35" s="71"/>
      <c r="D35" s="71"/>
      <c r="E35" s="71"/>
      <c r="F35" s="71"/>
      <c r="G35" s="72" t="n">
        <f aca="false">'Rateio Custos Fixos'!K11</f>
        <v>1072.94</v>
      </c>
    </row>
    <row r="36" customFormat="false" ht="18" hidden="false" customHeight="true" outlineLevel="0" collapsed="false">
      <c r="A36" s="69"/>
      <c r="B36" s="70" t="str">
        <f aca="false">'Rateio Custos Fixos'!L10</f>
        <v>SERVIÇO DE ENTREGA DE CONTAINER</v>
      </c>
      <c r="C36" s="71"/>
      <c r="D36" s="71"/>
      <c r="E36" s="71"/>
      <c r="F36" s="71"/>
      <c r="G36" s="72" t="n">
        <f aca="false">'Rateio Custos Fixos'!L11</f>
        <v>1060</v>
      </c>
    </row>
    <row r="37" customFormat="false" ht="18" hidden="false" customHeight="true" outlineLevel="0" collapsed="false">
      <c r="A37" s="69"/>
      <c r="B37" s="70" t="str">
        <f aca="false">'Rateio Custos Fixos'!M10</f>
        <v>TRS</v>
      </c>
      <c r="C37" s="71"/>
      <c r="D37" s="71"/>
      <c r="E37" s="71"/>
      <c r="F37" s="71"/>
      <c r="G37" s="72" t="n">
        <f aca="false">'Rateio Custos Fixos'!M11</f>
        <v>29.8</v>
      </c>
    </row>
    <row r="38" customFormat="false" ht="18" hidden="false" customHeight="true" outlineLevel="0" collapsed="false">
      <c r="A38" s="69"/>
      <c r="B38" s="70" t="str">
        <f aca="false">'Rateio Custos Fixos'!N10</f>
        <v>AFRMM</v>
      </c>
      <c r="C38" s="74" t="n">
        <v>0.08</v>
      </c>
      <c r="D38" s="71"/>
      <c r="E38" s="71"/>
      <c r="F38" s="71"/>
      <c r="G38" s="72" t="n">
        <f aca="false">C38*G19</f>
        <v>2113.84</v>
      </c>
    </row>
    <row r="39" customFormat="false" ht="18" hidden="false" customHeight="true" outlineLevel="0" collapsed="false">
      <c r="A39" s="69"/>
      <c r="B39" s="70" t="str">
        <f aca="false">'Rateio Custos Fixos'!O10</f>
        <v>ARMAZENAGEM </v>
      </c>
      <c r="C39" s="71"/>
      <c r="D39" s="71"/>
      <c r="E39" s="71"/>
      <c r="F39" s="71"/>
      <c r="G39" s="72" t="n">
        <f aca="false">'Rateio Custos Fixos'!O11</f>
        <v>5200</v>
      </c>
      <c r="H39" s="75"/>
    </row>
    <row r="40" customFormat="false" ht="18" hidden="false" customHeight="true" outlineLevel="0" collapsed="false">
      <c r="A40" s="69"/>
      <c r="B40" s="70" t="str">
        <f aca="false">'Rateio Custos Fixos'!P10</f>
        <v> IMPORT LOGISTIC FEE</v>
      </c>
      <c r="D40" s="71"/>
      <c r="E40" s="71"/>
      <c r="F40" s="71"/>
      <c r="G40" s="72" t="n">
        <f aca="false">'Rateio Custos Fixos'!P11</f>
        <v>300</v>
      </c>
    </row>
    <row r="41" customFormat="false" ht="18" hidden="false" customHeight="true" outlineLevel="0" collapsed="false">
      <c r="A41" s="69"/>
      <c r="B41" s="70" t="str">
        <f aca="false">'Rateio Custos Fixos'!Q10</f>
        <v>DROP OFF</v>
      </c>
      <c r="C41" s="71"/>
      <c r="D41" s="71"/>
      <c r="E41" s="71"/>
      <c r="F41" s="71"/>
      <c r="G41" s="72" t="n">
        <f aca="false">'Rateio Custos Fixos'!Q11</f>
        <v>320.33</v>
      </c>
    </row>
    <row r="42" customFormat="false" ht="18" hidden="false" customHeight="true" outlineLevel="0" collapsed="false">
      <c r="A42" s="69"/>
      <c r="B42" s="70" t="str">
        <f aca="false">'Rateio Custos Fixos'!R10</f>
        <v>PESAGEM </v>
      </c>
      <c r="C42" s="71"/>
      <c r="D42" s="71"/>
      <c r="E42" s="71"/>
      <c r="F42" s="71"/>
      <c r="G42" s="72" t="n">
        <f aca="false">'Rateio Custos Fixos'!R11</f>
        <v>117.45</v>
      </c>
    </row>
    <row r="43" customFormat="false" ht="18" hidden="false" customHeight="true" outlineLevel="0" collapsed="false">
      <c r="A43" s="69"/>
      <c r="B43" s="70" t="str">
        <f aca="false">'Rateio Custos Fixos'!S10</f>
        <v>TAXA DO PARCEIRO</v>
      </c>
      <c r="C43" s="71"/>
      <c r="D43" s="71"/>
      <c r="E43" s="71"/>
      <c r="F43" s="71"/>
      <c r="G43" s="72" t="n">
        <f aca="false">'Rateio Custos Fixos'!S11</f>
        <v>286</v>
      </c>
    </row>
    <row r="44" customFormat="false" ht="18" hidden="false" customHeight="true" outlineLevel="0" collapsed="false">
      <c r="A44" s="69"/>
      <c r="B44" s="70" t="str">
        <f aca="false">'Rateio Custos Fixos'!T10</f>
        <v>FRETE RODOVIÁRIO</v>
      </c>
      <c r="C44" s="71"/>
      <c r="D44" s="71"/>
      <c r="E44" s="71"/>
      <c r="F44" s="71"/>
      <c r="G44" s="72" t="n">
        <f aca="false">'Rateio Custos Fixos'!T11</f>
        <v>3180</v>
      </c>
    </row>
    <row r="45" customFormat="false" ht="18" hidden="false" customHeight="true" outlineLevel="0" collapsed="false">
      <c r="A45" s="69"/>
      <c r="B45" s="70" t="str">
        <f aca="false">'Rateio Custos Fixos'!U10</f>
        <v>DESEMBARAÇO ADUANEIRO</v>
      </c>
      <c r="C45" s="71"/>
      <c r="D45" s="71"/>
      <c r="E45" s="71"/>
      <c r="F45" s="71"/>
      <c r="G45" s="72" t="n">
        <f aca="false">'Rateio Custos Fixos'!U11</f>
        <v>1270</v>
      </c>
    </row>
    <row r="46" customFormat="false" ht="18" hidden="false" customHeight="true" outlineLevel="0" collapsed="false">
      <c r="A46" s="69"/>
      <c r="B46" s="59" t="s">
        <v>45</v>
      </c>
      <c r="C46" s="76"/>
      <c r="D46" s="76"/>
      <c r="E46" s="76"/>
      <c r="F46" s="76"/>
      <c r="G46" s="77" t="n">
        <f aca="false">SUM(G30:G45)</f>
        <v>18080.36</v>
      </c>
    </row>
    <row r="47" customFormat="false" ht="18" hidden="false" customHeight="true" outlineLevel="0" collapsed="false">
      <c r="B47" s="78" t="s">
        <v>46</v>
      </c>
      <c r="C47" s="78"/>
      <c r="D47" s="78"/>
      <c r="E47" s="78"/>
      <c r="F47" s="78"/>
      <c r="G47" s="79" t="n">
        <f aca="false">G20+G28+G46</f>
        <v>186253.93927392</v>
      </c>
    </row>
    <row r="48" customFormat="false" ht="18" hidden="false" customHeight="true" outlineLevel="0" collapsed="false">
      <c r="B48" s="80"/>
      <c r="C48" s="81"/>
      <c r="D48" s="81"/>
      <c r="E48" s="81"/>
      <c r="F48" s="82" t="s">
        <v>47</v>
      </c>
      <c r="G48" s="83" t="s">
        <v>48</v>
      </c>
    </row>
    <row r="49" customFormat="false" ht="18" hidden="false" customHeight="true" outlineLevel="0" collapsed="false">
      <c r="B49" s="84" t="str">
        <f aca="false">B15</f>
        <v>ARAME 1,0MM</v>
      </c>
      <c r="C49" s="85"/>
      <c r="D49" s="85"/>
      <c r="E49" s="85"/>
      <c r="F49" s="86" t="n">
        <f aca="false">'Est. Cust. Naci.'!AV6</f>
        <v>7.83897050816162</v>
      </c>
      <c r="G49" s="86" t="n">
        <f aca="false">F49*15</f>
        <v>117.584557622424</v>
      </c>
    </row>
    <row r="50" customFormat="false" ht="18" hidden="true" customHeight="true" outlineLevel="0" collapsed="false">
      <c r="B50" s="84"/>
      <c r="C50" s="85"/>
      <c r="D50" s="85"/>
      <c r="E50" s="85"/>
      <c r="F50" s="87"/>
      <c r="G50" s="88"/>
    </row>
    <row r="51" customFormat="false" ht="18" hidden="true" customHeight="true" outlineLevel="0" collapsed="false">
      <c r="B51" s="84"/>
      <c r="C51" s="85"/>
      <c r="D51" s="85"/>
      <c r="E51" s="85"/>
      <c r="F51" s="87"/>
      <c r="G51" s="88"/>
    </row>
    <row r="52" customFormat="false" ht="18" hidden="true" customHeight="true" outlineLevel="0" collapsed="false">
      <c r="B52" s="84"/>
      <c r="C52" s="85"/>
      <c r="D52" s="85"/>
      <c r="E52" s="85"/>
      <c r="F52" s="87"/>
      <c r="G52" s="88"/>
    </row>
    <row r="53" customFormat="false" ht="18" hidden="false" customHeight="true" outlineLevel="0" collapsed="false">
      <c r="B53" s="89" t="s">
        <v>49</v>
      </c>
      <c r="C53" s="90" t="n">
        <f aca="false">G16</f>
        <v>98564.796</v>
      </c>
      <c r="D53" s="91"/>
      <c r="E53" s="91"/>
      <c r="F53" s="91"/>
      <c r="G53" s="92"/>
    </row>
    <row r="54" customFormat="false" ht="18" hidden="false" customHeight="true" outlineLevel="0" collapsed="false">
      <c r="B54" s="93" t="s">
        <v>50</v>
      </c>
      <c r="C54" s="94" t="n">
        <f aca="false">C55-C53</f>
        <v>87689.14327392</v>
      </c>
      <c r="G54" s="95"/>
    </row>
    <row r="55" customFormat="false" ht="18" hidden="false" customHeight="true" outlineLevel="0" collapsed="false">
      <c r="B55" s="93" t="s">
        <v>51</v>
      </c>
      <c r="C55" s="94" t="n">
        <f aca="false">G47</f>
        <v>186253.93927392</v>
      </c>
      <c r="G55" s="95"/>
    </row>
    <row r="56" customFormat="false" ht="18" hidden="false" customHeight="true" outlineLevel="0" collapsed="false">
      <c r="B56" s="96" t="s">
        <v>52</v>
      </c>
      <c r="C56" s="97" t="n">
        <f aca="false">C54/C53</f>
        <v>0.889659866732946</v>
      </c>
      <c r="D56" s="55"/>
      <c r="E56" s="55"/>
      <c r="F56" s="55"/>
      <c r="G56" s="98"/>
    </row>
    <row r="58" customFormat="false" ht="18" hidden="false" customHeight="true" outlineLevel="0" collapsed="false">
      <c r="B58" s="99"/>
      <c r="C58" s="99"/>
      <c r="D58" s="99"/>
      <c r="E58" s="99"/>
      <c r="F58" s="99"/>
    </row>
    <row r="59" s="2" customFormat="true" ht="18" hidden="false" customHeight="true" outlineLevel="0" collapsed="false">
      <c r="A59" s="1"/>
      <c r="B59" s="75" t="s">
        <v>53</v>
      </c>
      <c r="C59" s="75"/>
      <c r="D59" s="75"/>
      <c r="E59" s="99"/>
      <c r="F59" s="99"/>
      <c r="H59" s="1"/>
      <c r="I59" s="1"/>
      <c r="J59" s="1"/>
      <c r="K59" s="1"/>
      <c r="L59" s="1"/>
      <c r="M59" s="1"/>
      <c r="N59" s="1"/>
      <c r="O59" s="1"/>
      <c r="P59" s="1"/>
    </row>
    <row r="61" customFormat="false" ht="18" hidden="false" customHeight="true" outlineLevel="0" collapsed="false">
      <c r="B61" s="99"/>
      <c r="C61" s="99"/>
      <c r="D61" s="99"/>
      <c r="E61" s="99"/>
      <c r="F61" s="99"/>
    </row>
    <row r="62" s="2" customFormat="true" ht="18" hidden="true" customHeight="true" outlineLevel="0" collapsed="false">
      <c r="A62" s="1"/>
      <c r="B62" s="75" t="s">
        <v>53</v>
      </c>
      <c r="C62" s="75"/>
      <c r="D62" s="75"/>
      <c r="E62" s="99"/>
      <c r="F62" s="99"/>
      <c r="H62" s="1"/>
      <c r="I62" s="1"/>
      <c r="J62" s="1"/>
      <c r="K62" s="1"/>
      <c r="L62" s="1"/>
      <c r="M62" s="1"/>
      <c r="N62" s="1"/>
      <c r="O62" s="1"/>
      <c r="P62" s="1"/>
    </row>
  </sheetData>
  <mergeCells count="6">
    <mergeCell ref="C5:G7"/>
    <mergeCell ref="C9:D9"/>
    <mergeCell ref="B13:G13"/>
    <mergeCell ref="B21:G21"/>
    <mergeCell ref="B29:G29"/>
    <mergeCell ref="B47:F47"/>
  </mergeCells>
  <printOptions headings="false" gridLines="false" gridLinesSet="true" horizontalCentered="false" verticalCentered="false"/>
  <pageMargins left="0.708333333333333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85" zoomScalePageLayoutView="100" workbookViewId="0">
      <selection pane="topLeft" activeCell="H20" activeCellId="0" sqref="H2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00" width="9.33"/>
    <col collapsed="false" customWidth="true" hidden="false" outlineLevel="0" max="2" min="2" style="100" width="19.11"/>
    <col collapsed="false" customWidth="true" hidden="false" outlineLevel="0" max="3" min="3" style="100" width="14"/>
    <col collapsed="false" customWidth="true" hidden="false" outlineLevel="0" max="4" min="4" style="100" width="10.33"/>
    <col collapsed="false" customWidth="true" hidden="false" outlineLevel="0" max="5" min="5" style="100" width="6.44"/>
    <col collapsed="false" customWidth="true" hidden="false" outlineLevel="0" max="7" min="7" style="100" width="5.11"/>
    <col collapsed="false" customWidth="true" hidden="false" outlineLevel="0" max="8" min="8" style="100" width="8"/>
    <col collapsed="false" customWidth="true" hidden="false" outlineLevel="0" max="9" min="9" style="100" width="5.88"/>
    <col collapsed="false" customWidth="true" hidden="false" outlineLevel="0" max="10" min="10" style="100" width="13.11"/>
    <col collapsed="false" customWidth="true" hidden="false" outlineLevel="0" max="11" min="11" style="100" width="14.67"/>
    <col collapsed="false" customWidth="true" hidden="true" outlineLevel="0" max="12" min="12" style="100" width="14.67"/>
    <col collapsed="false" customWidth="true" hidden="false" outlineLevel="0" max="13" min="13" style="100" width="17.33"/>
    <col collapsed="false" customWidth="true" hidden="false" outlineLevel="0" max="14" min="14" style="100" width="17.44"/>
    <col collapsed="false" customWidth="true" hidden="true" outlineLevel="0" max="15" min="15" style="100" width="14.67"/>
    <col collapsed="false" customWidth="true" hidden="false" outlineLevel="0" max="16" min="16" style="100" width="10.56"/>
    <col collapsed="false" customWidth="true" hidden="false" outlineLevel="0" max="17" min="17" style="100" width="12.67"/>
    <col collapsed="false" customWidth="true" hidden="false" outlineLevel="0" max="18" min="18" style="100" width="19.88"/>
    <col collapsed="false" customWidth="true" hidden="false" outlineLevel="0" max="19" min="19" style="47" width="18.67"/>
    <col collapsed="false" customWidth="true" hidden="false" outlineLevel="0" max="22" min="20" style="100" width="16.33"/>
    <col collapsed="false" customWidth="true" hidden="false" outlineLevel="0" max="23" min="23" style="100" width="10.33"/>
    <col collapsed="false" customWidth="true" hidden="false" outlineLevel="0" max="24" min="24" style="100" width="9.11"/>
    <col collapsed="false" customWidth="true" hidden="false" outlineLevel="0" max="25" min="25" style="100" width="16.33"/>
    <col collapsed="false" customWidth="true" hidden="false" outlineLevel="0" max="26" min="26" style="100" width="13.34"/>
    <col collapsed="false" customWidth="true" hidden="false" outlineLevel="0" max="27" min="27" style="100" width="9.11"/>
    <col collapsed="false" customWidth="true" hidden="false" outlineLevel="0" max="28" min="28" style="100" width="11.67"/>
  </cols>
  <sheetData>
    <row r="1" customFormat="false" ht="25.5" hidden="false" customHeight="true" outlineLevel="0" collapsed="false">
      <c r="A1" s="101" t="s">
        <v>54</v>
      </c>
      <c r="X1" s="102"/>
      <c r="Y1" s="102"/>
      <c r="Z1" s="102"/>
      <c r="AA1" s="102"/>
    </row>
    <row r="2" customFormat="false" ht="14.25" hidden="false" customHeight="true" outlineLevel="0" collapsed="false">
      <c r="X2" s="102"/>
      <c r="Y2" s="102"/>
      <c r="Z2" s="102"/>
      <c r="AA2" s="102"/>
    </row>
    <row r="3" customFormat="false" ht="46.5" hidden="false" customHeight="true" outlineLevel="0" collapsed="false">
      <c r="A3" s="103" t="s">
        <v>55</v>
      </c>
      <c r="B3" s="103" t="s">
        <v>0</v>
      </c>
      <c r="C3" s="104" t="s">
        <v>56</v>
      </c>
      <c r="D3" s="103" t="s">
        <v>57</v>
      </c>
      <c r="E3" s="105" t="s">
        <v>58</v>
      </c>
      <c r="F3" s="105" t="s">
        <v>59</v>
      </c>
      <c r="G3" s="105" t="s">
        <v>60</v>
      </c>
      <c r="H3" s="105" t="s">
        <v>61</v>
      </c>
      <c r="I3" s="105" t="s">
        <v>41</v>
      </c>
      <c r="J3" s="104" t="s">
        <v>62</v>
      </c>
      <c r="K3" s="104" t="s">
        <v>63</v>
      </c>
      <c r="L3" s="104" t="s">
        <v>64</v>
      </c>
      <c r="M3" s="104" t="s">
        <v>65</v>
      </c>
      <c r="N3" s="104" t="s">
        <v>65</v>
      </c>
      <c r="O3" s="104" t="s">
        <v>66</v>
      </c>
      <c r="P3" s="104" t="s">
        <v>67</v>
      </c>
      <c r="Q3" s="104" t="s">
        <v>68</v>
      </c>
      <c r="R3" s="106" t="s">
        <v>69</v>
      </c>
      <c r="S3" s="106" t="s">
        <v>70</v>
      </c>
      <c r="T3" s="107"/>
      <c r="U3" s="107"/>
      <c r="V3" s="107"/>
      <c r="W3" s="107"/>
      <c r="X3" s="102"/>
      <c r="Y3" s="102"/>
      <c r="Z3" s="102"/>
      <c r="AA3" s="102"/>
      <c r="AB3" s="108"/>
    </row>
    <row r="4" customFormat="false" ht="15" hidden="false" customHeight="true" outlineLevel="0" collapsed="false">
      <c r="A4" s="103"/>
      <c r="B4" s="103"/>
      <c r="C4" s="104"/>
      <c r="D4" s="103"/>
      <c r="E4" s="105"/>
      <c r="F4" s="105"/>
      <c r="G4" s="105"/>
      <c r="H4" s="105"/>
      <c r="I4" s="105"/>
      <c r="J4" s="104" t="n">
        <f aca="false">SUM(J5)</f>
        <v>23760</v>
      </c>
      <c r="K4" s="109" t="n">
        <f aca="false">SUM(K5)</f>
        <v>0.815</v>
      </c>
      <c r="L4" s="109"/>
      <c r="M4" s="109" t="n">
        <f aca="false">SUM(M5)</f>
        <v>19364.4</v>
      </c>
      <c r="N4" s="110" t="n">
        <f aca="false">F16</f>
        <v>5.09</v>
      </c>
      <c r="O4" s="110"/>
      <c r="P4" s="111" t="n">
        <v>1</v>
      </c>
      <c r="Q4" s="111" t="n">
        <v>1</v>
      </c>
      <c r="R4" s="112"/>
      <c r="S4" s="112"/>
      <c r="T4" s="102"/>
      <c r="U4" s="102"/>
      <c r="V4" s="102"/>
      <c r="W4" s="102"/>
      <c r="X4" s="102"/>
      <c r="Y4" s="102"/>
      <c r="Z4" s="102"/>
      <c r="AA4" s="102"/>
      <c r="AB4" s="113"/>
    </row>
    <row r="5" customFormat="false" ht="75" hidden="false" customHeight="true" outlineLevel="0" collapsed="false">
      <c r="A5" s="114" t="n">
        <v>1</v>
      </c>
      <c r="B5" s="115"/>
      <c r="C5" s="116" t="s">
        <v>71</v>
      </c>
      <c r="D5" s="117" t="s">
        <v>72</v>
      </c>
      <c r="E5" s="118" t="n">
        <v>0.112</v>
      </c>
      <c r="F5" s="118" t="n">
        <v>0.0325</v>
      </c>
      <c r="G5" s="118" t="n">
        <v>0.021</v>
      </c>
      <c r="H5" s="119" t="n">
        <v>0.0965</v>
      </c>
      <c r="I5" s="120" t="n">
        <v>0.06</v>
      </c>
      <c r="J5" s="114" t="n">
        <v>23760</v>
      </c>
      <c r="K5" s="114" t="n">
        <v>0.815</v>
      </c>
      <c r="L5" s="121" t="n">
        <f aca="false">K5/2</f>
        <v>0.4075</v>
      </c>
      <c r="M5" s="121" t="n">
        <f aca="false">K5*J5</f>
        <v>19364.4</v>
      </c>
      <c r="N5" s="122" t="n">
        <f aca="false">M5*$N$4</f>
        <v>98564.796</v>
      </c>
      <c r="O5" s="122" t="n">
        <f aca="false">L5*J5*$N$4</f>
        <v>49282.398</v>
      </c>
      <c r="P5" s="119" t="n">
        <f aca="false">(J5*$P$4)/$J$4</f>
        <v>1</v>
      </c>
      <c r="Q5" s="119" t="n">
        <f aca="false">(K5*$Q$4)/$K$4</f>
        <v>1</v>
      </c>
      <c r="R5" s="122" t="n">
        <f aca="false">'Est. Cust. Naci.'!AV6</f>
        <v>7.83897050816162</v>
      </c>
      <c r="S5" s="122" t="n">
        <f aca="false">'Resumo 100%'!G49</f>
        <v>117.584557622424</v>
      </c>
      <c r="T5" s="17"/>
      <c r="U5" s="17"/>
      <c r="V5" s="17"/>
      <c r="W5" s="17"/>
      <c r="X5" s="102"/>
      <c r="Y5" s="102"/>
      <c r="Z5" s="102"/>
      <c r="AA5" s="102"/>
      <c r="AB5" s="123"/>
    </row>
    <row r="16" customFormat="false" ht="14.25" hidden="false" customHeight="true" outlineLevel="0" collapsed="false">
      <c r="F16" s="124" t="n">
        <f aca="false">5.09</f>
        <v>5.09</v>
      </c>
    </row>
  </sheetData>
  <printOptions headings="false" gridLines="false" gridLinesSet="true" horizontalCentered="false" verticalCentered="false"/>
  <pageMargins left="0.708333333333333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3"/>
  <sheetViews>
    <sheetView showFormulas="false" showGridLines="true" showRowColHeaders="true" showZeros="true" rightToLeft="false" tabSelected="false" showOutlineSymbols="true" defaultGridColor="true" view="pageBreakPreview" topLeftCell="B1" colorId="64" zoomScale="100" zoomScaleNormal="90" zoomScalePageLayoutView="100" workbookViewId="0">
      <selection pane="topLeft" activeCell="N14" activeCellId="0" sqref="N14"/>
    </sheetView>
  </sheetViews>
  <sheetFormatPr defaultColWidth="8.6796875" defaultRowHeight="14.25" customHeight="true" zeroHeight="false" outlineLevelRow="0" outlineLevelCol="0"/>
  <cols>
    <col collapsed="false" customWidth="true" hidden="true" outlineLevel="0" max="1" min="1" style="100" width="9.11"/>
    <col collapsed="false" customWidth="true" hidden="false" outlineLevel="0" max="2" min="2" style="100" width="9.11"/>
    <col collapsed="false" customWidth="true" hidden="false" outlineLevel="0" max="3" min="3" style="100" width="13.56"/>
    <col collapsed="false" customWidth="true" hidden="false" outlineLevel="0" max="6" min="4" style="100" width="8.11"/>
    <col collapsed="false" customWidth="true" hidden="false" outlineLevel="0" max="7" min="7" style="100" width="10.88"/>
    <col collapsed="false" customWidth="true" hidden="false" outlineLevel="0" max="8" min="8" style="100" width="20.33"/>
    <col collapsed="false" customWidth="true" hidden="false" outlineLevel="0" max="9" min="9" style="100" width="9.11"/>
    <col collapsed="false" customWidth="true" hidden="false" outlineLevel="0" max="10" min="10" style="100" width="9.56"/>
    <col collapsed="false" customWidth="true" hidden="false" outlineLevel="0" max="11" min="11" style="100" width="13.34"/>
    <col collapsed="false" customWidth="true" hidden="false" outlineLevel="0" max="12" min="12" style="100" width="17.44"/>
    <col collapsed="false" customWidth="true" hidden="true" outlineLevel="0" max="13" min="13" style="100" width="15.56"/>
    <col collapsed="false" customWidth="true" hidden="false" outlineLevel="0" max="14" min="14" style="100" width="16"/>
    <col collapsed="false" customWidth="true" hidden="false" outlineLevel="0" max="15" min="15" style="100" width="14.33"/>
    <col collapsed="false" customWidth="true" hidden="false" outlineLevel="0" max="16" min="16" style="100" width="16.44"/>
    <col collapsed="false" customWidth="true" hidden="true" outlineLevel="0" max="17" min="17" style="100" width="20.11"/>
    <col collapsed="false" customWidth="true" hidden="false" outlineLevel="0" max="18" min="18" style="100" width="14.33"/>
    <col collapsed="false" customWidth="true" hidden="false" outlineLevel="0" max="19" min="19" style="100" width="16.56"/>
    <col collapsed="false" customWidth="true" hidden="false" outlineLevel="0" max="21" min="20" style="100" width="13.88"/>
    <col collapsed="false" customWidth="true" hidden="false" outlineLevel="0" max="23" min="22" style="100" width="14.56"/>
    <col collapsed="false" customWidth="true" hidden="false" outlineLevel="0" max="24" min="24" style="100" width="19.33"/>
    <col collapsed="false" customWidth="true" hidden="true" outlineLevel="0" max="25" min="25" style="100" width="19.33"/>
    <col collapsed="false" customWidth="true" hidden="false" outlineLevel="0" max="28" min="26" style="100" width="14.56"/>
    <col collapsed="false" customWidth="true" hidden="false" outlineLevel="0" max="29" min="29" style="100" width="13"/>
    <col collapsed="false" customWidth="true" hidden="false" outlineLevel="0" max="30" min="30" style="100" width="14.56"/>
    <col collapsed="false" customWidth="true" hidden="false" outlineLevel="0" max="31" min="31" style="100" width="16.67"/>
    <col collapsed="false" customWidth="true" hidden="false" outlineLevel="0" max="32" min="32" style="100" width="14.56"/>
    <col collapsed="false" customWidth="true" hidden="false" outlineLevel="0" max="33" min="33" style="100" width="13"/>
    <col collapsed="false" customWidth="true" hidden="false" outlineLevel="0" max="34" min="34" style="100" width="12.67"/>
    <col collapsed="false" customWidth="true" hidden="false" outlineLevel="0" max="36" min="36" style="100" width="16.67"/>
    <col collapsed="false" customWidth="true" hidden="false" outlineLevel="0" max="39" min="37" style="100" width="14.56"/>
    <col collapsed="false" customWidth="true" hidden="false" outlineLevel="0" max="41" min="40" style="100" width="16.67"/>
    <col collapsed="false" customWidth="true" hidden="false" outlineLevel="0" max="42" min="42" style="100" width="18.34"/>
    <col collapsed="false" customWidth="true" hidden="false" outlineLevel="0" max="43" min="43" style="100" width="19.67"/>
    <col collapsed="false" customWidth="true" hidden="true" outlineLevel="0" max="47" min="44" style="100" width="19.67"/>
    <col collapsed="false" customWidth="true" hidden="false" outlineLevel="0" max="48" min="48" style="100" width="19.67"/>
    <col collapsed="false" customWidth="true" hidden="true" outlineLevel="0" max="49" min="49" style="100" width="19.67"/>
    <col collapsed="false" customWidth="true" hidden="false" outlineLevel="0" max="50" min="50" style="100" width="19.67"/>
    <col collapsed="false" customWidth="true" hidden="true" outlineLevel="0" max="51" min="51" style="100" width="19.67"/>
    <col collapsed="false" customWidth="true" hidden="false" outlineLevel="0" max="52" min="52" style="100" width="19.67"/>
    <col collapsed="false" customWidth="true" hidden="true" outlineLevel="0" max="53" min="53" style="100" width="14.33"/>
    <col collapsed="false" customWidth="true" hidden="false" outlineLevel="0" max="54" min="54" style="100" width="13.11"/>
  </cols>
  <sheetData>
    <row r="1" customFormat="false" ht="14.25" hidden="false" customHeight="true" outlineLevel="0" collapsed="false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6"/>
      <c r="AR1" s="126"/>
      <c r="AS1" s="126"/>
      <c r="AT1" s="126"/>
      <c r="AU1" s="126"/>
      <c r="AV1" s="126"/>
      <c r="AW1" s="126"/>
      <c r="AX1" s="126"/>
      <c r="AY1" s="126"/>
      <c r="AZ1" s="126"/>
    </row>
    <row r="2" customFormat="false" ht="14.25" hidden="false" customHeight="true" outlineLevel="0" collapsed="false">
      <c r="A2" s="127"/>
      <c r="B2" s="127"/>
      <c r="C2" s="128" t="s">
        <v>73</v>
      </c>
      <c r="D2" s="128"/>
      <c r="E2" s="128"/>
      <c r="F2" s="128"/>
      <c r="G2" s="128"/>
      <c r="H2" s="128"/>
      <c r="I2" s="128"/>
      <c r="J2" s="128"/>
      <c r="K2" s="128"/>
      <c r="L2" s="129" t="s">
        <v>74</v>
      </c>
      <c r="M2" s="129"/>
      <c r="N2" s="129"/>
      <c r="O2" s="129"/>
      <c r="P2" s="129"/>
      <c r="Q2" s="129"/>
      <c r="R2" s="130" t="s">
        <v>34</v>
      </c>
      <c r="S2" s="130"/>
      <c r="T2" s="130"/>
      <c r="U2" s="130"/>
      <c r="V2" s="130"/>
      <c r="W2" s="130"/>
      <c r="X2" s="130"/>
      <c r="Y2" s="130"/>
      <c r="Z2" s="131" t="s">
        <v>75</v>
      </c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2"/>
      <c r="AR2" s="132"/>
      <c r="AS2" s="132"/>
      <c r="AT2" s="132"/>
      <c r="AU2" s="132"/>
      <c r="AV2" s="132"/>
      <c r="AW2" s="132"/>
      <c r="AX2" s="132"/>
      <c r="AY2" s="132"/>
      <c r="AZ2" s="132"/>
    </row>
    <row r="3" customFormat="false" ht="57" hidden="false" customHeight="true" outlineLevel="0" collapsed="false">
      <c r="A3" s="133"/>
      <c r="B3" s="134" t="s">
        <v>76</v>
      </c>
      <c r="C3" s="134" t="s">
        <v>17</v>
      </c>
      <c r="D3" s="135" t="s">
        <v>77</v>
      </c>
      <c r="E3" s="135" t="s">
        <v>78</v>
      </c>
      <c r="F3" s="135" t="s">
        <v>79</v>
      </c>
      <c r="G3" s="134" t="s">
        <v>57</v>
      </c>
      <c r="H3" s="136" t="s">
        <v>80</v>
      </c>
      <c r="I3" s="137" t="s">
        <v>68</v>
      </c>
      <c r="J3" s="138" t="s">
        <v>81</v>
      </c>
      <c r="K3" s="135" t="s">
        <v>82</v>
      </c>
      <c r="L3" s="139" t="s">
        <v>83</v>
      </c>
      <c r="M3" s="139" t="s">
        <v>84</v>
      </c>
      <c r="N3" s="139" t="s">
        <v>85</v>
      </c>
      <c r="O3" s="139" t="s">
        <v>86</v>
      </c>
      <c r="P3" s="139" t="s">
        <v>33</v>
      </c>
      <c r="Q3" s="139" t="s">
        <v>87</v>
      </c>
      <c r="R3" s="140" t="s">
        <v>88</v>
      </c>
      <c r="S3" s="140" t="s">
        <v>89</v>
      </c>
      <c r="T3" s="141" t="s">
        <v>59</v>
      </c>
      <c r="U3" s="141" t="s">
        <v>60</v>
      </c>
      <c r="V3" s="141" t="s">
        <v>61</v>
      </c>
      <c r="W3" s="141" t="s">
        <v>41</v>
      </c>
      <c r="X3" s="140" t="s">
        <v>90</v>
      </c>
      <c r="Y3" s="140" t="s">
        <v>91</v>
      </c>
      <c r="Z3" s="142" t="s">
        <v>92</v>
      </c>
      <c r="AA3" s="142" t="s">
        <v>93</v>
      </c>
      <c r="AB3" s="142" t="s">
        <v>94</v>
      </c>
      <c r="AC3" s="142" t="s">
        <v>95</v>
      </c>
      <c r="AD3" s="142" t="s">
        <v>96</v>
      </c>
      <c r="AE3" s="142" t="s">
        <v>97</v>
      </c>
      <c r="AF3" s="142" t="s">
        <v>98</v>
      </c>
      <c r="AG3" s="142" t="s">
        <v>99</v>
      </c>
      <c r="AH3" s="142" t="s">
        <v>100</v>
      </c>
      <c r="AI3" s="142" t="s">
        <v>101</v>
      </c>
      <c r="AJ3" s="142" t="s">
        <v>102</v>
      </c>
      <c r="AK3" s="142" t="s">
        <v>103</v>
      </c>
      <c r="AL3" s="142" t="s">
        <v>104</v>
      </c>
      <c r="AM3" s="142" t="s">
        <v>105</v>
      </c>
      <c r="AN3" s="142" t="s">
        <v>106</v>
      </c>
      <c r="AO3" s="142" t="s">
        <v>107</v>
      </c>
      <c r="AP3" s="142" t="s">
        <v>108</v>
      </c>
      <c r="AQ3" s="143" t="s">
        <v>51</v>
      </c>
      <c r="AR3" s="143" t="s">
        <v>109</v>
      </c>
      <c r="AS3" s="143" t="s">
        <v>109</v>
      </c>
      <c r="AT3" s="143" t="s">
        <v>110</v>
      </c>
      <c r="AU3" s="143" t="s">
        <v>111</v>
      </c>
      <c r="AV3" s="143" t="s">
        <v>112</v>
      </c>
      <c r="AW3" s="143" t="s">
        <v>113</v>
      </c>
      <c r="AX3" s="143" t="s">
        <v>114</v>
      </c>
      <c r="AY3" s="143" t="s">
        <v>115</v>
      </c>
      <c r="AZ3" s="143"/>
      <c r="BA3" s="143" t="s">
        <v>116</v>
      </c>
      <c r="BB3" s="144"/>
    </row>
    <row r="4" customFormat="false" ht="18" hidden="false" customHeight="true" outlineLevel="0" collapsed="false">
      <c r="A4" s="133" t="s">
        <v>76</v>
      </c>
      <c r="B4" s="133"/>
      <c r="C4" s="145"/>
      <c r="D4" s="145"/>
      <c r="E4" s="145"/>
      <c r="F4" s="145"/>
      <c r="G4" s="145"/>
      <c r="H4" s="146"/>
      <c r="I4" s="147"/>
      <c r="J4" s="148"/>
      <c r="K4" s="149"/>
      <c r="L4" s="150" t="n">
        <f aca="false">N13</f>
        <v>5.09</v>
      </c>
      <c r="M4" s="150" t="n">
        <v>4.8887</v>
      </c>
      <c r="N4" s="151" t="n">
        <v>0</v>
      </c>
      <c r="O4" s="152"/>
      <c r="P4" s="153" t="n">
        <f aca="false">SUM(P6)</f>
        <v>124987.796</v>
      </c>
      <c r="Q4" s="153" t="n">
        <f aca="false">SUM(Q6)</f>
        <v>75705.398</v>
      </c>
      <c r="R4" s="154" t="n">
        <v>0.112</v>
      </c>
      <c r="S4" s="155" t="n">
        <f aca="false">P4+R6</f>
        <v>138986.429152</v>
      </c>
      <c r="T4" s="154" t="n">
        <v>0.0325</v>
      </c>
      <c r="U4" s="154" t="n">
        <v>0.021</v>
      </c>
      <c r="V4" s="156" t="n">
        <v>0.0965</v>
      </c>
      <c r="W4" s="157" t="n">
        <v>0.06</v>
      </c>
      <c r="X4" s="158"/>
      <c r="Y4" s="158"/>
      <c r="Z4" s="159"/>
      <c r="AA4" s="159"/>
      <c r="AB4" s="159"/>
      <c r="AC4" s="159"/>
      <c r="AD4" s="159"/>
      <c r="AE4" s="159"/>
      <c r="AF4" s="159"/>
      <c r="AG4" s="159"/>
      <c r="AH4" s="160" t="n">
        <v>0.08</v>
      </c>
      <c r="AI4" s="161"/>
      <c r="AJ4" s="159"/>
      <c r="AK4" s="159"/>
      <c r="AL4" s="159"/>
      <c r="AM4" s="159"/>
      <c r="AN4" s="159"/>
      <c r="AO4" s="159"/>
      <c r="AP4" s="159"/>
      <c r="AQ4" s="162"/>
      <c r="AR4" s="162"/>
      <c r="AS4" s="162"/>
      <c r="AT4" s="162"/>
      <c r="AU4" s="162"/>
      <c r="AV4" s="162"/>
      <c r="AW4" s="162"/>
      <c r="AX4" s="162"/>
      <c r="AY4" s="162"/>
      <c r="AZ4" s="162"/>
    </row>
    <row r="5" customFormat="false" ht="18" hidden="false" customHeight="true" outlineLevel="0" collapsed="false">
      <c r="A5" s="163" t="s">
        <v>117</v>
      </c>
      <c r="B5" s="163"/>
      <c r="C5" s="164"/>
      <c r="D5" s="164"/>
      <c r="E5" s="164"/>
      <c r="F5" s="164"/>
      <c r="G5" s="164"/>
      <c r="H5" s="165"/>
      <c r="I5" s="166"/>
      <c r="J5" s="167"/>
      <c r="K5" s="168"/>
      <c r="L5" s="169"/>
      <c r="M5" s="169"/>
      <c r="N5" s="170"/>
      <c r="O5" s="171"/>
      <c r="P5" s="172"/>
      <c r="Q5" s="172"/>
      <c r="R5" s="173" t="n">
        <f aca="false">R4</f>
        <v>0.112</v>
      </c>
      <c r="S5" s="173"/>
      <c r="T5" s="173" t="n">
        <f aca="false">T4</f>
        <v>0.0325</v>
      </c>
      <c r="U5" s="173" t="n">
        <f aca="false">U4</f>
        <v>0.021</v>
      </c>
      <c r="V5" s="173" t="n">
        <f aca="false">V4</f>
        <v>0.0965</v>
      </c>
      <c r="W5" s="173" t="n">
        <f aca="false">W4</f>
        <v>0.06</v>
      </c>
      <c r="X5" s="174" t="n">
        <f aca="false">X6</f>
        <v>43185.78327392</v>
      </c>
      <c r="Y5" s="174" t="n">
        <f aca="false">SUM(Y6)</f>
        <v>24377.138156</v>
      </c>
      <c r="Z5" s="162"/>
      <c r="AA5" s="162"/>
      <c r="AB5" s="162"/>
      <c r="AC5" s="162"/>
      <c r="AD5" s="162"/>
      <c r="AE5" s="162"/>
      <c r="AF5" s="162"/>
      <c r="AG5" s="162"/>
      <c r="AH5" s="175"/>
      <c r="AI5" s="176"/>
      <c r="AJ5" s="162"/>
      <c r="AK5" s="162"/>
      <c r="AL5" s="162"/>
      <c r="AM5" s="162"/>
      <c r="AN5" s="162"/>
      <c r="AO5" s="162"/>
      <c r="AP5" s="162" t="n">
        <f aca="false">SUM(AP6)</f>
        <v>18080.36</v>
      </c>
      <c r="AQ5" s="162" t="n">
        <f aca="false">AP5+X5+P4</f>
        <v>186253.93927392</v>
      </c>
      <c r="AR5" s="162" t="n">
        <v>21877.4247962101</v>
      </c>
      <c r="AS5" s="162" t="n">
        <f aca="false">AP5+Y5+Q4</f>
        <v>118162.896156</v>
      </c>
      <c r="AT5" s="162"/>
      <c r="AU5" s="162"/>
      <c r="AV5" s="162"/>
      <c r="AW5" s="162"/>
      <c r="AX5" s="162"/>
      <c r="AY5" s="162"/>
      <c r="AZ5" s="162"/>
    </row>
    <row r="6" customFormat="false" ht="14.25" hidden="false" customHeight="true" outlineLevel="0" collapsed="false">
      <c r="A6" s="100" t="s">
        <v>117</v>
      </c>
      <c r="B6" s="100" t="n">
        <f aca="false">'LISTA DE COMPRAS'!A5</f>
        <v>1</v>
      </c>
      <c r="C6" s="132" t="str">
        <f aca="false">'LISTA DE COMPRAS'!C5</f>
        <v>Arame 1,0mm</v>
      </c>
      <c r="G6" s="177" t="s">
        <v>72</v>
      </c>
      <c r="H6" s="47" t="n">
        <f aca="false">'LISTA DE COMPRAS'!J5</f>
        <v>23760</v>
      </c>
      <c r="I6" s="123" t="n">
        <f aca="false">'LISTA DE COMPRAS'!Q5</f>
        <v>1</v>
      </c>
      <c r="J6" s="178" t="n">
        <f aca="false">'LISTA DE COMPRAS'!K5</f>
        <v>0.815</v>
      </c>
      <c r="K6" s="178" t="n">
        <f aca="false">H6*J6</f>
        <v>19364.4</v>
      </c>
      <c r="L6" s="124" t="n">
        <f aca="false">K6*$L$4</f>
        <v>98564.796</v>
      </c>
      <c r="M6" s="124" t="n">
        <f aca="false">L6*50%</f>
        <v>49282.398</v>
      </c>
      <c r="N6" s="179" t="n">
        <f aca="false">$N$4*I6</f>
        <v>0</v>
      </c>
      <c r="O6" s="124" t="n">
        <f aca="false">'Rateio Custos Fixos'!E12</f>
        <v>26423</v>
      </c>
      <c r="P6" s="124" t="n">
        <f aca="false">SUM(L6,O6)</f>
        <v>124987.796</v>
      </c>
      <c r="Q6" s="124" t="n">
        <f aca="false">M6+O6</f>
        <v>75705.398</v>
      </c>
      <c r="R6" s="124" t="n">
        <f aca="false">$P6*R$5</f>
        <v>13998.633152</v>
      </c>
      <c r="S6" s="124"/>
      <c r="T6" s="124" t="n">
        <f aca="false">$S4*T$4</f>
        <v>4517.05894744</v>
      </c>
      <c r="U6" s="124" t="n">
        <f aca="false">$S4*U$5</f>
        <v>2918.715012192</v>
      </c>
      <c r="V6" s="124" t="n">
        <f aca="false">$S4*V$5</f>
        <v>13412.190413168</v>
      </c>
      <c r="W6" s="124" t="n">
        <f aca="false">$S4*W$5</f>
        <v>8339.18574912</v>
      </c>
      <c r="X6" s="124" t="n">
        <f aca="false">SUM(R6:W6)</f>
        <v>43185.78327392</v>
      </c>
      <c r="Y6" s="124" t="n">
        <f aca="false">SUM(R12:W12)</f>
        <v>24377.138156</v>
      </c>
      <c r="Z6" s="124" t="n">
        <f aca="false">'Rateio Custos Fixos'!F12</f>
        <v>350</v>
      </c>
      <c r="AA6" s="124" t="n">
        <f aca="false">'Rateio Custos Fixos'!G12</f>
        <v>1000</v>
      </c>
      <c r="AB6" s="124" t="n">
        <f aca="false">'Rateio Custos Fixos'!H12</f>
        <v>1500</v>
      </c>
      <c r="AC6" s="124" t="n">
        <f aca="false">'Rateio Custos Fixos'!I12</f>
        <v>100</v>
      </c>
      <c r="AD6" s="124" t="n">
        <f aca="false">'Rateio Custos Fixos'!J12</f>
        <v>180</v>
      </c>
      <c r="AE6" s="124" t="n">
        <f aca="false">'Rateio Custos Fixos'!K12</f>
        <v>1072.94</v>
      </c>
      <c r="AF6" s="124" t="n">
        <f aca="false">'Rateio Custos Fixos'!L12</f>
        <v>1060</v>
      </c>
      <c r="AG6" s="124" t="n">
        <f aca="false">'Rateio Custos Fixos'!M12</f>
        <v>29.8</v>
      </c>
      <c r="AH6" s="124" t="n">
        <f aca="false">'Rateio Custos Fixos'!N12</f>
        <v>2113.84</v>
      </c>
      <c r="AI6" s="124" t="n">
        <f aca="false">'Rateio Custos Fixos'!O12</f>
        <v>5200</v>
      </c>
      <c r="AJ6" s="124" t="n">
        <f aca="false">'Rateio Custos Fixos'!P12</f>
        <v>300</v>
      </c>
      <c r="AK6" s="124" t="n">
        <f aca="false">'Rateio Custos Fixos'!Q12</f>
        <v>320.33</v>
      </c>
      <c r="AL6" s="124" t="n">
        <f aca="false">'Rateio Custos Fixos'!R12</f>
        <v>117.45</v>
      </c>
      <c r="AM6" s="124" t="n">
        <f aca="false">'Rateio Custos Fixos'!S12</f>
        <v>286</v>
      </c>
      <c r="AN6" s="124" t="n">
        <f aca="false">'Rateio Custos Fixos'!T12</f>
        <v>3180</v>
      </c>
      <c r="AO6" s="124" t="n">
        <f aca="false">'Rateio Custos Fixos'!U12</f>
        <v>1270</v>
      </c>
      <c r="AP6" s="124" t="n">
        <f aca="false">SUM(Z6:AO6)</f>
        <v>18080.36</v>
      </c>
      <c r="AQ6" s="124" t="n">
        <f aca="false">AP6+X6+P6</f>
        <v>186253.93927392</v>
      </c>
      <c r="AR6" s="124" t="n">
        <v>2595.31661701474</v>
      </c>
      <c r="AS6" s="124" t="n">
        <f aca="false">AP6+Y6+P6</f>
        <v>167445.294156</v>
      </c>
      <c r="AT6" s="124" t="n">
        <f aca="false">(AQ6/H6)</f>
        <v>7.83897050816162</v>
      </c>
      <c r="AU6" s="124" t="n">
        <f aca="false">AS6/H6</f>
        <v>7.04736086515151</v>
      </c>
      <c r="AV6" s="124" t="n">
        <f aca="false">AQ6/H6</f>
        <v>7.83897050816162</v>
      </c>
      <c r="AW6" s="124" t="n">
        <f aca="false">AS6/H6</f>
        <v>7.04736086515151</v>
      </c>
      <c r="AX6" s="124" t="n">
        <f aca="false">(J6*9)</f>
        <v>7.335</v>
      </c>
      <c r="AY6" s="124" t="n">
        <f aca="false">AX6/2</f>
        <v>3.6675</v>
      </c>
      <c r="AZ6" s="123"/>
      <c r="BA6" s="124" t="n">
        <f aca="false">AQ6/H6</f>
        <v>7.83897050816162</v>
      </c>
      <c r="BC6" s="178"/>
    </row>
    <row r="7" customFormat="false" ht="14.25" hidden="false" customHeight="true" outlineLevel="0" collapsed="false">
      <c r="O7" s="100" t="s">
        <v>118</v>
      </c>
      <c r="R7" s="180" t="n">
        <f aca="false">SUM(R6)</f>
        <v>13998.633152</v>
      </c>
      <c r="S7" s="180"/>
      <c r="T7" s="180" t="n">
        <f aca="false">SUM(T6)</f>
        <v>4517.05894744</v>
      </c>
      <c r="U7" s="180" t="n">
        <f aca="false">SUM(U6)</f>
        <v>2918.715012192</v>
      </c>
      <c r="V7" s="180" t="n">
        <f aca="false">SUM(V6)</f>
        <v>13412.190413168</v>
      </c>
      <c r="W7" s="180" t="n">
        <f aca="false">SUM(W6)</f>
        <v>8339.18574912</v>
      </c>
      <c r="X7" s="180"/>
      <c r="Y7" s="180"/>
      <c r="AQ7" s="124"/>
      <c r="AR7" s="124"/>
      <c r="AS7" s="124"/>
      <c r="AU7" s="123"/>
      <c r="AV7" s="181"/>
      <c r="AW7" s="123"/>
      <c r="AY7" s="123"/>
    </row>
    <row r="8" customFormat="false" ht="14.25" hidden="false" customHeight="true" outlineLevel="0" collapsed="false">
      <c r="AQ8" s="124"/>
      <c r="AR8" s="124"/>
      <c r="AS8" s="124"/>
      <c r="AU8" s="123"/>
      <c r="AW8" s="123"/>
      <c r="AY8" s="123"/>
      <c r="BA8" s="100" t="s">
        <v>119</v>
      </c>
    </row>
    <row r="9" customFormat="false" ht="14.25" hidden="false" customHeight="true" outlineLevel="0" collapsed="false">
      <c r="AQ9" s="124"/>
      <c r="AR9" s="124"/>
      <c r="AS9" s="124"/>
      <c r="AU9" s="123"/>
      <c r="AW9" s="123"/>
      <c r="AY9" s="123"/>
    </row>
    <row r="10" customFormat="false" ht="14.25" hidden="false" customHeight="true" outlineLevel="0" collapsed="false">
      <c r="AQ10" s="124"/>
      <c r="AR10" s="124"/>
      <c r="AS10" s="124"/>
      <c r="AU10" s="123"/>
      <c r="AW10" s="123"/>
      <c r="AY10" s="123"/>
    </row>
    <row r="11" customFormat="false" ht="14.25" hidden="false" customHeight="true" outlineLevel="0" collapsed="false">
      <c r="R11" s="124" t="n">
        <f aca="false">$Q6*R$5</f>
        <v>8479.004576</v>
      </c>
      <c r="S11" s="124"/>
      <c r="T11" s="124" t="n">
        <f aca="false">$Q6*T$5</f>
        <v>2460.425435</v>
      </c>
      <c r="U11" s="124" t="n">
        <f aca="false">$Q6*U$5</f>
        <v>1589.813358</v>
      </c>
      <c r="V11" s="124" t="n">
        <f aca="false">$Q6*V$5</f>
        <v>7305.570907</v>
      </c>
      <c r="W11" s="124" t="n">
        <f aca="false">$Q6*W$5</f>
        <v>4542.32388</v>
      </c>
      <c r="AQ11" s="124"/>
      <c r="AR11" s="124"/>
      <c r="AS11" s="124"/>
      <c r="AU11" s="123"/>
      <c r="AW11" s="123"/>
      <c r="AY11" s="123"/>
    </row>
    <row r="12" customFormat="false" ht="14.25" hidden="false" customHeight="true" outlineLevel="0" collapsed="false">
      <c r="R12" s="124" t="n">
        <f aca="false">$Q6*R$5</f>
        <v>8479.004576</v>
      </c>
      <c r="S12" s="124"/>
      <c r="T12" s="124" t="n">
        <f aca="false">$Q6*T$5</f>
        <v>2460.425435</v>
      </c>
      <c r="U12" s="124" t="n">
        <f aca="false">$Q6*U$5</f>
        <v>1589.813358</v>
      </c>
      <c r="V12" s="124" t="n">
        <f aca="false">$Q6*V$5</f>
        <v>7305.570907</v>
      </c>
      <c r="W12" s="124" t="n">
        <f aca="false">$Q6*W$5</f>
        <v>4542.32388</v>
      </c>
      <c r="AQ12" s="124"/>
      <c r="AR12" s="124"/>
      <c r="AS12" s="124"/>
      <c r="AU12" s="123"/>
      <c r="AW12" s="123"/>
      <c r="AY12" s="123"/>
    </row>
    <row r="13" customFormat="false" ht="14.25" hidden="false" customHeight="true" outlineLevel="0" collapsed="false">
      <c r="N13" s="124" t="n">
        <f aca="false">5.09</f>
        <v>5.09</v>
      </c>
      <c r="AQ13" s="124"/>
      <c r="AR13" s="124"/>
      <c r="AS13" s="124"/>
    </row>
    <row r="14" customFormat="false" ht="14.25" hidden="false" customHeight="true" outlineLevel="0" collapsed="false">
      <c r="O14" s="124" t="n">
        <f aca="false">P4+X5+AP5</f>
        <v>186253.93927392</v>
      </c>
      <c r="AP14" s="100" t="s">
        <v>120</v>
      </c>
      <c r="AQ14" s="124" t="n">
        <f aca="false">SUM(L6)</f>
        <v>98564.796</v>
      </c>
      <c r="AR14" s="124"/>
      <c r="AS14" s="124"/>
    </row>
    <row r="15" customFormat="false" ht="14.25" hidden="false" customHeight="true" outlineLevel="0" collapsed="false">
      <c r="AP15" s="100" t="s">
        <v>121</v>
      </c>
      <c r="AQ15" s="124" t="n">
        <f aca="false">AQ16-AQ14</f>
        <v>87689.14327392</v>
      </c>
    </row>
    <row r="16" customFormat="false" ht="14.25" hidden="false" customHeight="true" outlineLevel="0" collapsed="false">
      <c r="AP16" s="100" t="s">
        <v>122</v>
      </c>
      <c r="AQ16" s="124" t="n">
        <f aca="false">AQ5</f>
        <v>186253.93927392</v>
      </c>
    </row>
    <row r="17" customFormat="false" ht="14.25" hidden="false" customHeight="true" outlineLevel="0" collapsed="false">
      <c r="P17" s="100" t="b">
        <f aca="false">P4='Resumo 100%'!G20</f>
        <v>1</v>
      </c>
      <c r="AP17" s="100" t="s">
        <v>123</v>
      </c>
      <c r="AQ17" s="123" t="n">
        <f aca="false">AQ15/AQ14</f>
        <v>0.889659866732946</v>
      </c>
    </row>
    <row r="18" customFormat="false" ht="14.25" hidden="false" customHeight="true" outlineLevel="0" collapsed="false">
      <c r="P18" s="100" t="b">
        <f aca="false">X5='Resumo 100%'!G28</f>
        <v>1</v>
      </c>
    </row>
    <row r="19" customFormat="false" ht="14.25" hidden="false" customHeight="true" outlineLevel="0" collapsed="false">
      <c r="P19" s="100" t="b">
        <f aca="false">AP5='Resumo 100%'!G46</f>
        <v>1</v>
      </c>
    </row>
    <row r="35" customFormat="false" ht="14.25" hidden="false" customHeight="true" outlineLevel="0" collapsed="false">
      <c r="T35" s="124" t="n">
        <v>13890.63626496</v>
      </c>
      <c r="U35" s="124" t="n">
        <v>4030.7649876</v>
      </c>
      <c r="V35" s="124" t="n">
        <v>2604.49429968</v>
      </c>
      <c r="W35" s="124" t="n">
        <v>11968.27142472</v>
      </c>
      <c r="X35" s="124" t="n">
        <v>7441.4122848</v>
      </c>
      <c r="Z35" s="124" t="n">
        <f aca="false">SUM(T35:Y35)</f>
        <v>39935.57926176</v>
      </c>
    </row>
    <row r="38" customFormat="false" ht="14.25" hidden="false" customHeight="true" outlineLevel="0" collapsed="false">
      <c r="P38" s="113" t="n">
        <v>13890.63626496</v>
      </c>
      <c r="R38" s="100" t="s">
        <v>58</v>
      </c>
      <c r="T38" s="100" t="b">
        <f aca="false">P38=T35</f>
        <v>1</v>
      </c>
    </row>
    <row r="39" customFormat="false" ht="14.25" hidden="false" customHeight="true" outlineLevel="0" collapsed="false">
      <c r="P39" s="113" t="n">
        <v>2604.49429968</v>
      </c>
      <c r="R39" s="100" t="s">
        <v>60</v>
      </c>
      <c r="T39" s="100" t="b">
        <f aca="false">P39=U35</f>
        <v>0</v>
      </c>
    </row>
    <row r="40" customFormat="false" ht="14.25" hidden="false" customHeight="true" outlineLevel="0" collapsed="false">
      <c r="P40" s="113" t="n">
        <v>11968.27142472</v>
      </c>
      <c r="R40" s="100" t="s">
        <v>61</v>
      </c>
      <c r="T40" s="100" t="b">
        <f aca="false">P40=V35</f>
        <v>0</v>
      </c>
    </row>
    <row r="41" customFormat="false" ht="14.25" hidden="false" customHeight="true" outlineLevel="0" collapsed="false">
      <c r="P41" s="113" t="n">
        <v>4092.77675664</v>
      </c>
      <c r="R41" s="100" t="s">
        <v>59</v>
      </c>
      <c r="T41" s="100" t="b">
        <f aca="false">P41=T35</f>
        <v>0</v>
      </c>
    </row>
    <row r="42" customFormat="false" ht="14.25" hidden="false" customHeight="true" outlineLevel="0" collapsed="false">
      <c r="P42" s="113" t="n">
        <v>7441.4122848</v>
      </c>
      <c r="R42" s="100" t="s">
        <v>41</v>
      </c>
      <c r="T42" s="100" t="b">
        <f aca="false">P42=W35</f>
        <v>0</v>
      </c>
    </row>
    <row r="43" customFormat="false" ht="14.25" hidden="false" customHeight="true" outlineLevel="0" collapsed="false">
      <c r="P43" s="113" t="n">
        <f aca="false">SUM(P38:P42)</f>
        <v>39997.5910308</v>
      </c>
    </row>
  </sheetData>
  <autoFilter ref="A4:BA6"/>
  <mergeCells count="4">
    <mergeCell ref="C2:K2"/>
    <mergeCell ref="L2:Q2"/>
    <mergeCell ref="R2:Y2"/>
    <mergeCell ref="Z2:AP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false" showOutlineSymbols="true" defaultGridColor="true" view="pageBreakPreview" topLeftCell="B1" colorId="64" zoomScale="100" zoomScaleNormal="110" zoomScalePageLayoutView="100" workbookViewId="0">
      <selection pane="topLeft" activeCell="B4" activeCellId="0" sqref="B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00" width="10.56"/>
    <col collapsed="false" customWidth="true" hidden="false" outlineLevel="0" max="2" min="2" style="100" width="12.56"/>
    <col collapsed="false" customWidth="true" hidden="false" outlineLevel="0" max="3" min="3" style="100" width="14.33"/>
    <col collapsed="false" customWidth="true" hidden="false" outlineLevel="0" max="4" min="4" style="100" width="9.11"/>
    <col collapsed="false" customWidth="true" hidden="false" outlineLevel="0" max="5" min="5" style="100" width="16.33"/>
    <col collapsed="false" customWidth="true" hidden="false" outlineLevel="0" max="10" min="6" style="100" width="15.66"/>
    <col collapsed="false" customWidth="true" hidden="false" outlineLevel="0" max="11" min="11" style="100" width="19.67"/>
    <col collapsed="false" customWidth="true" hidden="false" outlineLevel="0" max="21" min="12" style="100" width="15.66"/>
    <col collapsed="false" customWidth="true" hidden="false" outlineLevel="0" max="22" min="22" style="100" width="15.44"/>
  </cols>
  <sheetData>
    <row r="1" customFormat="false" ht="14.25" hidden="false" customHeight="true" outlineLevel="0" collapsed="false">
      <c r="A1" s="100" t="s">
        <v>124</v>
      </c>
      <c r="F1" s="100" t="s">
        <v>125</v>
      </c>
      <c r="G1" s="47" t="s">
        <v>27</v>
      </c>
    </row>
    <row r="2" customFormat="false" ht="14.25" hidden="false" customHeight="true" outlineLevel="0" collapsed="false">
      <c r="F2" s="178" t="n">
        <v>4700</v>
      </c>
      <c r="G2" s="124" t="n">
        <f aca="false">F2*B3</f>
        <v>23923</v>
      </c>
    </row>
    <row r="3" customFormat="false" ht="14.25" hidden="false" customHeight="true" outlineLevel="0" collapsed="false">
      <c r="B3" s="124" t="n">
        <f aca="false">5.09</f>
        <v>5.09</v>
      </c>
      <c r="F3" s="124" t="n">
        <v>2500</v>
      </c>
      <c r="G3" s="124" t="n">
        <f aca="false">F3</f>
        <v>2500</v>
      </c>
    </row>
    <row r="4" customFormat="false" ht="14.25" hidden="false" customHeight="true" outlineLevel="0" collapsed="false">
      <c r="B4" s="124"/>
      <c r="F4" s="100" t="s">
        <v>51</v>
      </c>
      <c r="G4" s="124" t="n">
        <f aca="false">SUM(G2:G3)</f>
        <v>26423</v>
      </c>
    </row>
    <row r="5" customFormat="false" ht="14.25" hidden="false" customHeight="true" outlineLevel="0" collapsed="false">
      <c r="G5" s="178" t="n">
        <f aca="false">G4/B3</f>
        <v>5191.15913555992</v>
      </c>
    </row>
    <row r="8" customFormat="false" ht="14.25" hidden="false" customHeight="true" outlineLevel="0" collapsed="false">
      <c r="U8" s="179"/>
    </row>
    <row r="10" s="47" customFormat="true" ht="42.75" hidden="false" customHeight="true" outlineLevel="0" collapsed="false">
      <c r="A10" s="163" t="s">
        <v>56</v>
      </c>
      <c r="B10" s="163" t="s">
        <v>126</v>
      </c>
      <c r="C10" s="163" t="n">
        <f aca="false">'LISTA DE COMPRAS'!Q2</f>
        <v>0</v>
      </c>
      <c r="E10" s="182" t="s">
        <v>125</v>
      </c>
      <c r="F10" s="182" t="s">
        <v>92</v>
      </c>
      <c r="G10" s="182" t="s">
        <v>127</v>
      </c>
      <c r="H10" s="182" t="s">
        <v>94</v>
      </c>
      <c r="I10" s="182" t="s">
        <v>95</v>
      </c>
      <c r="J10" s="182" t="s">
        <v>96</v>
      </c>
      <c r="K10" s="182" t="s">
        <v>97</v>
      </c>
      <c r="L10" s="182" t="s">
        <v>128</v>
      </c>
      <c r="M10" s="182" t="s">
        <v>99</v>
      </c>
      <c r="N10" s="182" t="s">
        <v>100</v>
      </c>
      <c r="O10" s="182" t="s">
        <v>129</v>
      </c>
      <c r="P10" s="182" t="s">
        <v>130</v>
      </c>
      <c r="Q10" s="182" t="s">
        <v>131</v>
      </c>
      <c r="R10" s="182" t="s">
        <v>132</v>
      </c>
      <c r="S10" s="182" t="s">
        <v>133</v>
      </c>
      <c r="T10" s="182" t="s">
        <v>106</v>
      </c>
      <c r="U10" s="182" t="s">
        <v>107</v>
      </c>
    </row>
    <row r="11" customFormat="false" ht="14.25" hidden="false" customHeight="true" outlineLevel="0" collapsed="false">
      <c r="B11" s="100" t="n">
        <f aca="false">SUM(B12)</f>
        <v>23760</v>
      </c>
      <c r="C11" s="123" t="n">
        <f aca="false">SUM(C12)</f>
        <v>1</v>
      </c>
      <c r="E11" s="183" t="n">
        <f aca="false">G4</f>
        <v>26423</v>
      </c>
      <c r="F11" s="183" t="n">
        <v>350</v>
      </c>
      <c r="G11" s="183" t="n">
        <v>1000</v>
      </c>
      <c r="H11" s="183" t="n">
        <v>1500</v>
      </c>
      <c r="I11" s="183" t="n">
        <v>100</v>
      </c>
      <c r="J11" s="183" t="n">
        <v>180</v>
      </c>
      <c r="K11" s="183" t="n">
        <v>1072.94</v>
      </c>
      <c r="L11" s="183" t="n">
        <v>1060</v>
      </c>
      <c r="M11" s="183" t="n">
        <v>29.8</v>
      </c>
      <c r="N11" s="184" t="n">
        <v>0.08</v>
      </c>
      <c r="O11" s="183" t="n">
        <v>5200</v>
      </c>
      <c r="P11" s="183" t="n">
        <v>300</v>
      </c>
      <c r="Q11" s="183" t="n">
        <v>320.33</v>
      </c>
      <c r="R11" s="183" t="n">
        <v>117.45</v>
      </c>
      <c r="S11" s="183" t="n">
        <v>286</v>
      </c>
      <c r="T11" s="183" t="n">
        <v>3180</v>
      </c>
      <c r="U11" s="183" t="n">
        <v>1270</v>
      </c>
      <c r="V11" s="124"/>
    </row>
    <row r="12" customFormat="false" ht="14.25" hidden="false" customHeight="true" outlineLevel="0" collapsed="false">
      <c r="A12" s="47" t="n">
        <f aca="false">'LISTA DE COMPRAS'!A5</f>
        <v>1</v>
      </c>
      <c r="B12" s="47" t="n">
        <f aca="false">'LISTA DE COMPRAS'!J5</f>
        <v>23760</v>
      </c>
      <c r="C12" s="185" t="n">
        <f aca="false">'LISTA DE COMPRAS'!Q5</f>
        <v>1</v>
      </c>
      <c r="E12" s="179" t="n">
        <f aca="false">E$11*$C12</f>
        <v>26423</v>
      </c>
      <c r="F12" s="179" t="n">
        <f aca="false">F$11*$C12</f>
        <v>350</v>
      </c>
      <c r="G12" s="179" t="n">
        <f aca="false">G$11*$C12</f>
        <v>1000</v>
      </c>
      <c r="H12" s="179" t="n">
        <f aca="false">H$11*$C12</f>
        <v>1500</v>
      </c>
      <c r="I12" s="179" t="n">
        <f aca="false">I$11*$C12</f>
        <v>100</v>
      </c>
      <c r="J12" s="179" t="n">
        <f aca="false">J$11*$C12</f>
        <v>180</v>
      </c>
      <c r="K12" s="179" t="n">
        <f aca="false">K$11*$C12</f>
        <v>1072.94</v>
      </c>
      <c r="L12" s="179" t="n">
        <f aca="false">L$11*$C12</f>
        <v>1060</v>
      </c>
      <c r="M12" s="179" t="n">
        <f aca="false">M$11*$C12</f>
        <v>29.8</v>
      </c>
      <c r="N12" s="179" t="n">
        <f aca="false">$N$11*E12</f>
        <v>2113.84</v>
      </c>
      <c r="O12" s="179" t="n">
        <f aca="false">O$11*$C12</f>
        <v>5200</v>
      </c>
      <c r="P12" s="179" t="n">
        <f aca="false">P$11*$C12</f>
        <v>300</v>
      </c>
      <c r="Q12" s="179" t="n">
        <f aca="false">Q$11*$C12</f>
        <v>320.33</v>
      </c>
      <c r="R12" s="179" t="n">
        <f aca="false">R$11*$C12</f>
        <v>117.45</v>
      </c>
      <c r="S12" s="179" t="n">
        <f aca="false">S$11*$C12</f>
        <v>286</v>
      </c>
      <c r="T12" s="179" t="n">
        <f aca="false">T$11*$C12</f>
        <v>3180</v>
      </c>
      <c r="U12" s="179" t="n">
        <f aca="false">U$11*$C12</f>
        <v>1270</v>
      </c>
      <c r="V12" s="124" t="n">
        <f aca="false">SUM(F12:U12)</f>
        <v>18080.36</v>
      </c>
    </row>
    <row r="13" customFormat="false" ht="14.25" hidden="false" customHeight="true" outlineLevel="0" collapsed="false">
      <c r="N13" s="124" t="n">
        <f aca="false">E11*8%</f>
        <v>2113.84</v>
      </c>
    </row>
    <row r="14" customFormat="false" ht="14.25" hidden="false" customHeight="true" outlineLevel="0" collapsed="false">
      <c r="N14" s="100" t="b">
        <f aca="false">N12=N13</f>
        <v>1</v>
      </c>
    </row>
  </sheetData>
  <autoFilter ref="A10:V1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2023-06-07T20:41:43Z</dcterms:created>
  <dc:creator>Leticia Nassif</dc:creator>
  <dc:description/>
  <dc:language>en-US</dc:language>
  <cp:lastModifiedBy>Operacional 1</cp:lastModifiedBy>
  <cp:lastPrinted>2026-07-30T14:52:37Z</cp:lastPrinted>
  <dcterms:modified xsi:type="dcterms:W3CDTF">2026-07-30T14:58:40Z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