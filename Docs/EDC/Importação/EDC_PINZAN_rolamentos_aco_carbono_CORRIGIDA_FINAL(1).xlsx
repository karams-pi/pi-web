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 100%" sheetId="1" state="visible" r:id="rId3"/>
    <sheet name="Lista de Compra" sheetId="2" state="visible" r:id="rId4"/>
    <sheet name="Est. Cust. Naci." sheetId="3" state="visible" r:id="rId5"/>
    <sheet name="Rateio Custos Fixos" sheetId="4" state="visible" r:id="rId6"/>
  </sheets>
  <definedNames>
    <definedName function="false" hidden="false" localSheetId="1" name="_xlnm.Print_Area" vbProcedure="false">'Lista de Compra'!$A$1:$Q$31</definedName>
    <definedName function="false" hidden="false" localSheetId="0" name="_xlnm.Print_Area" vbProcedure="false">'Resumo 100%'!$C$1:$I$56</definedName>
    <definedName function="false" hidden="false" localSheetId="1" name="OLE_LINK4" vbProcedure="false">'lista de compra'!#ref!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R4" authorId="0">
      <text>
        <r>
          <rPr>
            <sz val="10"/>
            <rFont val="Arial"/>
            <family val="2"/>
          </rPr>
          <t xml:space="preserve">Fórmula corrigida para incluir todos os itens até a linha 31.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79</xdr:colOff>
                <xdr:row>0</xdr:row>
                <xdr:rowOff>2</xdr:rowOff>
              </xdr:from>
              <xdr:to>
                <xdr:col>2</xdr:col>
                <xdr:colOff>-55</xdr:colOff>
                <xdr:row>2</xdr:row>
                <xdr:rowOff>43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G6" authorId="0">
      <text>
        <r>
          <rPr>
            <sz val="10"/>
            <rFont val="Arial"/>
            <family val="2"/>
          </rPr>
          <t xml:space="preserve">Fórmula corrigida: soma os valores em reais de G4 e G5. A fórmula anterior somava F4:F5, misturando USD e BRL.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-68</xdr:colOff>
                <xdr:row>4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<sst xmlns="http://schemas.openxmlformats.org/spreadsheetml/2006/main" count="185" uniqueCount="119">
  <si>
    <t xml:space="preserve">Estimativa de Custo</t>
  </si>
  <si>
    <t xml:space="preserve">OPTANTE PELO SIMPLES: NÃO</t>
  </si>
  <si>
    <t xml:space="preserve">FINALIDADE: REVENDA</t>
  </si>
  <si>
    <t xml:space="preserve">CONSIDERAR ICMS 6%</t>
  </si>
  <si>
    <t xml:space="preserve">PRODUTO:ROLAMENTOS </t>
  </si>
  <si>
    <t xml:space="preserve">PORTO DE ORIGEM: QINGDAO</t>
  </si>
  <si>
    <t xml:space="preserve">FRETE: LCL</t>
  </si>
  <si>
    <t xml:space="preserve">PORTO DE DESTINO: PARANAGUÁ</t>
  </si>
  <si>
    <t xml:space="preserve">SIMULAÇÃO 100%</t>
  </si>
  <si>
    <t xml:space="preserve">REFERÊNCIA CÁLCULO BASE </t>
  </si>
  <si>
    <t xml:space="preserve">R$/USD:</t>
  </si>
  <si>
    <t xml:space="preserve">NCM:</t>
  </si>
  <si>
    <t xml:space="preserve">VALORES ADUANEIROS</t>
  </si>
  <si>
    <t xml:space="preserve">DISCRIMINAÇÃO</t>
  </si>
  <si>
    <t xml:space="preserve">PESO BRUTO</t>
  </si>
  <si>
    <t xml:space="preserve">UNIDADE</t>
  </si>
  <si>
    <t xml:space="preserve">PREÇO Uni. USD</t>
  </si>
  <si>
    <t xml:space="preserve">PREÇO TOTAL USD</t>
  </si>
  <si>
    <t xml:space="preserve">R$</t>
  </si>
  <si>
    <t xml:space="preserve">PRODUTOS</t>
  </si>
  <si>
    <t xml:space="preserve">TOTAL FOB</t>
  </si>
  <si>
    <t xml:space="preserve">Seguro</t>
  </si>
  <si>
    <t xml:space="preserve">Frete</t>
  </si>
  <si>
    <t xml:space="preserve">TOTAL VALOR ADUANEIRO</t>
  </si>
  <si>
    <t xml:space="preserve">IMPOSTOS</t>
  </si>
  <si>
    <t xml:space="preserve">VALOR (R$)</t>
  </si>
  <si>
    <t xml:space="preserve">TOTAL DE IMPOSTOS</t>
  </si>
  <si>
    <t xml:space="preserve">TOTAL DESPESAS LOGÍSTICAS E ADUANEIRAS</t>
  </si>
  <si>
    <t xml:space="preserve">TAXA SISCOMEX</t>
  </si>
  <si>
    <t xml:space="preserve">LIBERAÇÃO DE B/L</t>
  </si>
  <si>
    <t xml:space="preserve">T.H.C|CAPATAZIA</t>
  </si>
  <si>
    <t xml:space="preserve">ISPS</t>
  </si>
  <si>
    <t xml:space="preserve">DAMAGE PROTECTION</t>
  </si>
  <si>
    <t xml:space="preserve">DESCONSOLIDAÇÃO</t>
  </si>
  <si>
    <t xml:space="preserve">DEVOLUÇÃO DE CONTAINER</t>
  </si>
  <si>
    <t xml:space="preserve">TRS</t>
  </si>
  <si>
    <t xml:space="preserve">AFRMM</t>
  </si>
  <si>
    <t xml:space="preserve">ARMAZENAGEM TCP</t>
  </si>
  <si>
    <t xml:space="preserve">5 dias de armazenagem</t>
  </si>
  <si>
    <t xml:space="preserve">SCANNER TCP</t>
  </si>
  <si>
    <t xml:space="preserve">HANDLING - TCP</t>
  </si>
  <si>
    <t xml:space="preserve">PESAGEM TCP</t>
  </si>
  <si>
    <t xml:space="preserve">TAXA DO PARCEIRO - PARANAGUÁ</t>
  </si>
  <si>
    <t xml:space="preserve">FRETE RODOVIÁRIO</t>
  </si>
  <si>
    <t xml:space="preserve">DESEMBARAÇO ADUANEIRO</t>
  </si>
  <si>
    <t xml:space="preserve">VALOR ADUANEIRO TOTAL</t>
  </si>
  <si>
    <t xml:space="preserve">TOTAL   (PARTE 1 + PARTE 2 + PARTE 3) ........................................................:</t>
  </si>
  <si>
    <t xml:space="preserve">PREÇO FOB</t>
  </si>
  <si>
    <t xml:space="preserve">DESPESAS</t>
  </si>
  <si>
    <t xml:space="preserve">TOTAL</t>
  </si>
  <si>
    <t xml:space="preserve">% DESPESAS/FOB</t>
  </si>
  <si>
    <t xml:space="preserve">FAVOR NOTAR QUE A ESTIMATIVA DE CUSTOS NÃO CONTEMPLA VALORES DE COMISSÃO, POIS ELES VARIAM CONFORME CONTRATO.</t>
  </si>
  <si>
    <t xml:space="preserve">LISTA DE PRODUTOS</t>
  </si>
  <si>
    <t xml:space="preserve">NOME: PINZAN &amp; SILVA</t>
  </si>
  <si>
    <t xml:space="preserve">REGIME TRIBUTÁRIO: LUCRO PRESUMIDO</t>
  </si>
  <si>
    <t xml:space="preserve">PORTO SAÍDA: QINGDAO</t>
  </si>
  <si>
    <t xml:space="preserve">PRODUTO:  ROLAMENTOS</t>
  </si>
  <si>
    <t xml:space="preserve">PORTO ENTRADA: PARANAGUÁ</t>
  </si>
  <si>
    <t xml:space="preserve">Item</t>
  </si>
  <si>
    <t xml:space="preserve">Produto</t>
  </si>
  <si>
    <t xml:space="preserve">Coluna1</t>
  </si>
  <si>
    <t xml:space="preserve">NCM</t>
  </si>
  <si>
    <t xml:space="preserve">II</t>
  </si>
  <si>
    <t xml:space="preserve">IPI</t>
  </si>
  <si>
    <t xml:space="preserve">PIS</t>
  </si>
  <si>
    <t xml:space="preserve">COFINS</t>
  </si>
  <si>
    <t xml:space="preserve">ICMS</t>
  </si>
  <si>
    <t xml:space="preserve">Quantidade</t>
  </si>
  <si>
    <t xml:space="preserve">Coluna2</t>
  </si>
  <si>
    <t xml:space="preserve">Preço</t>
  </si>
  <si>
    <t xml:space="preserve">Preço Sub</t>
  </si>
  <si>
    <t xml:space="preserve">% Rateio Quantidade</t>
  </si>
  <si>
    <t xml:space="preserve">% Rateio Preço</t>
  </si>
  <si>
    <t xml:space="preserve">Preço R$ nacionalizado</t>
  </si>
  <si>
    <t xml:space="preserve">6201-DDU</t>
  </si>
  <si>
    <t xml:space="preserve">8466.93.50</t>
  </si>
  <si>
    <t xml:space="preserve">6204-DDU</t>
  </si>
  <si>
    <t xml:space="preserve">6205-DDU</t>
  </si>
  <si>
    <t xml:space="preserve">6206-DDU</t>
  </si>
  <si>
    <t xml:space="preserve">6004-DDU</t>
  </si>
  <si>
    <t xml:space="preserve">6001-DDU</t>
  </si>
  <si>
    <t xml:space="preserve">6002-DDU</t>
  </si>
  <si>
    <t xml:space="preserve">6003-DDU</t>
  </si>
  <si>
    <t xml:space="preserve">6005-DDU</t>
  </si>
  <si>
    <t xml:space="preserve">6006-DDU</t>
  </si>
  <si>
    <t xml:space="preserve">6301-DDU</t>
  </si>
  <si>
    <t xml:space="preserve">6302-DDU</t>
  </si>
  <si>
    <t xml:space="preserve">6303-DDU</t>
  </si>
  <si>
    <t xml:space="preserve">6304-DDU</t>
  </si>
  <si>
    <t xml:space="preserve">6305-DDU</t>
  </si>
  <si>
    <t xml:space="preserve">6306-DDU</t>
  </si>
  <si>
    <t xml:space="preserve">608-DDU</t>
  </si>
  <si>
    <t xml:space="preserve">6007-DDU</t>
  </si>
  <si>
    <t xml:space="preserve">6010-DDU</t>
  </si>
  <si>
    <t xml:space="preserve">DETALHES DO PRODUTO</t>
  </si>
  <si>
    <t xml:space="preserve">VALOR ADUANEIRO</t>
  </si>
  <si>
    <t xml:space="preserve">TAXAS PORTUÁRIAS</t>
  </si>
  <si>
    <t xml:space="preserve">ITEM</t>
  </si>
  <si>
    <t xml:space="preserve">QTD</t>
  </si>
  <si>
    <t xml:space="preserve">Participação %</t>
  </si>
  <si>
    <t xml:space="preserve">Preço unitário (USD)</t>
  </si>
  <si>
    <t xml:space="preserve">Preço x QTD (Valor em USD)</t>
  </si>
  <si>
    <t xml:space="preserve">Preço x QTD (valor em BRL)</t>
  </si>
  <si>
    <t xml:space="preserve">THC (valor em BRL)</t>
  </si>
  <si>
    <t xml:space="preserve">Valor do frete (Valor em BRL)</t>
  </si>
  <si>
    <t xml:space="preserve">TOTAL VALOR ADUANEIRO +IMPOSTO DE IMPORTAÇÃO</t>
  </si>
  <si>
    <t xml:space="preserve">IMPOSTO DE IMPORTAÇÃO</t>
  </si>
  <si>
    <t xml:space="preserve">TOTAL IMPOSTOS</t>
  </si>
  <si>
    <t xml:space="preserve">T.H.C|  CAPATAZIA</t>
  </si>
  <si>
    <t xml:space="preserve">TOTAL DESEMBARAÇO ADUANEIRO</t>
  </si>
  <si>
    <t xml:space="preserve">TOTAL AC</t>
  </si>
  <si>
    <t xml:space="preserve">VALOR UNITÁRIO</t>
  </si>
  <si>
    <t xml:space="preserve">Método Dani</t>
  </si>
  <si>
    <t xml:space="preserve">Nº</t>
  </si>
  <si>
    <t xml:space="preserve">Preço FOB</t>
  </si>
  <si>
    <t xml:space="preserve">AAA</t>
  </si>
  <si>
    <t xml:space="preserve">Despesas</t>
  </si>
  <si>
    <t xml:space="preserve">CÂMBIO</t>
  </si>
  <si>
    <t xml:space="preserve">FRETE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</si>
</sst>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_(\$* #,##0.00_);_(\$* \(#,##0.00\);_(\$* \-??_);_(@_)"/>
    <numFmt numFmtId="166" formatCode="0%"/>
    <numFmt numFmtId="167" formatCode="_(* #,##0.00_);_(* \(#,##0.00\);_(* \-??_);_(@_)"/>
    <numFmt numFmtId="168" formatCode="_-[$R$-416]\ * #,##0.00_-;\-[$R$-416]\ * #,##0.00_-;_-[$R$-416]\ * \-??_-;_-@_-"/>
    <numFmt numFmtId="169" formatCode="_([$$-409]* #,##0.00_);_([$$-409]* \(#,##0.00\);_([$$-409]* \-??_);_(@_)"/>
    <numFmt numFmtId="170" formatCode="m/d/yyyy"/>
    <numFmt numFmtId="171" formatCode="&quot;R$ &quot;#,##0.00"/>
    <numFmt numFmtId="172" formatCode="0"/>
    <numFmt numFmtId="173" formatCode="[$USD]\ #,##0.00"/>
    <numFmt numFmtId="174" formatCode="#,##0.00"/>
    <numFmt numFmtId="175" formatCode="[$R$-416]\ #,##0.00;\-[$R$-416]\ #,##0.00"/>
    <numFmt numFmtId="176" formatCode="0.00%"/>
    <numFmt numFmtId="177" formatCode="_-[$USD]\ * #,##0.00_-;\-[$USD]\ * #,##0.00_-;_-[$USD]\ * \-??_-;_-@_-"/>
    <numFmt numFmtId="178" formatCode="_-[$$-409]* #,##0.000_ ;_-[$$-409]* \-#,##0.000\ ;_-[$$-409]* \-??_ ;_-@_ "/>
    <numFmt numFmtId="179" formatCode="_-[$$-409]* #,##0.00_ ;_-[$$-409]* \-#,##0.00\ ;_-[$$-409]* \-??_ ;_-@_ "/>
    <numFmt numFmtId="180" formatCode="0.00"/>
    <numFmt numFmtId="181" formatCode="0.000000%"/>
    <numFmt numFmtId="182" formatCode="@"/>
    <numFmt numFmtId="183" formatCode="0.0%"/>
    <numFmt numFmtId="184" formatCode="0.0000%"/>
    <numFmt numFmtId="185" formatCode="_-[$R$-416]\ * #,##0.0000_-;\-[$R$-416]\ * #,##0.0000_-;_-[$R$-416]\ * \-????_-;_-@_-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  <charset val="1"/>
    </font>
    <font>
      <sz val="14"/>
      <color theme="1"/>
      <name val="Calibri"/>
      <family val="0"/>
      <charset val="1"/>
    </font>
    <font>
      <b val="true"/>
      <sz val="24"/>
      <color theme="1"/>
      <name val="Calibri"/>
      <family val="0"/>
      <charset val="1"/>
    </font>
    <font>
      <b val="true"/>
      <sz val="14"/>
      <color rgb="FFFF0000"/>
      <name val="Calibri"/>
      <family val="0"/>
      <charset val="1"/>
    </font>
    <font>
      <sz val="14"/>
      <name val="Calibri"/>
      <family val="0"/>
      <charset val="1"/>
    </font>
    <font>
      <b val="true"/>
      <sz val="14"/>
      <name val="Calibri"/>
      <family val="0"/>
      <charset val="1"/>
    </font>
    <font>
      <sz val="12"/>
      <color theme="1"/>
      <name val="Calibri"/>
      <family val="0"/>
      <charset val="1"/>
    </font>
    <font>
      <sz val="14"/>
      <color rgb="FFFF0000"/>
      <name val="Calibri"/>
      <family val="0"/>
      <charset val="1"/>
    </font>
    <font>
      <b val="true"/>
      <sz val="14"/>
      <color theme="0"/>
      <name val="Calibri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4"/>
      <color theme="4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22"/>
      <color theme="4"/>
      <name val="Calibri"/>
      <family val="0"/>
      <charset val="1"/>
    </font>
    <font>
      <b val="true"/>
      <sz val="22"/>
      <name val="Calibri"/>
      <family val="0"/>
      <charset val="1"/>
    </font>
    <font>
      <b val="true"/>
      <sz val="22"/>
      <color theme="1"/>
      <name val="Calibri"/>
      <family val="0"/>
      <charset val="1"/>
    </font>
    <font>
      <b val="true"/>
      <sz val="22"/>
      <color theme="0"/>
      <name val="Calibri"/>
      <family val="0"/>
      <charset val="1"/>
    </font>
    <font>
      <sz val="22"/>
      <color theme="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theme="0" tint="-0.05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7998"/>
        <bgColor rgb="FFDAE3F3"/>
      </patternFill>
    </fill>
    <fill>
      <patternFill patternType="solid">
        <fgColor theme="0"/>
        <bgColor rgb="FFF2F2F2"/>
      </patternFill>
    </fill>
    <fill>
      <patternFill patternType="solid">
        <fgColor theme="4" tint="-0.5"/>
        <bgColor rgb="FF333333"/>
      </patternFill>
    </fill>
    <fill>
      <patternFill patternType="solid">
        <fgColor theme="3" tint="0.3997"/>
        <bgColor rgb="FF8FAADC"/>
      </patternFill>
    </fill>
    <fill>
      <patternFill patternType="solid">
        <fgColor theme="4" tint="0.7998"/>
        <bgColor rgb="FFD6DCE5"/>
      </patternFill>
    </fill>
    <fill>
      <patternFill patternType="solid">
        <fgColor theme="4"/>
        <bgColor rgb="FF666699"/>
      </patternFill>
    </fill>
    <fill>
      <patternFill patternType="solid">
        <fgColor theme="5" tint="-0.25"/>
        <bgColor rgb="FF993300"/>
      </patternFill>
    </fill>
    <fill>
      <patternFill patternType="solid">
        <fgColor theme="4" tint="0.3997"/>
        <bgColor rgb="FFADB9CA"/>
      </patternFill>
    </fill>
    <fill>
      <patternFill patternType="solid">
        <fgColor theme="4" tint="0.5997"/>
        <bgColor rgb="FFADB9CA"/>
      </patternFill>
    </fill>
    <fill>
      <patternFill patternType="solid">
        <fgColor theme="3" tint="0.5997"/>
        <bgColor rgb="FFB4C7E7"/>
      </patternFill>
    </fill>
    <fill>
      <patternFill patternType="solid">
        <fgColor theme="5" tint="0.3997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theme="9" tint="0.5997"/>
        <bgColor rgb="FFD6DCE5"/>
      </patternFill>
    </fill>
    <fill>
      <patternFill patternType="solid">
        <fgColor theme="9" tint="0.7998"/>
        <bgColor rgb="FFE7E6E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>
        <color theme="4"/>
      </left>
      <right/>
      <top style="medium">
        <color theme="4"/>
      </top>
      <bottom/>
      <diagonal/>
    </border>
    <border diagonalUp="false" diagonalDown="false">
      <left/>
      <right/>
      <top style="medium">
        <color theme="4"/>
      </top>
      <bottom/>
      <diagonal/>
    </border>
    <border diagonalUp="false" diagonalDown="false">
      <left/>
      <right style="medium">
        <color theme="4"/>
      </right>
      <top style="medium">
        <color theme="4"/>
      </top>
      <bottom/>
      <diagonal/>
    </border>
    <border diagonalUp="false" diagonalDown="false">
      <left style="medium">
        <color theme="4"/>
      </left>
      <right/>
      <top/>
      <bottom/>
      <diagonal/>
    </border>
    <border diagonalUp="false" diagonalDown="false">
      <left/>
      <right style="medium">
        <color theme="4"/>
      </right>
      <top/>
      <bottom/>
      <diagonal/>
    </border>
    <border diagonalUp="false" diagonalDown="false">
      <left style="medium">
        <color theme="4"/>
      </left>
      <right style="thin">
        <color theme="4"/>
      </right>
      <top style="thin">
        <color theme="4"/>
      </top>
      <bottom/>
      <diagonal/>
    </border>
    <border diagonalUp="false" diagonalDown="false">
      <left style="medium">
        <color theme="4"/>
      </left>
      <right style="thin">
        <color theme="4"/>
      </right>
      <top/>
      <bottom/>
      <diagonal/>
    </border>
    <border diagonalUp="false" diagonalDown="false">
      <left style="medium">
        <color theme="4"/>
      </left>
      <right style="thin">
        <color theme="4"/>
      </right>
      <top/>
      <bottom style="thin">
        <color theme="4"/>
      </bottom>
      <diagonal/>
    </border>
    <border diagonalUp="false" diagonalDown="false">
      <left style="medium">
        <color theme="4"/>
      </left>
      <right style="medium">
        <color theme="4"/>
      </right>
      <top/>
      <bottom/>
      <diagonal/>
    </border>
    <border diagonalUp="false" diagonalDown="false">
      <left style="medium">
        <color theme="4"/>
      </left>
      <right/>
      <top/>
      <bottom style="medium">
        <color theme="4"/>
      </bottom>
      <diagonal/>
    </border>
    <border diagonalUp="false" diagonalDown="false">
      <left/>
      <right/>
      <top/>
      <bottom style="medium">
        <color theme="4"/>
      </bottom>
      <diagonal/>
    </border>
    <border diagonalUp="false" diagonalDown="false">
      <left/>
      <right style="medium">
        <color theme="4"/>
      </right>
      <top/>
      <bottom style="medium">
        <color theme="4"/>
      </bottom>
      <diagonal/>
    </border>
    <border diagonalUp="false" diagonalDown="false">
      <left/>
      <right style="thin">
        <color theme="4"/>
      </right>
      <top/>
      <bottom/>
      <diagonal/>
    </border>
    <border diagonalUp="false" diagonalDown="false">
      <left style="thin">
        <color theme="4"/>
      </left>
      <right style="thin">
        <color theme="4"/>
      </right>
      <top/>
      <bottom/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 diagonalUp="false" diagonalDown="false">
      <left/>
      <right style="thin">
        <color rgb="FF0070C0"/>
      </right>
      <top style="medium">
        <color rgb="FF0070C0"/>
      </top>
      <bottom style="thin">
        <color rgb="FF0070C0"/>
      </bottom>
      <diagonal/>
    </border>
    <border diagonalUp="false" diagonalDown="false"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 diagonalUp="false" diagonalDown="false">
      <left/>
      <right style="thin">
        <color rgb="FF0070C0"/>
      </right>
      <top style="thin">
        <color rgb="FF0070C0"/>
      </top>
      <bottom style="thin">
        <color rgb="FF0070C0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 diagonalUp="false" diagonalDown="false"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2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0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6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1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1" fillId="6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21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1" fillId="1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1" fillId="6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1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2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2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4" fillId="1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6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1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1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3" fontId="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6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9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Moeda 2 2" xfId="21"/>
    <cellStyle name="Normal 2" xfId="22"/>
    <cellStyle name="Normal 3" xfId="23"/>
    <cellStyle name="Porcentagem 2" xfId="24"/>
    <cellStyle name="Vírgula 2" xfId="25"/>
  </cellStyles>
  <dxfs count="8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B4C7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FAADC"/>
      <rgbColor rgb="FF993366"/>
      <rgbColor rgb="FFF2F2F2"/>
      <rgbColor rgb="FFDAE3F3"/>
      <rgbColor rgb="FF660066"/>
      <rgbColor rgb="FFFF8080"/>
      <rgbColor rgb="FF0070C0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C5E0B4"/>
      <rgbColor rgb="FFD6DCE5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C55A11"/>
      <rgbColor rgb="FF666699"/>
      <rgbColor rgb="FF8497B0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991800</xdr:colOff>
      <xdr:row>5</xdr:row>
      <xdr:rowOff>181800</xdr:rowOff>
    </xdr:from>
    <xdr:to>
      <xdr:col>2</xdr:col>
      <xdr:colOff>2424240</xdr:colOff>
      <xdr:row>11</xdr:row>
      <xdr:rowOff>128520</xdr:rowOff>
    </xdr:to>
    <xdr:pic>
      <xdr:nvPicPr>
        <xdr:cNvPr id="0" name="/xl/media/image.png" descr=""/>
        <xdr:cNvPicPr/>
      </xdr:nvPicPr>
      <xdr:blipFill>
        <a:blip r:embed="rId1"/>
        <a:stretch/>
      </xdr:blipFill>
      <xdr:spPr>
        <a:xfrm>
          <a:off x="2636280" y="1515240"/>
          <a:ext cx="1432440" cy="1404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1952640</xdr:colOff>
      <xdr:row>51</xdr:row>
      <xdr:rowOff>15840</xdr:rowOff>
    </xdr:from>
    <xdr:to>
      <xdr:col>7</xdr:col>
      <xdr:colOff>2649240</xdr:colOff>
      <xdr:row>54</xdr:row>
      <xdr:rowOff>26640</xdr:rowOff>
    </xdr:to>
    <xdr:pic>
      <xdr:nvPicPr>
        <xdr:cNvPr id="1" name="/xl/media/image2.png" descr=""/>
        <xdr:cNvPicPr/>
      </xdr:nvPicPr>
      <xdr:blipFill>
        <a:blip r:embed="rId2"/>
        <a:stretch/>
      </xdr:blipFill>
      <xdr:spPr>
        <a:xfrm>
          <a:off x="16706880" y="11121840"/>
          <a:ext cx="696600" cy="69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885600</xdr:colOff>
      <xdr:row>4</xdr:row>
      <xdr:rowOff>12240</xdr:rowOff>
    </xdr:from>
    <xdr:to>
      <xdr:col>16</xdr:col>
      <xdr:colOff>1497600</xdr:colOff>
      <xdr:row>5</xdr:row>
      <xdr:rowOff>216720</xdr:rowOff>
    </xdr:to>
    <xdr:pic>
      <xdr:nvPicPr>
        <xdr:cNvPr id="2" name="/xl/media/image3.png" descr=""/>
        <xdr:cNvPicPr/>
      </xdr:nvPicPr>
      <xdr:blipFill>
        <a:blip r:embed="rId1"/>
        <a:stretch/>
      </xdr:blipFill>
      <xdr:spPr>
        <a:xfrm>
          <a:off x="25897680" y="1098000"/>
          <a:ext cx="612000" cy="566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2" displayName="Tabela2" ref="B8:Q29" headerRowCount="1" totalsRowCount="0" totalsRowShown="0">
  <autoFilter ref="B8:Q29"/>
  <tableColumns count="16">
    <tableColumn id="1" name="Item"/>
    <tableColumn id="2" name="Produto"/>
    <tableColumn id="3" name="Coluna1"/>
    <tableColumn id="4" name="NCM"/>
    <tableColumn id="5" name="II"/>
    <tableColumn id="6" name="IPI"/>
    <tableColumn id="7" name="PIS"/>
    <tableColumn id="8" name="COFINS"/>
    <tableColumn id="9" name="ICMS"/>
    <tableColumn id="10" name="Quantidade"/>
    <tableColumn id="11" name="Coluna2"/>
    <tableColumn id="12" name="Preço"/>
    <tableColumn id="13" name="Preço Sub"/>
    <tableColumn id="14" name="% Rateio Quantidade"/>
    <tableColumn id="15" name="% Rateio Preço"/>
    <tableColumn id="16" name="Preço R$ nacionalizado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2:M180"/>
  <sheetViews>
    <sheetView showFormulas="false" showGridLines="false" showRowColHeaders="true" showZeros="true" rightToLeft="false" tabSelected="true" showOutlineSymbols="true" defaultGridColor="true" view="pageBreakPreview" topLeftCell="A32" colorId="64" zoomScale="70" zoomScaleNormal="70" zoomScalePageLayoutView="70" workbookViewId="0">
      <selection pane="topLeft" activeCell="L27" activeCellId="0" sqref="L27"/>
    </sheetView>
  </sheetViews>
  <sheetFormatPr defaultColWidth="8.88671875" defaultRowHeight="18" customHeight="true" zeroHeight="false" outlineLevelRow="0" outlineLevelCol="0"/>
  <cols>
    <col collapsed="false" customWidth="true" hidden="false" outlineLevel="0" max="2" min="1" style="1" width="11.67"/>
    <col collapsed="false" customWidth="true" hidden="false" outlineLevel="0" max="3" min="3" style="2" width="55.11"/>
    <col collapsed="false" customWidth="true" hidden="false" outlineLevel="0" max="4" min="4" style="2" width="31.44"/>
    <col collapsed="false" customWidth="true" hidden="false" outlineLevel="0" max="5" min="5" style="2" width="30.11"/>
    <col collapsed="false" customWidth="true" hidden="false" outlineLevel="0" max="6" min="6" style="2" width="27"/>
    <col collapsed="false" customWidth="true" hidden="false" outlineLevel="0" max="7" min="7" style="2" width="42.34"/>
    <col collapsed="false" customWidth="true" hidden="false" outlineLevel="0" max="8" min="8" style="2" width="40.44"/>
    <col collapsed="false" customWidth="true" hidden="false" outlineLevel="0" max="9" min="9" style="1" width="41"/>
    <col collapsed="false" customWidth="true" hidden="false" outlineLevel="0" max="10" min="10" style="1" width="17.88"/>
    <col collapsed="false" customWidth="true" hidden="false" outlineLevel="0" max="11" min="11" style="1" width="43.33"/>
    <col collapsed="false" customWidth="true" hidden="false" outlineLevel="0" max="12" min="12" style="1" width="14.88"/>
    <col collapsed="false" customWidth="false" hidden="false" outlineLevel="0" max="13" min="13" style="1" width="8.88"/>
    <col collapsed="false" customWidth="true" hidden="false" outlineLevel="0" max="14" min="14" style="1" width="17.88"/>
    <col collapsed="false" customWidth="true" hidden="false" outlineLevel="0" max="15" min="15" style="1" width="18.11"/>
    <col collapsed="false" customWidth="true" hidden="false" outlineLevel="0" max="16" min="16" style="1" width="24.44"/>
    <col collapsed="false" customWidth="true" hidden="false" outlineLevel="0" max="17" min="17" style="1" width="10.88"/>
    <col collapsed="false" customWidth="false" hidden="false" outlineLevel="0" max="16384" min="18" style="1" width="8.88"/>
  </cols>
  <sheetData>
    <row r="2" customFormat="false" ht="20.25" hidden="false" customHeight="true" outlineLevel="0" collapsed="false"/>
    <row r="4" customFormat="false" ht="30.75" hidden="false" customHeight="true" outlineLevel="0" collapsed="false">
      <c r="C4" s="3" t="s">
        <v>0</v>
      </c>
      <c r="D4" s="4"/>
      <c r="E4" s="4"/>
      <c r="F4" s="4"/>
      <c r="G4" s="4"/>
      <c r="H4" s="5"/>
    </row>
    <row r="5" customFormat="false" ht="18" hidden="false" customHeight="true" outlineLevel="0" collapsed="false">
      <c r="C5" s="6"/>
      <c r="H5" s="7"/>
    </row>
    <row r="6" customFormat="false" ht="27.75" hidden="false" customHeight="true" outlineLevel="0" collapsed="false">
      <c r="C6" s="8"/>
      <c r="D6" s="9"/>
      <c r="E6" s="9"/>
      <c r="F6" s="9"/>
      <c r="G6" s="9"/>
      <c r="H6" s="9"/>
      <c r="J6" s="10"/>
      <c r="K6" s="10"/>
      <c r="L6" s="10"/>
    </row>
    <row r="7" customFormat="false" ht="18" hidden="false" customHeight="true" outlineLevel="0" collapsed="false">
      <c r="C7" s="11"/>
      <c r="D7" s="12"/>
      <c r="E7" s="13"/>
      <c r="F7" s="12"/>
      <c r="G7" s="12"/>
      <c r="H7" s="14"/>
      <c r="J7" s="10"/>
      <c r="K7" s="10"/>
      <c r="L7" s="10"/>
    </row>
    <row r="8" customFormat="false" ht="18" hidden="false" customHeight="true" outlineLevel="0" collapsed="false">
      <c r="C8" s="11"/>
      <c r="D8" s="15"/>
      <c r="E8" s="12"/>
      <c r="F8" s="12"/>
      <c r="G8" s="12"/>
      <c r="H8" s="14"/>
      <c r="J8" s="10"/>
      <c r="K8" s="16"/>
      <c r="L8" s="17"/>
    </row>
    <row r="9" customFormat="false" ht="18" hidden="false" customHeight="true" outlineLevel="0" collapsed="false">
      <c r="C9" s="11"/>
      <c r="D9" s="15" t="s">
        <v>1</v>
      </c>
      <c r="E9" s="15"/>
      <c r="F9" s="15" t="s">
        <v>2</v>
      </c>
      <c r="G9" s="15"/>
      <c r="H9" s="18" t="s">
        <v>3</v>
      </c>
      <c r="J9" s="10"/>
      <c r="K9" s="10"/>
      <c r="L9" s="19" t="n">
        <v>5.12</v>
      </c>
      <c r="M9" s="20"/>
    </row>
    <row r="10" customFormat="false" ht="18" hidden="false" customHeight="true" outlineLevel="0" collapsed="false">
      <c r="C10" s="11"/>
      <c r="D10" s="21" t="s">
        <v>4</v>
      </c>
      <c r="E10" s="21"/>
      <c r="F10" s="15" t="s">
        <v>5</v>
      </c>
      <c r="G10" s="15"/>
      <c r="H10" s="22" t="n">
        <f aca="true">TODAY()</f>
        <v>46233</v>
      </c>
      <c r="J10" s="10"/>
      <c r="K10" s="10"/>
      <c r="L10" s="19"/>
    </row>
    <row r="11" customFormat="false" ht="15" hidden="false" customHeight="true" outlineLevel="0" collapsed="false">
      <c r="C11" s="11"/>
      <c r="D11" s="15" t="s">
        <v>6</v>
      </c>
      <c r="E11" s="23"/>
      <c r="F11" s="15" t="s">
        <v>7</v>
      </c>
      <c r="G11" s="15"/>
      <c r="H11" s="18" t="s">
        <v>8</v>
      </c>
      <c r="J11" s="10"/>
      <c r="K11" s="10"/>
      <c r="L11" s="10"/>
    </row>
    <row r="12" customFormat="false" ht="15" hidden="false" customHeight="true" outlineLevel="0" collapsed="false">
      <c r="C12" s="24"/>
      <c r="D12" s="25"/>
      <c r="E12" s="26"/>
      <c r="F12" s="25"/>
      <c r="G12" s="25"/>
      <c r="H12" s="27"/>
      <c r="J12" s="10"/>
      <c r="K12" s="10"/>
      <c r="L12" s="28"/>
    </row>
    <row r="13" customFormat="false" ht="36.75" hidden="false" customHeight="true" outlineLevel="0" collapsed="false">
      <c r="C13" s="29" t="s">
        <v>9</v>
      </c>
      <c r="D13" s="30" t="s">
        <v>10</v>
      </c>
      <c r="E13" s="31" t="n">
        <f aca="false">L9</f>
        <v>5.12</v>
      </c>
      <c r="F13" s="30" t="s">
        <v>11</v>
      </c>
      <c r="G13" s="32"/>
      <c r="H13" s="32"/>
      <c r="J13" s="33"/>
      <c r="K13" s="33"/>
      <c r="L13" s="10"/>
    </row>
    <row r="14" customFormat="false" ht="18" hidden="false" customHeight="true" outlineLevel="0" collapsed="false">
      <c r="C14" s="34" t="s">
        <v>12</v>
      </c>
      <c r="D14" s="34"/>
      <c r="E14" s="34"/>
      <c r="F14" s="34"/>
      <c r="G14" s="34"/>
      <c r="H14" s="34"/>
      <c r="J14" s="35"/>
      <c r="K14" s="35"/>
      <c r="L14" s="35"/>
    </row>
    <row r="15" customFormat="false" ht="18" hidden="false" customHeight="true" outlineLevel="0" collapsed="false">
      <c r="C15" s="36" t="s">
        <v>13</v>
      </c>
      <c r="D15" s="37" t="s">
        <v>14</v>
      </c>
      <c r="E15" s="37" t="s">
        <v>15</v>
      </c>
      <c r="F15" s="37" t="s">
        <v>16</v>
      </c>
      <c r="G15" s="37" t="s">
        <v>17</v>
      </c>
      <c r="H15" s="38" t="s">
        <v>18</v>
      </c>
      <c r="J15" s="10"/>
      <c r="K15" s="10"/>
      <c r="L15" s="10"/>
    </row>
    <row r="16" customFormat="false" ht="14.25" hidden="false" customHeight="true" outlineLevel="0" collapsed="false">
      <c r="C16" s="39" t="s">
        <v>19</v>
      </c>
      <c r="D16" s="37"/>
      <c r="E16" s="40" t="n">
        <f aca="false">'Lista de Compra'!K9</f>
        <v>10000</v>
      </c>
      <c r="F16" s="41"/>
      <c r="G16" s="41" t="n">
        <f aca="false">'Est. Cust. Naci.'!G4</f>
        <v>2579</v>
      </c>
      <c r="H16" s="42" t="n">
        <f aca="false">G16*$E$13</f>
        <v>13204.48</v>
      </c>
      <c r="J16" s="10"/>
      <c r="K16" s="10"/>
      <c r="L16" s="10"/>
    </row>
    <row r="17" customFormat="false" ht="18" hidden="false" customHeight="true" outlineLevel="0" collapsed="false">
      <c r="C17" s="43" t="s">
        <v>20</v>
      </c>
      <c r="D17" s="44"/>
      <c r="E17" s="45"/>
      <c r="F17" s="46"/>
      <c r="G17" s="47"/>
      <c r="H17" s="48" t="n">
        <f aca="false">H16</f>
        <v>13204.48</v>
      </c>
    </row>
    <row r="18" customFormat="false" ht="18" hidden="false" customHeight="true" outlineLevel="0" collapsed="false">
      <c r="C18" s="6" t="s">
        <v>21</v>
      </c>
      <c r="D18" s="49"/>
      <c r="E18" s="50"/>
      <c r="F18" s="51"/>
      <c r="G18" s="41"/>
      <c r="H18" s="52"/>
    </row>
    <row r="19" customFormat="false" ht="18" hidden="false" customHeight="true" outlineLevel="0" collapsed="false">
      <c r="C19" s="6" t="s">
        <v>22</v>
      </c>
      <c r="E19" s="50"/>
      <c r="F19" s="51"/>
      <c r="G19" s="41" t="n">
        <f aca="false">'Rateio Custos Fixos'!G7</f>
        <v>117.3375</v>
      </c>
      <c r="H19" s="52" t="n">
        <f aca="false">'Rateio Custos Fixos'!G6</f>
        <v>600.768</v>
      </c>
    </row>
    <row r="20" customFormat="false" ht="15.75" hidden="false" customHeight="true" outlineLevel="0" collapsed="false">
      <c r="C20" s="53" t="s">
        <v>23</v>
      </c>
      <c r="D20" s="54"/>
      <c r="E20" s="54"/>
      <c r="F20" s="54"/>
      <c r="G20" s="55"/>
      <c r="H20" s="56" t="n">
        <f aca="false">H17+H19</f>
        <v>13805.248</v>
      </c>
    </row>
    <row r="21" customFormat="false" ht="18" hidden="false" customHeight="true" outlineLevel="0" collapsed="false">
      <c r="C21" s="34" t="s">
        <v>24</v>
      </c>
      <c r="D21" s="34"/>
      <c r="E21" s="34"/>
      <c r="F21" s="34"/>
      <c r="G21" s="34"/>
      <c r="H21" s="34"/>
    </row>
    <row r="22" s="57" customFormat="true" ht="15" hidden="false" customHeight="true" outlineLevel="0" collapsed="false">
      <c r="B22" s="1"/>
      <c r="C22" s="58" t="s">
        <v>24</v>
      </c>
      <c r="D22" s="59"/>
      <c r="E22" s="59"/>
      <c r="F22" s="59"/>
      <c r="G22" s="59"/>
      <c r="H22" s="60" t="s">
        <v>25</v>
      </c>
    </row>
    <row r="23" s="57" customFormat="true" ht="18" hidden="false" customHeight="true" outlineLevel="0" collapsed="false">
      <c r="B23" s="1"/>
      <c r="C23" s="61" t="str">
        <f aca="false">'Est. Cust. Naci.'!M3</f>
        <v>IMPOSTO DE IMPORTAÇÃO</v>
      </c>
      <c r="D23" s="62"/>
      <c r="E23" s="59"/>
      <c r="F23" s="59"/>
      <c r="G23" s="59"/>
      <c r="H23" s="63" t="n">
        <f aca="false">'Est. Cust. Naci.'!M4</f>
        <v>1546.187776</v>
      </c>
    </row>
    <row r="24" s="57" customFormat="true" ht="18" hidden="false" customHeight="true" outlineLevel="0" collapsed="false">
      <c r="B24" s="1"/>
      <c r="C24" s="61" t="str">
        <f aca="false">'Est. Cust. Naci.'!N3</f>
        <v>IPI</v>
      </c>
      <c r="D24" s="62"/>
      <c r="E24" s="59"/>
      <c r="F24" s="59"/>
      <c r="G24" s="59"/>
      <c r="H24" s="63" t="n">
        <f aca="false">'Est. Cust. Naci.'!N4</f>
        <v>0</v>
      </c>
    </row>
    <row r="25" s="57" customFormat="true" ht="18" hidden="false" customHeight="true" outlineLevel="0" collapsed="false">
      <c r="B25" s="1"/>
      <c r="C25" s="61" t="str">
        <f aca="false">'Est. Cust. Naci.'!O3</f>
        <v>PIS</v>
      </c>
      <c r="D25" s="62"/>
      <c r="E25" s="59"/>
      <c r="F25" s="59"/>
      <c r="G25" s="59"/>
      <c r="H25" s="63" t="n">
        <f aca="false">'Est. Cust. Naci.'!O4</f>
        <v>322.380151296</v>
      </c>
    </row>
    <row r="26" s="57" customFormat="true" ht="18" hidden="false" customHeight="true" outlineLevel="0" collapsed="false">
      <c r="B26" s="1"/>
      <c r="C26" s="61" t="str">
        <f aca="false">'Est. Cust. Naci.'!P3</f>
        <v>COFINS</v>
      </c>
      <c r="D26" s="62"/>
      <c r="E26" s="59"/>
      <c r="F26" s="59"/>
      <c r="G26" s="59"/>
      <c r="H26" s="63" t="n">
        <f aca="false">'Est. Cust. Naci.'!P4</f>
        <v>1634.927910144</v>
      </c>
    </row>
    <row r="27" s="57" customFormat="true" ht="18" hidden="false" customHeight="true" outlineLevel="0" collapsed="false">
      <c r="B27" s="1"/>
      <c r="C27" s="61" t="str">
        <f aca="false">'Est. Cust. Naci.'!Q3</f>
        <v>ICMS</v>
      </c>
      <c r="D27" s="62"/>
      <c r="E27" s="59"/>
      <c r="F27" s="59"/>
      <c r="G27" s="59"/>
      <c r="H27" s="63" t="n">
        <f aca="false">'Est. Cust. Naci.'!Q4</f>
        <v>921.08614656</v>
      </c>
    </row>
    <row r="28" s="57" customFormat="true" ht="18" hidden="false" customHeight="true" outlineLevel="0" collapsed="false">
      <c r="B28" s="1"/>
      <c r="C28" s="53" t="s">
        <v>26</v>
      </c>
      <c r="D28" s="54"/>
      <c r="E28" s="54"/>
      <c r="F28" s="54"/>
      <c r="G28" s="54"/>
      <c r="H28" s="56" t="n">
        <f aca="false">SUM(H23:H27)</f>
        <v>4424.581984</v>
      </c>
    </row>
    <row r="29" customFormat="false" ht="18" hidden="false" customHeight="true" outlineLevel="0" collapsed="false">
      <c r="C29" s="34" t="s">
        <v>27</v>
      </c>
      <c r="D29" s="34"/>
      <c r="E29" s="34"/>
      <c r="F29" s="34"/>
      <c r="G29" s="34"/>
      <c r="H29" s="34"/>
    </row>
    <row r="30" customFormat="false" ht="18" hidden="false" customHeight="true" outlineLevel="0" collapsed="false">
      <c r="C30" s="64" t="s">
        <v>28</v>
      </c>
      <c r="D30" s="65"/>
      <c r="E30" s="65"/>
      <c r="F30" s="65"/>
      <c r="G30" s="65"/>
      <c r="H30" s="63" t="n">
        <f aca="false">'Rateio Custos Fixos'!F11</f>
        <v>214.5</v>
      </c>
    </row>
    <row r="31" customFormat="false" ht="18" hidden="false" customHeight="true" outlineLevel="0" collapsed="false">
      <c r="C31" s="64" t="s">
        <v>29</v>
      </c>
      <c r="D31" s="65"/>
      <c r="E31" s="65"/>
      <c r="F31" s="65"/>
      <c r="G31" s="65"/>
      <c r="H31" s="63" t="n">
        <f aca="false">'Rateio Custos Fixos'!G11</f>
        <v>10</v>
      </c>
    </row>
    <row r="32" customFormat="false" ht="18" hidden="false" customHeight="true" outlineLevel="0" collapsed="false">
      <c r="C32" s="64" t="s">
        <v>30</v>
      </c>
      <c r="D32" s="65"/>
      <c r="E32" s="65"/>
      <c r="F32" s="65"/>
      <c r="G32" s="65"/>
      <c r="H32" s="63" t="n">
        <f aca="false">'Rateio Custos Fixos'!H11</f>
        <v>990</v>
      </c>
    </row>
    <row r="33" customFormat="false" ht="18" hidden="false" customHeight="true" outlineLevel="0" collapsed="false">
      <c r="C33" s="64" t="s">
        <v>31</v>
      </c>
      <c r="D33" s="65"/>
      <c r="E33" s="65"/>
      <c r="F33" s="65"/>
      <c r="G33" s="65"/>
      <c r="H33" s="63" t="n">
        <f aca="false">'Rateio Custos Fixos'!I11</f>
        <v>48</v>
      </c>
    </row>
    <row r="34" customFormat="false" ht="18" hidden="false" customHeight="true" outlineLevel="0" collapsed="false">
      <c r="C34" s="64" t="s">
        <v>32</v>
      </c>
      <c r="D34" s="65"/>
      <c r="E34" s="65"/>
      <c r="F34" s="65"/>
      <c r="G34" s="65"/>
      <c r="H34" s="63" t="n">
        <f aca="false">'Rateio Custos Fixos'!J11</f>
        <v>122</v>
      </c>
    </row>
    <row r="35" customFormat="false" ht="18" hidden="false" customHeight="true" outlineLevel="0" collapsed="false">
      <c r="C35" s="64" t="s">
        <v>33</v>
      </c>
      <c r="D35" s="65"/>
      <c r="E35" s="65"/>
      <c r="F35" s="65"/>
      <c r="G35" s="65"/>
      <c r="H35" s="63" t="n">
        <f aca="false">'Rateio Custos Fixos'!K11</f>
        <v>10</v>
      </c>
    </row>
    <row r="36" customFormat="false" ht="18" hidden="false" customHeight="true" outlineLevel="0" collapsed="false">
      <c r="C36" s="64" t="s">
        <v>34</v>
      </c>
      <c r="D36" s="65"/>
      <c r="E36" s="65"/>
      <c r="F36" s="65"/>
      <c r="G36" s="65"/>
      <c r="H36" s="63" t="n">
        <f aca="false">'Rateio Custos Fixos'!L11</f>
        <v>774.9</v>
      </c>
    </row>
    <row r="37" customFormat="false" ht="18" hidden="false" customHeight="true" outlineLevel="0" collapsed="false">
      <c r="C37" s="64" t="s">
        <v>35</v>
      </c>
      <c r="D37" s="65"/>
      <c r="E37" s="65"/>
      <c r="F37" s="65"/>
      <c r="G37" s="65"/>
      <c r="H37" s="63" t="n">
        <f aca="false">'Rateio Custos Fixos'!M11</f>
        <v>153.6</v>
      </c>
    </row>
    <row r="38" customFormat="false" ht="18" hidden="false" customHeight="true" outlineLevel="0" collapsed="false">
      <c r="C38" s="64" t="s">
        <v>36</v>
      </c>
      <c r="D38" s="66" t="n">
        <v>0.08</v>
      </c>
      <c r="E38" s="65"/>
      <c r="F38" s="65"/>
      <c r="G38" s="65"/>
      <c r="H38" s="63" t="n">
        <f aca="false">'Rateio Custos Fixos'!E11*'Rateio Custos Fixos'!N11</f>
        <v>48.06144</v>
      </c>
    </row>
    <row r="39" customFormat="false" ht="18" hidden="false" customHeight="true" outlineLevel="0" collapsed="false">
      <c r="C39" s="64" t="s">
        <v>37</v>
      </c>
      <c r="D39" s="65"/>
      <c r="E39" s="65"/>
      <c r="F39" s="65"/>
      <c r="G39" s="65"/>
      <c r="H39" s="63" t="n">
        <f aca="false">'Rateio Custos Fixos'!O11</f>
        <v>0</v>
      </c>
      <c r="I39" s="67" t="s">
        <v>38</v>
      </c>
    </row>
    <row r="40" customFormat="false" ht="18" hidden="false" customHeight="true" outlineLevel="0" collapsed="false">
      <c r="C40" s="64" t="s">
        <v>39</v>
      </c>
      <c r="E40" s="65"/>
      <c r="F40" s="65"/>
      <c r="G40" s="65"/>
      <c r="H40" s="63" t="n">
        <f aca="false">'Rateio Custos Fixos'!P11</f>
        <v>756.95</v>
      </c>
    </row>
    <row r="41" customFormat="false" ht="18" hidden="false" customHeight="true" outlineLevel="0" collapsed="false">
      <c r="C41" s="64" t="s">
        <v>40</v>
      </c>
      <c r="D41" s="65"/>
      <c r="E41" s="65"/>
      <c r="F41" s="65"/>
      <c r="G41" s="65"/>
      <c r="H41" s="63" t="n">
        <f aca="false">'Rateio Custos Fixos'!Q11</f>
        <v>20</v>
      </c>
    </row>
    <row r="42" customFormat="false" ht="18" hidden="false" customHeight="true" outlineLevel="0" collapsed="false">
      <c r="C42" s="64" t="s">
        <v>41</v>
      </c>
      <c r="D42" s="65"/>
      <c r="E42" s="65"/>
      <c r="F42" s="65"/>
      <c r="G42" s="65"/>
      <c r="H42" s="63" t="n">
        <f aca="false">'Rateio Custos Fixos'!R11</f>
        <v>117.45</v>
      </c>
    </row>
    <row r="43" customFormat="false" ht="18" hidden="false" customHeight="true" outlineLevel="0" collapsed="false">
      <c r="C43" s="64" t="s">
        <v>42</v>
      </c>
      <c r="D43" s="65"/>
      <c r="E43" s="65"/>
      <c r="F43" s="65"/>
      <c r="G43" s="65"/>
      <c r="H43" s="63" t="n">
        <f aca="false">'Rateio Custos Fixos'!S11</f>
        <v>286</v>
      </c>
    </row>
    <row r="44" customFormat="false" ht="18" hidden="false" customHeight="true" outlineLevel="0" collapsed="false">
      <c r="C44" s="64" t="s">
        <v>43</v>
      </c>
      <c r="D44" s="65"/>
      <c r="E44" s="65"/>
      <c r="F44" s="65"/>
      <c r="G44" s="65"/>
      <c r="H44" s="63" t="n">
        <f aca="false">'Rateio Custos Fixos'!T11</f>
        <v>3000</v>
      </c>
    </row>
    <row r="45" customFormat="false" ht="18" hidden="false" customHeight="true" outlineLevel="0" collapsed="false">
      <c r="C45" s="64" t="s">
        <v>44</v>
      </c>
      <c r="D45" s="65"/>
      <c r="E45" s="65"/>
      <c r="F45" s="65"/>
      <c r="G45" s="65"/>
      <c r="H45" s="63" t="n">
        <f aca="false">'Rateio Custos Fixos'!U11</f>
        <v>2600</v>
      </c>
    </row>
    <row r="46" customFormat="false" ht="18" hidden="false" customHeight="true" outlineLevel="0" collapsed="false">
      <c r="C46" s="53" t="s">
        <v>45</v>
      </c>
      <c r="D46" s="68"/>
      <c r="E46" s="68"/>
      <c r="F46" s="68"/>
      <c r="G46" s="68"/>
      <c r="H46" s="56" t="n">
        <f aca="false">SUM(H30:H45)</f>
        <v>9151.46144</v>
      </c>
    </row>
    <row r="47" customFormat="false" ht="18" hidden="false" customHeight="true" outlineLevel="0" collapsed="false">
      <c r="C47" s="69" t="s">
        <v>46</v>
      </c>
      <c r="D47" s="69"/>
      <c r="E47" s="69"/>
      <c r="F47" s="69"/>
      <c r="G47" s="69"/>
      <c r="H47" s="70" t="n">
        <f aca="false">H20+H28+H46</f>
        <v>27381.291424</v>
      </c>
    </row>
    <row r="48" customFormat="false" ht="18" hidden="true" customHeight="true" outlineLevel="0" collapsed="false">
      <c r="C48" s="71" t="s">
        <v>47</v>
      </c>
      <c r="D48" s="72" t="n">
        <f aca="false">H17</f>
        <v>13204.48</v>
      </c>
      <c r="H48" s="7"/>
    </row>
    <row r="49" customFormat="false" ht="18" hidden="true" customHeight="true" outlineLevel="0" collapsed="false">
      <c r="C49" s="71" t="s">
        <v>48</v>
      </c>
      <c r="D49" s="72" t="n">
        <f aca="false">D50-D48</f>
        <v>14176.811424</v>
      </c>
      <c r="H49" s="7"/>
    </row>
    <row r="50" customFormat="false" ht="18" hidden="true" customHeight="true" outlineLevel="0" collapsed="false">
      <c r="C50" s="71" t="s">
        <v>49</v>
      </c>
      <c r="D50" s="72" t="n">
        <f aca="false">H47</f>
        <v>27381.291424</v>
      </c>
      <c r="H50" s="7"/>
    </row>
    <row r="51" customFormat="false" ht="18" hidden="true" customHeight="true" outlineLevel="0" collapsed="false">
      <c r="C51" s="73" t="s">
        <v>50</v>
      </c>
      <c r="D51" s="74" t="n">
        <f aca="false">IFERROR(D49/D48,0)</f>
        <v>1.07363647974021</v>
      </c>
      <c r="E51" s="75"/>
      <c r="F51" s="75"/>
      <c r="G51" s="75"/>
      <c r="H51" s="76"/>
    </row>
    <row r="53" customFormat="false" ht="18" hidden="false" customHeight="true" outlineLevel="0" collapsed="false">
      <c r="C53" s="77" t="s">
        <v>51</v>
      </c>
    </row>
    <row r="57" customFormat="false" ht="18" hidden="true" customHeight="true" outlineLevel="0" collapsed="false">
      <c r="C57" s="78"/>
      <c r="E57" s="79"/>
    </row>
    <row r="78" customFormat="false" ht="18" hidden="false" customHeight="true" outlineLevel="0" collapsed="false">
      <c r="B78" s="23"/>
    </row>
    <row r="79" customFormat="false" ht="18" hidden="false" customHeight="true" outlineLevel="0" collapsed="false">
      <c r="B79" s="23"/>
    </row>
    <row r="80" customFormat="false" ht="18" hidden="false" customHeight="true" outlineLevel="0" collapsed="false">
      <c r="B80" s="23"/>
    </row>
    <row r="81" customFormat="false" ht="18" hidden="false" customHeight="true" outlineLevel="0" collapsed="false">
      <c r="B81" s="23"/>
    </row>
    <row r="82" customFormat="false" ht="18" hidden="false" customHeight="true" outlineLevel="0" collapsed="false">
      <c r="B82" s="23"/>
    </row>
    <row r="83" customFormat="false" ht="18" hidden="false" customHeight="true" outlineLevel="0" collapsed="false">
      <c r="B83" s="23"/>
    </row>
    <row r="84" customFormat="false" ht="18" hidden="false" customHeight="true" outlineLevel="0" collapsed="false">
      <c r="B84" s="23"/>
    </row>
    <row r="85" customFormat="false" ht="18" hidden="false" customHeight="true" outlineLevel="0" collapsed="false">
      <c r="B85" s="23"/>
    </row>
    <row r="86" customFormat="false" ht="18" hidden="false" customHeight="true" outlineLevel="0" collapsed="false">
      <c r="B86" s="23"/>
    </row>
    <row r="87" customFormat="false" ht="18" hidden="false" customHeight="true" outlineLevel="0" collapsed="false">
      <c r="B87" s="23"/>
    </row>
    <row r="88" customFormat="false" ht="18" hidden="false" customHeight="true" outlineLevel="0" collapsed="false">
      <c r="B88" s="23"/>
    </row>
    <row r="89" customFormat="false" ht="18" hidden="false" customHeight="true" outlineLevel="0" collapsed="false">
      <c r="B89" s="23"/>
    </row>
    <row r="90" customFormat="false" ht="18" hidden="false" customHeight="true" outlineLevel="0" collapsed="false">
      <c r="B90" s="23"/>
    </row>
    <row r="91" customFormat="false" ht="18" hidden="false" customHeight="true" outlineLevel="0" collapsed="false">
      <c r="B91" s="23"/>
    </row>
    <row r="92" customFormat="false" ht="18" hidden="false" customHeight="true" outlineLevel="0" collapsed="false">
      <c r="B92" s="23"/>
    </row>
    <row r="93" customFormat="false" ht="18" hidden="false" customHeight="true" outlineLevel="0" collapsed="false">
      <c r="B93" s="23"/>
    </row>
    <row r="94" customFormat="false" ht="18" hidden="false" customHeight="true" outlineLevel="0" collapsed="false">
      <c r="B94" s="23"/>
    </row>
    <row r="95" customFormat="false" ht="18" hidden="false" customHeight="true" outlineLevel="0" collapsed="false">
      <c r="B95" s="23"/>
    </row>
    <row r="96" customFormat="false" ht="18" hidden="false" customHeight="true" outlineLevel="0" collapsed="false">
      <c r="B96" s="23"/>
    </row>
    <row r="97" customFormat="false" ht="18" hidden="false" customHeight="true" outlineLevel="0" collapsed="false">
      <c r="B97" s="23"/>
    </row>
    <row r="98" customFormat="false" ht="18" hidden="false" customHeight="true" outlineLevel="0" collapsed="false">
      <c r="B98" s="23"/>
    </row>
    <row r="99" customFormat="false" ht="18" hidden="false" customHeight="true" outlineLevel="0" collapsed="false">
      <c r="B99" s="23"/>
    </row>
    <row r="100" customFormat="false" ht="18" hidden="false" customHeight="true" outlineLevel="0" collapsed="false">
      <c r="B100" s="23"/>
    </row>
    <row r="101" customFormat="false" ht="18" hidden="false" customHeight="true" outlineLevel="0" collapsed="false">
      <c r="B101" s="23"/>
    </row>
    <row r="102" customFormat="false" ht="18" hidden="false" customHeight="true" outlineLevel="0" collapsed="false">
      <c r="B102" s="23"/>
    </row>
    <row r="103" customFormat="false" ht="18" hidden="false" customHeight="true" outlineLevel="0" collapsed="false">
      <c r="B103" s="23"/>
    </row>
    <row r="104" customFormat="false" ht="18" hidden="false" customHeight="true" outlineLevel="0" collapsed="false">
      <c r="B104" s="23"/>
    </row>
    <row r="105" customFormat="false" ht="18" hidden="false" customHeight="true" outlineLevel="0" collapsed="false">
      <c r="B105" s="23"/>
    </row>
    <row r="106" customFormat="false" ht="18" hidden="false" customHeight="true" outlineLevel="0" collapsed="false">
      <c r="B106" s="23"/>
    </row>
    <row r="107" customFormat="false" ht="18" hidden="false" customHeight="true" outlineLevel="0" collapsed="false">
      <c r="B107" s="23"/>
    </row>
    <row r="108" customFormat="false" ht="18" hidden="false" customHeight="true" outlineLevel="0" collapsed="false">
      <c r="B108" s="23"/>
    </row>
    <row r="109" customFormat="false" ht="18" hidden="false" customHeight="true" outlineLevel="0" collapsed="false">
      <c r="B109" s="23"/>
    </row>
    <row r="110" customFormat="false" ht="18" hidden="false" customHeight="true" outlineLevel="0" collapsed="false">
      <c r="B110" s="23"/>
    </row>
    <row r="111" customFormat="false" ht="18" hidden="false" customHeight="true" outlineLevel="0" collapsed="false">
      <c r="B111" s="23"/>
    </row>
    <row r="112" customFormat="false" ht="18" hidden="false" customHeight="true" outlineLevel="0" collapsed="false">
      <c r="B112" s="23"/>
    </row>
    <row r="113" customFormat="false" ht="18" hidden="false" customHeight="true" outlineLevel="0" collapsed="false">
      <c r="B113" s="23"/>
    </row>
    <row r="114" customFormat="false" ht="18" hidden="false" customHeight="true" outlineLevel="0" collapsed="false">
      <c r="B114" s="23"/>
    </row>
    <row r="115" customFormat="false" ht="18" hidden="false" customHeight="true" outlineLevel="0" collapsed="false">
      <c r="B115" s="23"/>
    </row>
    <row r="116" customFormat="false" ht="18" hidden="false" customHeight="true" outlineLevel="0" collapsed="false">
      <c r="B116" s="23"/>
    </row>
    <row r="117" customFormat="false" ht="18" hidden="false" customHeight="true" outlineLevel="0" collapsed="false">
      <c r="B117" s="23"/>
    </row>
    <row r="118" customFormat="false" ht="18" hidden="false" customHeight="true" outlineLevel="0" collapsed="false">
      <c r="B118" s="23"/>
    </row>
    <row r="119" customFormat="false" ht="18" hidden="false" customHeight="true" outlineLevel="0" collapsed="false">
      <c r="B119" s="23"/>
    </row>
    <row r="120" customFormat="false" ht="18" hidden="false" customHeight="true" outlineLevel="0" collapsed="false">
      <c r="B120" s="23"/>
    </row>
    <row r="121" customFormat="false" ht="18" hidden="false" customHeight="true" outlineLevel="0" collapsed="false">
      <c r="B121" s="23"/>
    </row>
    <row r="122" customFormat="false" ht="18" hidden="false" customHeight="true" outlineLevel="0" collapsed="false">
      <c r="B122" s="23"/>
    </row>
    <row r="123" customFormat="false" ht="18" hidden="false" customHeight="true" outlineLevel="0" collapsed="false">
      <c r="B123" s="23"/>
    </row>
    <row r="124" customFormat="false" ht="18" hidden="false" customHeight="true" outlineLevel="0" collapsed="false">
      <c r="B124" s="23"/>
    </row>
    <row r="125" customFormat="false" ht="18" hidden="false" customHeight="true" outlineLevel="0" collapsed="false">
      <c r="B125" s="23"/>
    </row>
    <row r="126" customFormat="false" ht="18" hidden="false" customHeight="true" outlineLevel="0" collapsed="false">
      <c r="B126" s="23"/>
    </row>
    <row r="127" customFormat="false" ht="18" hidden="false" customHeight="true" outlineLevel="0" collapsed="false">
      <c r="B127" s="23"/>
    </row>
    <row r="128" customFormat="false" ht="18" hidden="false" customHeight="true" outlineLevel="0" collapsed="false">
      <c r="B128" s="23"/>
    </row>
    <row r="129" customFormat="false" ht="18" hidden="false" customHeight="true" outlineLevel="0" collapsed="false">
      <c r="B129" s="23"/>
    </row>
    <row r="130" customFormat="false" ht="18" hidden="false" customHeight="true" outlineLevel="0" collapsed="false">
      <c r="B130" s="23"/>
    </row>
    <row r="131" customFormat="false" ht="18" hidden="false" customHeight="true" outlineLevel="0" collapsed="false">
      <c r="B131" s="23"/>
    </row>
    <row r="132" customFormat="false" ht="18" hidden="false" customHeight="true" outlineLevel="0" collapsed="false">
      <c r="B132" s="23"/>
    </row>
    <row r="133" customFormat="false" ht="18" hidden="false" customHeight="true" outlineLevel="0" collapsed="false">
      <c r="B133" s="23"/>
    </row>
    <row r="134" customFormat="false" ht="18" hidden="false" customHeight="true" outlineLevel="0" collapsed="false">
      <c r="B134" s="23"/>
    </row>
    <row r="135" customFormat="false" ht="18" hidden="false" customHeight="true" outlineLevel="0" collapsed="false">
      <c r="B135" s="23"/>
    </row>
    <row r="136" customFormat="false" ht="18" hidden="false" customHeight="true" outlineLevel="0" collapsed="false">
      <c r="B136" s="23"/>
    </row>
    <row r="137" customFormat="false" ht="18" hidden="false" customHeight="true" outlineLevel="0" collapsed="false">
      <c r="B137" s="23"/>
    </row>
    <row r="138" customFormat="false" ht="18" hidden="false" customHeight="true" outlineLevel="0" collapsed="false">
      <c r="B138" s="23"/>
    </row>
    <row r="139" customFormat="false" ht="18" hidden="false" customHeight="true" outlineLevel="0" collapsed="false">
      <c r="B139" s="23"/>
    </row>
    <row r="140" customFormat="false" ht="18" hidden="false" customHeight="true" outlineLevel="0" collapsed="false">
      <c r="B140" s="23"/>
    </row>
    <row r="141" customFormat="false" ht="18" hidden="false" customHeight="true" outlineLevel="0" collapsed="false">
      <c r="B141" s="23"/>
    </row>
    <row r="142" customFormat="false" ht="18" hidden="false" customHeight="true" outlineLevel="0" collapsed="false">
      <c r="B142" s="23"/>
    </row>
    <row r="143" customFormat="false" ht="18" hidden="false" customHeight="true" outlineLevel="0" collapsed="false">
      <c r="B143" s="23"/>
    </row>
    <row r="179" customFormat="false" ht="18" hidden="false" customHeight="true" outlineLevel="0" collapsed="false">
      <c r="M179" s="80"/>
    </row>
    <row r="180" customFormat="false" ht="18" hidden="false" customHeight="true" outlineLevel="0" collapsed="false">
      <c r="M180" s="80"/>
    </row>
  </sheetData>
  <mergeCells count="7">
    <mergeCell ref="D6:H6"/>
    <mergeCell ref="D10:E10"/>
    <mergeCell ref="G13:H13"/>
    <mergeCell ref="C14:H14"/>
    <mergeCell ref="C21:H21"/>
    <mergeCell ref="C29:H29"/>
    <mergeCell ref="C47:G4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Q29"/>
  <sheetViews>
    <sheetView showFormulas="false" showGridLines="false" showRowColHeaders="true" showZeros="true" rightToLeft="false" tabSelected="false" showOutlineSymbols="true" defaultGridColor="true" view="pageBreakPreview" topLeftCell="A6" colorId="64" zoomScale="50" zoomScaleNormal="50" zoomScalePageLayoutView="50" workbookViewId="0">
      <selection pane="topLeft" activeCell="B19" activeCellId="0" sqref="B19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0" width="19.67"/>
    <col collapsed="false" customWidth="true" hidden="false" outlineLevel="0" max="2" min="2" style="0" width="80"/>
    <col collapsed="false" customWidth="true" hidden="true" outlineLevel="0" max="3" min="3" style="81" width="11.67"/>
    <col collapsed="false" customWidth="true" hidden="true" outlineLevel="0" max="4" min="4" style="81" width="22.22"/>
    <col collapsed="false" customWidth="true" hidden="false" outlineLevel="0" max="5" min="5" style="0" width="56.44"/>
    <col collapsed="false" customWidth="true" hidden="false" outlineLevel="0" max="6" min="6" style="0" width="14.11"/>
    <col collapsed="false" customWidth="true" hidden="false" outlineLevel="0" max="8" min="8" style="0" width="18.88"/>
    <col collapsed="false" customWidth="true" hidden="false" outlineLevel="0" max="9" min="9" style="0" width="14.44"/>
    <col collapsed="false" customWidth="true" hidden="false" outlineLevel="0" max="10" min="10" style="0" width="10.44"/>
    <col collapsed="false" customWidth="true" hidden="false" outlineLevel="0" max="11" min="11" style="82" width="32.44"/>
    <col collapsed="false" customWidth="true" hidden="true" outlineLevel="0" max="12" min="12" style="57" width="14.11"/>
    <col collapsed="false" customWidth="true" hidden="false" outlineLevel="0" max="13" min="13" style="83" width="27.11"/>
    <col collapsed="false" customWidth="true" hidden="true" outlineLevel="0" max="14" min="14" style="57" width="18.44"/>
    <col collapsed="false" customWidth="true" hidden="false" outlineLevel="0" max="15" min="15" style="57" width="45.88"/>
    <col collapsed="false" customWidth="true" hidden="false" outlineLevel="0" max="16" min="16" style="57" width="26.33"/>
    <col collapsed="false" customWidth="true" hidden="false" outlineLevel="0" max="17" min="17" style="84" width="28.44"/>
    <col collapsed="false" customWidth="true" hidden="false" outlineLevel="0" max="16384" min="16384" style="0" width="22.11"/>
  </cols>
  <sheetData>
    <row r="3" customFormat="false" ht="28.5" hidden="false" customHeight="true" outlineLevel="0" collapsed="false">
      <c r="B3" s="85" t="s">
        <v>52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customFormat="false" ht="28.5" hidden="false" customHeight="true" outlineLevel="0" collapsed="false">
      <c r="B4" s="86" t="s">
        <v>53</v>
      </c>
      <c r="C4" s="87"/>
      <c r="D4" s="87"/>
      <c r="E4" s="88" t="s">
        <v>2</v>
      </c>
      <c r="F4" s="88"/>
      <c r="G4" s="88"/>
      <c r="H4" s="88"/>
      <c r="I4" s="88"/>
      <c r="J4" s="88"/>
      <c r="K4" s="89"/>
      <c r="L4" s="90"/>
      <c r="M4" s="91"/>
      <c r="N4" s="90"/>
      <c r="O4" s="90"/>
      <c r="P4" s="90"/>
      <c r="Q4" s="92"/>
    </row>
    <row r="5" customFormat="false" ht="28.5" hidden="false" customHeight="true" outlineLevel="0" collapsed="false">
      <c r="B5" s="93"/>
      <c r="C5" s="87"/>
      <c r="D5" s="87"/>
      <c r="E5" s="94" t="s">
        <v>6</v>
      </c>
      <c r="F5" s="88"/>
      <c r="G5" s="88"/>
      <c r="H5" s="88"/>
      <c r="I5" s="88"/>
      <c r="J5" s="88"/>
      <c r="K5" s="89"/>
      <c r="L5" s="90"/>
      <c r="M5" s="91"/>
      <c r="N5" s="90"/>
      <c r="O5" s="90"/>
      <c r="P5" s="90"/>
      <c r="Q5" s="92"/>
    </row>
    <row r="6" customFormat="false" ht="28.5" hidden="false" customHeight="true" outlineLevel="0" collapsed="false">
      <c r="B6" s="95" t="s">
        <v>54</v>
      </c>
      <c r="C6" s="87"/>
      <c r="D6" s="87"/>
      <c r="E6" s="94" t="s">
        <v>55</v>
      </c>
      <c r="F6" s="88"/>
      <c r="G6" s="88"/>
      <c r="H6" s="88"/>
      <c r="I6" s="88"/>
      <c r="J6" s="88"/>
      <c r="K6" s="89"/>
      <c r="L6" s="90"/>
      <c r="M6" s="91"/>
      <c r="N6" s="90"/>
      <c r="O6" s="90"/>
      <c r="P6" s="90"/>
      <c r="Q6" s="92"/>
    </row>
    <row r="7" customFormat="false" ht="57" hidden="false" customHeight="true" outlineLevel="0" collapsed="false">
      <c r="B7" s="96" t="s">
        <v>56</v>
      </c>
      <c r="C7" s="87"/>
      <c r="D7" s="87"/>
      <c r="E7" s="94" t="s">
        <v>57</v>
      </c>
      <c r="F7" s="88"/>
      <c r="G7" s="88"/>
      <c r="H7" s="88"/>
      <c r="I7" s="88"/>
      <c r="J7" s="88"/>
      <c r="K7" s="89"/>
      <c r="L7" s="90"/>
      <c r="M7" s="91"/>
      <c r="N7" s="90"/>
      <c r="O7" s="90"/>
      <c r="P7" s="90"/>
      <c r="Q7" s="92"/>
    </row>
    <row r="8" customFormat="false" ht="57" hidden="false" customHeight="true" outlineLevel="0" collapsed="false">
      <c r="B8" s="97" t="s">
        <v>58</v>
      </c>
      <c r="C8" s="98" t="s">
        <v>59</v>
      </c>
      <c r="D8" s="98" t="s">
        <v>60</v>
      </c>
      <c r="E8" s="99" t="s">
        <v>61</v>
      </c>
      <c r="F8" s="100" t="s">
        <v>62</v>
      </c>
      <c r="G8" s="100" t="s">
        <v>63</v>
      </c>
      <c r="H8" s="100" t="s">
        <v>64</v>
      </c>
      <c r="I8" s="101" t="s">
        <v>65</v>
      </c>
      <c r="J8" s="102" t="s">
        <v>66</v>
      </c>
      <c r="K8" s="103" t="s">
        <v>67</v>
      </c>
      <c r="L8" s="104" t="s">
        <v>68</v>
      </c>
      <c r="M8" s="105" t="s">
        <v>69</v>
      </c>
      <c r="N8" s="104" t="s">
        <v>70</v>
      </c>
      <c r="O8" s="104" t="s">
        <v>71</v>
      </c>
      <c r="P8" s="104" t="s">
        <v>72</v>
      </c>
      <c r="Q8" s="106" t="s">
        <v>73</v>
      </c>
    </row>
    <row r="9" customFormat="false" ht="29.25" hidden="false" customHeight="true" outlineLevel="0" collapsed="false">
      <c r="B9" s="107"/>
      <c r="C9" s="108"/>
      <c r="D9" s="108"/>
      <c r="E9" s="109"/>
      <c r="F9" s="109"/>
      <c r="G9" s="109"/>
      <c r="H9" s="109"/>
      <c r="I9" s="109"/>
      <c r="J9" s="109"/>
      <c r="K9" s="110" t="n">
        <f aca="false">SUM(K10:K29)</f>
        <v>10000</v>
      </c>
      <c r="L9" s="111"/>
      <c r="M9" s="112" t="n">
        <f aca="false">SUMPRODUCT(K10:K29,M10:M29)</f>
        <v>2579</v>
      </c>
      <c r="N9" s="113" t="n">
        <v>0.5</v>
      </c>
      <c r="O9" s="114" t="n">
        <f aca="false">SUM(O10:O29)</f>
        <v>1</v>
      </c>
      <c r="P9" s="114" t="n">
        <f aca="false">SUM(P10:P29)</f>
        <v>1</v>
      </c>
      <c r="Q9" s="115"/>
    </row>
    <row r="10" customFormat="false" ht="29.25" hidden="false" customHeight="true" outlineLevel="0" collapsed="false">
      <c r="B10" s="116" t="s">
        <v>74</v>
      </c>
      <c r="C10" s="117"/>
      <c r="D10" s="118"/>
      <c r="E10" s="119" t="s">
        <v>75</v>
      </c>
      <c r="F10" s="120" t="n">
        <v>0.112</v>
      </c>
      <c r="G10" s="120" t="n">
        <v>0</v>
      </c>
      <c r="H10" s="121" t="n">
        <v>0.021</v>
      </c>
      <c r="I10" s="121" t="n">
        <v>0.1065</v>
      </c>
      <c r="J10" s="120" t="n">
        <v>0.06</v>
      </c>
      <c r="K10" s="122" t="n">
        <v>500</v>
      </c>
      <c r="L10" s="123"/>
      <c r="M10" s="124" t="n">
        <v>0.101</v>
      </c>
      <c r="N10" s="125" t="n">
        <f aca="false">M10-(M10*$N$9)</f>
        <v>0.0505</v>
      </c>
      <c r="O10" s="126" t="n">
        <f aca="false">IFERROR(K10/$K$9,0)</f>
        <v>0.05</v>
      </c>
      <c r="P10" s="126" t="n">
        <f aca="false">IFERROR((K10*M10)/$M$9,0)</f>
        <v>0.0195812330360605</v>
      </c>
      <c r="Q10" s="127" t="n">
        <f aca="false">'Est. Cust. Naci.'!AL11</f>
        <v>1.07231889640326</v>
      </c>
    </row>
    <row r="11" customFormat="false" ht="29.25" hidden="false" customHeight="true" outlineLevel="0" collapsed="false">
      <c r="B11" s="116" t="s">
        <v>76</v>
      </c>
      <c r="C11" s="128"/>
      <c r="D11" s="129"/>
      <c r="E11" s="116" t="s">
        <v>75</v>
      </c>
      <c r="F11" s="130" t="n">
        <v>0.112</v>
      </c>
      <c r="G11" s="130" t="n">
        <v>0</v>
      </c>
      <c r="H11" s="123" t="n">
        <v>0.021</v>
      </c>
      <c r="I11" s="123" t="n">
        <v>0.1065</v>
      </c>
      <c r="J11" s="130" t="n">
        <v>0.06</v>
      </c>
      <c r="K11" s="122" t="n">
        <v>500</v>
      </c>
      <c r="L11" s="123"/>
      <c r="M11" s="124" t="n">
        <v>0.166</v>
      </c>
      <c r="N11" s="131" t="n">
        <f aca="false">M11-(M11*$N$9)</f>
        <v>0.083</v>
      </c>
      <c r="O11" s="126" t="n">
        <f aca="false">IFERROR(K11/$K$9,0)</f>
        <v>0.05</v>
      </c>
      <c r="P11" s="126" t="n">
        <f aca="false">IFERROR((K11*M11)/$M$9,0)</f>
        <v>0.0321830166731291</v>
      </c>
      <c r="Q11" s="127" t="n">
        <f aca="false">'Est. Cust. Naci.'!AL12</f>
        <v>1.7624251168608</v>
      </c>
    </row>
    <row r="12" customFormat="false" ht="29.25" hidden="false" customHeight="true" outlineLevel="0" collapsed="false">
      <c r="B12" s="116" t="s">
        <v>77</v>
      </c>
      <c r="C12" s="132"/>
      <c r="D12" s="133"/>
      <c r="E12" s="134" t="s">
        <v>75</v>
      </c>
      <c r="F12" s="130" t="n">
        <v>0.112</v>
      </c>
      <c r="G12" s="130" t="n">
        <v>0</v>
      </c>
      <c r="H12" s="123" t="n">
        <v>0.021</v>
      </c>
      <c r="I12" s="123" t="n">
        <v>0.1065</v>
      </c>
      <c r="J12" s="130" t="n">
        <v>0.06</v>
      </c>
      <c r="K12" s="122" t="n">
        <v>500</v>
      </c>
      <c r="L12" s="123"/>
      <c r="M12" s="124" t="n">
        <v>0.203</v>
      </c>
      <c r="N12" s="131" t="n">
        <f aca="false">M12-(M12*$N$9)</f>
        <v>0.1015</v>
      </c>
      <c r="O12" s="126" t="n">
        <f aca="false">IFERROR(K12/$K$9,0)</f>
        <v>0.05</v>
      </c>
      <c r="P12" s="126" t="n">
        <f aca="false">IFERROR((K12*M12)/$M$9,0)</f>
        <v>0.0393563396665374</v>
      </c>
      <c r="Q12" s="127" t="n">
        <f aca="false">'Est. Cust. Naci.'!AL13</f>
        <v>2.15525481158278</v>
      </c>
    </row>
    <row r="13" customFormat="false" ht="29.25" hidden="false" customHeight="true" outlineLevel="0" collapsed="false">
      <c r="B13" s="116" t="s">
        <v>78</v>
      </c>
      <c r="C13" s="128"/>
      <c r="D13" s="129"/>
      <c r="E13" s="135" t="s">
        <v>75</v>
      </c>
      <c r="F13" s="130" t="n">
        <v>0.112</v>
      </c>
      <c r="G13" s="130" t="n">
        <v>0</v>
      </c>
      <c r="H13" s="123" t="n">
        <v>0.021</v>
      </c>
      <c r="I13" s="123" t="n">
        <v>0.1065</v>
      </c>
      <c r="J13" s="130" t="n">
        <v>0.06</v>
      </c>
      <c r="K13" s="122" t="n">
        <v>500</v>
      </c>
      <c r="L13" s="123"/>
      <c r="M13" s="124" t="n">
        <v>0.3</v>
      </c>
      <c r="N13" s="131" t="n">
        <f aca="false">M13-(M13*$N$9)</f>
        <v>0.15</v>
      </c>
      <c r="O13" s="126" t="n">
        <f aca="false">IFERROR(K13/$K$9,0)</f>
        <v>0.05</v>
      </c>
      <c r="P13" s="126" t="n">
        <f aca="false">IFERROR((K13*M13)/$M$9,0)</f>
        <v>0.0581620783249321</v>
      </c>
      <c r="Q13" s="127" t="n">
        <f aca="false">'Est. Cust. Naci.'!AL14</f>
        <v>3.18510563288096</v>
      </c>
    </row>
    <row r="14" customFormat="false" ht="29.25" hidden="false" customHeight="true" outlineLevel="0" collapsed="false">
      <c r="B14" s="116" t="s">
        <v>79</v>
      </c>
      <c r="C14" s="108"/>
      <c r="D14" s="108"/>
      <c r="E14" s="134" t="s">
        <v>75</v>
      </c>
      <c r="F14" s="120" t="n">
        <v>0.112</v>
      </c>
      <c r="G14" s="120" t="n">
        <v>0</v>
      </c>
      <c r="H14" s="121" t="n">
        <v>0.021</v>
      </c>
      <c r="I14" s="121" t="n">
        <v>0.1065</v>
      </c>
      <c r="J14" s="120" t="n">
        <v>0.06</v>
      </c>
      <c r="K14" s="122" t="n">
        <v>500</v>
      </c>
      <c r="L14" s="123"/>
      <c r="M14" s="124" t="n">
        <v>0.139</v>
      </c>
      <c r="N14" s="125" t="n">
        <f aca="false">M14-(M14*$N$9)</f>
        <v>0.0695</v>
      </c>
      <c r="O14" s="126" t="n">
        <f aca="false">IFERROR(K14/$K$9,0)</f>
        <v>0.05</v>
      </c>
      <c r="P14" s="126" t="n">
        <f aca="false">IFERROR((K14*M14)/$M$9,0)</f>
        <v>0.0269484296238852</v>
      </c>
      <c r="Q14" s="127" t="n">
        <f aca="false">'Est. Cust. Naci.'!AL15</f>
        <v>1.47576560990151</v>
      </c>
    </row>
    <row r="15" customFormat="false" ht="29.25" hidden="false" customHeight="true" outlineLevel="0" collapsed="false">
      <c r="B15" s="116" t="s">
        <v>80</v>
      </c>
      <c r="C15" s="108"/>
      <c r="D15" s="108"/>
      <c r="E15" s="135" t="s">
        <v>75</v>
      </c>
      <c r="F15" s="130" t="n">
        <v>0.112</v>
      </c>
      <c r="G15" s="130" t="n">
        <v>0</v>
      </c>
      <c r="H15" s="123" t="n">
        <v>0.021</v>
      </c>
      <c r="I15" s="123" t="n">
        <v>0.1065</v>
      </c>
      <c r="J15" s="130" t="n">
        <v>0.06</v>
      </c>
      <c r="K15" s="122" t="n">
        <v>500</v>
      </c>
      <c r="L15" s="123"/>
      <c r="M15" s="124" t="n">
        <v>0.083</v>
      </c>
      <c r="N15" s="131" t="n">
        <f aca="false">M15-(M15*$N$9)</f>
        <v>0.0415</v>
      </c>
      <c r="O15" s="126" t="n">
        <f aca="false">IFERROR(K15/$K$9,0)</f>
        <v>0.05</v>
      </c>
      <c r="P15" s="126" t="n">
        <f aca="false">IFERROR((K15*M15)/$M$9,0)</f>
        <v>0.0160915083365646</v>
      </c>
      <c r="Q15" s="127" t="n">
        <f aca="false">'Est. Cust. Naci.'!AL16</f>
        <v>0.8812125584304</v>
      </c>
    </row>
    <row r="16" customFormat="false" ht="29.25" hidden="false" customHeight="true" outlineLevel="0" collapsed="false">
      <c r="B16" s="116" t="s">
        <v>81</v>
      </c>
      <c r="C16" s="108"/>
      <c r="D16" s="108"/>
      <c r="E16" s="119" t="s">
        <v>75</v>
      </c>
      <c r="F16" s="130" t="n">
        <v>0.112</v>
      </c>
      <c r="G16" s="130" t="n">
        <v>0</v>
      </c>
      <c r="H16" s="123" t="n">
        <v>0.021</v>
      </c>
      <c r="I16" s="123" t="n">
        <v>0.1065</v>
      </c>
      <c r="J16" s="130" t="n">
        <v>0.06</v>
      </c>
      <c r="K16" s="122" t="n">
        <v>500</v>
      </c>
      <c r="L16" s="123"/>
      <c r="M16" s="124" t="n">
        <v>0.101</v>
      </c>
      <c r="N16" s="131" t="n">
        <f aca="false">M16-(M16*$N$9)</f>
        <v>0.0505</v>
      </c>
      <c r="O16" s="126" t="n">
        <f aca="false">IFERROR(K16/$K$9,0)</f>
        <v>0.05</v>
      </c>
      <c r="P16" s="126" t="n">
        <f aca="false">IFERROR((K16*M16)/$M$9,0)</f>
        <v>0.0195812330360605</v>
      </c>
      <c r="Q16" s="127" t="n">
        <f aca="false">'Est. Cust. Naci.'!AL17</f>
        <v>1.07231889640326</v>
      </c>
    </row>
    <row r="17" customFormat="false" ht="29.25" hidden="false" customHeight="true" outlineLevel="0" collapsed="false">
      <c r="B17" s="116" t="s">
        <v>82</v>
      </c>
      <c r="C17" s="108"/>
      <c r="D17" s="108"/>
      <c r="E17" s="116" t="s">
        <v>75</v>
      </c>
      <c r="F17" s="130" t="n">
        <v>0.112</v>
      </c>
      <c r="G17" s="130" t="n">
        <v>0</v>
      </c>
      <c r="H17" s="123" t="n">
        <v>0.021</v>
      </c>
      <c r="I17" s="123" t="n">
        <v>0.1065</v>
      </c>
      <c r="J17" s="130" t="n">
        <v>0.06</v>
      </c>
      <c r="K17" s="122" t="n">
        <v>500</v>
      </c>
      <c r="L17" s="123"/>
      <c r="M17" s="124" t="n">
        <v>0.116</v>
      </c>
      <c r="N17" s="131" t="n">
        <f aca="false">M17-(M17*$N$9)</f>
        <v>0.058</v>
      </c>
      <c r="O17" s="126" t="n">
        <f aca="false">IFERROR(K17/$K$9,0)</f>
        <v>0.05</v>
      </c>
      <c r="P17" s="126" t="n">
        <f aca="false">IFERROR((K17*M17)/$M$9,0)</f>
        <v>0.0224893369523071</v>
      </c>
      <c r="Q17" s="127" t="n">
        <f aca="false">'Est. Cust. Naci.'!AL18</f>
        <v>1.2315741780473</v>
      </c>
    </row>
    <row r="18" customFormat="false" ht="29.25" hidden="false" customHeight="true" outlineLevel="0" collapsed="false">
      <c r="B18" s="116" t="s">
        <v>83</v>
      </c>
      <c r="C18" s="108"/>
      <c r="D18" s="108"/>
      <c r="E18" s="135" t="s">
        <v>75</v>
      </c>
      <c r="F18" s="130" t="n">
        <v>0.112</v>
      </c>
      <c r="G18" s="130" t="n">
        <v>0</v>
      </c>
      <c r="H18" s="123" t="n">
        <v>0.021</v>
      </c>
      <c r="I18" s="123" t="n">
        <v>0.1065</v>
      </c>
      <c r="J18" s="130" t="n">
        <v>0.06</v>
      </c>
      <c r="K18" s="122" t="n">
        <v>500</v>
      </c>
      <c r="L18" s="123"/>
      <c r="M18" s="124" t="n">
        <v>0.174</v>
      </c>
      <c r="N18" s="131" t="n">
        <f aca="false">M18-(M18*$N$9)</f>
        <v>0.087</v>
      </c>
      <c r="O18" s="126" t="n">
        <f aca="false">IFERROR(K18/$K$9,0)</f>
        <v>0.05</v>
      </c>
      <c r="P18" s="126" t="n">
        <f aca="false">IFERROR((K18*M18)/$M$9,0)</f>
        <v>0.0337340054284606</v>
      </c>
      <c r="Q18" s="127" t="n">
        <f aca="false">'Est. Cust. Naci.'!AL19</f>
        <v>1.84736126707096</v>
      </c>
    </row>
    <row r="19" customFormat="false" ht="29.25" hidden="false" customHeight="true" outlineLevel="0" collapsed="false">
      <c r="B19" s="116" t="s">
        <v>84</v>
      </c>
      <c r="C19" s="108"/>
      <c r="D19" s="108"/>
      <c r="E19" s="134" t="s">
        <v>75</v>
      </c>
      <c r="F19" s="130" t="n">
        <v>0.112</v>
      </c>
      <c r="G19" s="130" t="n">
        <v>0</v>
      </c>
      <c r="H19" s="123" t="n">
        <v>0.021</v>
      </c>
      <c r="I19" s="123" t="n">
        <v>0.1065</v>
      </c>
      <c r="J19" s="130" t="n">
        <v>0.06</v>
      </c>
      <c r="K19" s="122" t="n">
        <v>500</v>
      </c>
      <c r="L19" s="123"/>
      <c r="M19" s="124" t="n">
        <v>0.242</v>
      </c>
      <c r="N19" s="131" t="n">
        <f aca="false">M19-(M19*$N$9)</f>
        <v>0.121</v>
      </c>
      <c r="O19" s="126" t="n">
        <f aca="false">IFERROR(K19/$K$9,0)</f>
        <v>0.05</v>
      </c>
      <c r="P19" s="126" t="n">
        <f aca="false">IFERROR((K19*M19)/$M$9,0)</f>
        <v>0.0469174098487786</v>
      </c>
      <c r="Q19" s="127" t="n">
        <f aca="false">'Est. Cust. Naci.'!AL20</f>
        <v>2.56931854385731</v>
      </c>
    </row>
    <row r="20" customFormat="false" ht="29.25" hidden="false" customHeight="true" outlineLevel="0" collapsed="false">
      <c r="B20" s="116" t="s">
        <v>85</v>
      </c>
      <c r="C20" s="108"/>
      <c r="D20" s="108"/>
      <c r="E20" s="135" t="s">
        <v>75</v>
      </c>
      <c r="F20" s="130" t="n">
        <v>0.112</v>
      </c>
      <c r="G20" s="130" t="n">
        <v>0</v>
      </c>
      <c r="H20" s="123" t="n">
        <v>0.021</v>
      </c>
      <c r="I20" s="123" t="n">
        <v>0.1065</v>
      </c>
      <c r="J20" s="130" t="n">
        <v>0.06</v>
      </c>
      <c r="K20" s="122" t="n">
        <v>500</v>
      </c>
      <c r="L20" s="123"/>
      <c r="M20" s="124" t="n">
        <v>0.145</v>
      </c>
      <c r="N20" s="131" t="n">
        <f aca="false">M20-(M20*$N$9)</f>
        <v>0.0725</v>
      </c>
      <c r="O20" s="126" t="n">
        <f aca="false">IFERROR(K20/$K$9,0)</f>
        <v>0.05</v>
      </c>
      <c r="P20" s="126" t="n">
        <f aca="false">IFERROR((K20*M20)/$M$9,0)</f>
        <v>0.0281116711903839</v>
      </c>
      <c r="Q20" s="127" t="n">
        <f aca="false">'Est. Cust. Naci.'!AL21</f>
        <v>1.53946772255913</v>
      </c>
    </row>
    <row r="21" customFormat="false" ht="29.25" hidden="false" customHeight="true" outlineLevel="0" collapsed="false">
      <c r="B21" s="116" t="s">
        <v>86</v>
      </c>
      <c r="C21" s="108"/>
      <c r="D21" s="108"/>
      <c r="E21" s="134" t="s">
        <v>75</v>
      </c>
      <c r="F21" s="120" t="n">
        <v>0.112</v>
      </c>
      <c r="G21" s="120" t="n">
        <v>0</v>
      </c>
      <c r="H21" s="121" t="n">
        <v>0.021</v>
      </c>
      <c r="I21" s="121" t="n">
        <v>0.1065</v>
      </c>
      <c r="J21" s="120" t="n">
        <v>0.06</v>
      </c>
      <c r="K21" s="122" t="n">
        <v>500</v>
      </c>
      <c r="L21" s="123"/>
      <c r="M21" s="124" t="n">
        <v>0.174</v>
      </c>
      <c r="N21" s="125" t="n">
        <f aca="false">M21-(M21*$N$9)</f>
        <v>0.087</v>
      </c>
      <c r="O21" s="126" t="n">
        <f aca="false">IFERROR(K21/$K$9,0)</f>
        <v>0.05</v>
      </c>
      <c r="P21" s="126" t="n">
        <f aca="false">IFERROR((K21*M21)/$M$9,0)</f>
        <v>0.0337340054284606</v>
      </c>
      <c r="Q21" s="127" t="n">
        <f aca="false">'Est. Cust. Naci.'!AL22</f>
        <v>1.84736126707096</v>
      </c>
    </row>
    <row r="22" customFormat="false" ht="29.25" hidden="false" customHeight="true" outlineLevel="0" collapsed="false">
      <c r="B22" s="116" t="s">
        <v>87</v>
      </c>
      <c r="C22" s="108"/>
      <c r="D22" s="108"/>
      <c r="E22" s="135" t="s">
        <v>75</v>
      </c>
      <c r="F22" s="130" t="n">
        <v>0.112</v>
      </c>
      <c r="G22" s="130" t="n">
        <v>0</v>
      </c>
      <c r="H22" s="123" t="n">
        <v>0.021</v>
      </c>
      <c r="I22" s="123" t="n">
        <v>0.1065</v>
      </c>
      <c r="J22" s="130" t="n">
        <v>0.06</v>
      </c>
      <c r="K22" s="122" t="n">
        <v>500</v>
      </c>
      <c r="L22" s="123"/>
      <c r="M22" s="124" t="n">
        <v>0.242</v>
      </c>
      <c r="N22" s="131" t="n">
        <f aca="false">M22-(M22*$N$9)</f>
        <v>0.121</v>
      </c>
      <c r="O22" s="126" t="n">
        <f aca="false">IFERROR(K22/$K$9,0)</f>
        <v>0.05</v>
      </c>
      <c r="P22" s="126" t="n">
        <f aca="false">IFERROR((K22*M22)/$M$9,0)</f>
        <v>0.0469174098487786</v>
      </c>
      <c r="Q22" s="127" t="n">
        <f aca="false">'Est. Cust. Naci.'!AL23</f>
        <v>2.56931854385731</v>
      </c>
    </row>
    <row r="23" customFormat="false" ht="29.25" hidden="false" customHeight="true" outlineLevel="0" collapsed="false">
      <c r="B23" s="116" t="s">
        <v>88</v>
      </c>
      <c r="C23" s="108"/>
      <c r="D23" s="108"/>
      <c r="E23" s="134" t="s">
        <v>75</v>
      </c>
      <c r="F23" s="130" t="n">
        <v>0.112</v>
      </c>
      <c r="G23" s="130" t="n">
        <v>0</v>
      </c>
      <c r="H23" s="123" t="n">
        <v>0.021</v>
      </c>
      <c r="I23" s="123" t="n">
        <v>0.1065</v>
      </c>
      <c r="J23" s="130" t="n">
        <v>0.06</v>
      </c>
      <c r="K23" s="122" t="n">
        <v>500</v>
      </c>
      <c r="L23" s="123"/>
      <c r="M23" s="124" t="n">
        <v>0.252</v>
      </c>
      <c r="N23" s="131" t="n">
        <f aca="false">M23-(M23*$N$9)</f>
        <v>0.126</v>
      </c>
      <c r="O23" s="126" t="n">
        <f aca="false">IFERROR(K23/$K$9,0)</f>
        <v>0.05</v>
      </c>
      <c r="P23" s="126" t="n">
        <f aca="false">IFERROR((K23*M23)/$M$9,0)</f>
        <v>0.048856145792943</v>
      </c>
      <c r="Q23" s="127" t="n">
        <f aca="false">'Est. Cust. Naci.'!AL24</f>
        <v>2.67548873162001</v>
      </c>
    </row>
    <row r="24" customFormat="false" ht="29.25" hidden="false" customHeight="true" outlineLevel="0" collapsed="false">
      <c r="B24" s="116" t="s">
        <v>89</v>
      </c>
      <c r="C24" s="108"/>
      <c r="D24" s="108"/>
      <c r="E24" s="135" t="s">
        <v>75</v>
      </c>
      <c r="F24" s="130" t="n">
        <v>0.112</v>
      </c>
      <c r="G24" s="130" t="n">
        <v>0</v>
      </c>
      <c r="H24" s="123" t="n">
        <v>0.021</v>
      </c>
      <c r="I24" s="123" t="n">
        <v>0.1065</v>
      </c>
      <c r="J24" s="130" t="n">
        <v>0.06</v>
      </c>
      <c r="K24" s="122" t="n">
        <v>500</v>
      </c>
      <c r="L24" s="123"/>
      <c r="M24" s="124" t="n">
        <v>0.339</v>
      </c>
      <c r="N24" s="131" t="n">
        <f aca="false">M24-(M24*$N$9)</f>
        <v>0.1695</v>
      </c>
      <c r="O24" s="126" t="n">
        <f aca="false">IFERROR(K24/$K$9,0)</f>
        <v>0.05</v>
      </c>
      <c r="P24" s="126" t="n">
        <f aca="false">IFERROR((K24*M24)/$M$9,0)</f>
        <v>0.0657231485071733</v>
      </c>
      <c r="Q24" s="127" t="n">
        <f aca="false">'Est. Cust. Naci.'!AL25</f>
        <v>3.59916936515549</v>
      </c>
    </row>
    <row r="25" customFormat="false" ht="29.25" hidden="false" customHeight="true" outlineLevel="0" collapsed="false">
      <c r="B25" s="116" t="s">
        <v>90</v>
      </c>
      <c r="C25" s="108"/>
      <c r="D25" s="108"/>
      <c r="E25" s="134" t="s">
        <v>75</v>
      </c>
      <c r="F25" s="130" t="n">
        <v>0.112</v>
      </c>
      <c r="G25" s="130" t="n">
        <v>0</v>
      </c>
      <c r="H25" s="123" t="n">
        <v>0.021</v>
      </c>
      <c r="I25" s="123" t="n">
        <v>0.1065</v>
      </c>
      <c r="J25" s="130" t="n">
        <v>0.06</v>
      </c>
      <c r="K25" s="122" t="n">
        <v>500</v>
      </c>
      <c r="L25" s="123"/>
      <c r="M25" s="124" t="n">
        <v>0.542</v>
      </c>
      <c r="N25" s="131" t="n">
        <f aca="false">M25-(M25*$N$9)</f>
        <v>0.271</v>
      </c>
      <c r="O25" s="126" t="n">
        <f aca="false">IFERROR(K25/$K$9,0)</f>
        <v>0.05</v>
      </c>
      <c r="P25" s="126" t="n">
        <f aca="false">IFERROR((K25*M25)/$M$9,0)</f>
        <v>0.105079488173711</v>
      </c>
      <c r="Q25" s="127" t="n">
        <f aca="false">'Est. Cust. Naci.'!AL26</f>
        <v>5.75442417673827</v>
      </c>
    </row>
    <row r="26" customFormat="false" ht="29.25" hidden="false" customHeight="true" outlineLevel="0" collapsed="false">
      <c r="B26" s="116" t="s">
        <v>91</v>
      </c>
      <c r="C26" s="108"/>
      <c r="D26" s="108"/>
      <c r="E26" s="135" t="s">
        <v>75</v>
      </c>
      <c r="F26" s="130" t="n">
        <v>0.112</v>
      </c>
      <c r="G26" s="130" t="n">
        <v>0</v>
      </c>
      <c r="H26" s="123" t="n">
        <v>0.021</v>
      </c>
      <c r="I26" s="123" t="n">
        <v>0.1065</v>
      </c>
      <c r="J26" s="130" t="n">
        <v>0.06</v>
      </c>
      <c r="K26" s="122" t="n">
        <v>500</v>
      </c>
      <c r="L26" s="123"/>
      <c r="M26" s="124" t="n">
        <v>0.058</v>
      </c>
      <c r="N26" s="131" t="n">
        <f aca="false">M26-(M26*$N$9)</f>
        <v>0.029</v>
      </c>
      <c r="O26" s="126" t="n">
        <f aca="false">IFERROR(K26/$K$9,0)</f>
        <v>0.05</v>
      </c>
      <c r="P26" s="126" t="n">
        <f aca="false">IFERROR((K26*M26)/$M$9,0)</f>
        <v>0.0112446684761535</v>
      </c>
      <c r="Q26" s="127" t="n">
        <f aca="false">'Est. Cust. Naci.'!AL27</f>
        <v>0.615787089023652</v>
      </c>
    </row>
    <row r="27" customFormat="false" ht="29.25" hidden="false" customHeight="true" outlineLevel="0" collapsed="false">
      <c r="B27" s="116" t="n">
        <v>32010</v>
      </c>
      <c r="C27" s="108"/>
      <c r="D27" s="108"/>
      <c r="E27" s="134" t="s">
        <v>75</v>
      </c>
      <c r="F27" s="120" t="n">
        <v>0.112</v>
      </c>
      <c r="G27" s="120" t="n">
        <v>0</v>
      </c>
      <c r="H27" s="121" t="n">
        <v>0.021</v>
      </c>
      <c r="I27" s="121" t="n">
        <v>0.1065</v>
      </c>
      <c r="J27" s="120" t="n">
        <v>0.06</v>
      </c>
      <c r="K27" s="122" t="n">
        <v>500</v>
      </c>
      <c r="L27" s="123"/>
      <c r="M27" s="124" t="n">
        <v>0.852</v>
      </c>
      <c r="N27" s="125" t="n">
        <f aca="false">M27-(M27*$N$9)</f>
        <v>0.426</v>
      </c>
      <c r="O27" s="126" t="n">
        <f aca="false">IFERROR(K27/$K$9,0)</f>
        <v>0.05</v>
      </c>
      <c r="P27" s="126" t="n">
        <f aca="false">IFERROR((K27*M27)/$M$9,0)</f>
        <v>0.165180302442807</v>
      </c>
      <c r="Q27" s="127" t="n">
        <f aca="false">'Est. Cust. Naci.'!AL28</f>
        <v>9.04569999738193</v>
      </c>
    </row>
    <row r="28" customFormat="false" ht="29.25" hidden="false" customHeight="true" outlineLevel="0" collapsed="false">
      <c r="B28" s="116" t="s">
        <v>92</v>
      </c>
      <c r="C28" s="108"/>
      <c r="D28" s="108"/>
      <c r="E28" s="116" t="s">
        <v>75</v>
      </c>
      <c r="F28" s="130" t="n">
        <v>0.112</v>
      </c>
      <c r="G28" s="130" t="n">
        <v>0</v>
      </c>
      <c r="H28" s="123" t="n">
        <v>0.021</v>
      </c>
      <c r="I28" s="123" t="n">
        <v>0.1065</v>
      </c>
      <c r="J28" s="130" t="n">
        <v>0.06</v>
      </c>
      <c r="K28" s="122" t="n">
        <v>500</v>
      </c>
      <c r="L28" s="123"/>
      <c r="M28" s="124" t="n">
        <v>0.31</v>
      </c>
      <c r="N28" s="131" t="n">
        <f aca="false">M28-(M28*$N$9)</f>
        <v>0.155</v>
      </c>
      <c r="O28" s="126" t="n">
        <f aca="false">IFERROR(K28/$K$9,0)</f>
        <v>0.05</v>
      </c>
      <c r="P28" s="126" t="n">
        <f aca="false">IFERROR((K28*M28)/$M$9,0)</f>
        <v>0.0601008142690965</v>
      </c>
      <c r="Q28" s="127" t="n">
        <f aca="false">'Est. Cust. Naci.'!AL29</f>
        <v>3.29127582064366</v>
      </c>
    </row>
    <row r="29" customFormat="false" ht="28.5" hidden="false" customHeight="true" outlineLevel="0" collapsed="false">
      <c r="B29" s="116" t="s">
        <v>93</v>
      </c>
      <c r="C29" s="108"/>
      <c r="D29" s="108"/>
      <c r="E29" s="119" t="s">
        <v>75</v>
      </c>
      <c r="F29" s="130" t="n">
        <v>0.112</v>
      </c>
      <c r="G29" s="130" t="n">
        <v>0</v>
      </c>
      <c r="H29" s="123" t="n">
        <v>0.021</v>
      </c>
      <c r="I29" s="123" t="n">
        <v>0.1065</v>
      </c>
      <c r="J29" s="130" t="n">
        <v>0.06</v>
      </c>
      <c r="K29" s="122" t="n">
        <v>500</v>
      </c>
      <c r="L29" s="123"/>
      <c r="M29" s="124" t="n">
        <v>0.619</v>
      </c>
      <c r="N29" s="131" t="n">
        <f aca="false">M29-(M29*$N$9)</f>
        <v>0.3095</v>
      </c>
      <c r="O29" s="126" t="n">
        <f aca="false">IFERROR(K29/$K$9,0)</f>
        <v>0.05</v>
      </c>
      <c r="P29" s="126" t="n">
        <f aca="false">IFERROR((K29*M29)/$M$9,0)</f>
        <v>0.120007754943777</v>
      </c>
      <c r="Q29" s="127" t="n">
        <f aca="false">'Est. Cust. Naci.'!AL30</f>
        <v>6.57193462251105</v>
      </c>
    </row>
  </sheetData>
  <mergeCells count="1">
    <mergeCell ref="B3:Q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AR30"/>
  <sheetViews>
    <sheetView showFormulas="false" showGridLines="true" showRowColHeaders="true" showZeros="true" rightToLeft="false" tabSelected="false" showOutlineSymbols="true" defaultGridColor="true" view="pageBreakPreview" topLeftCell="B5" colorId="64" zoomScale="90" zoomScaleNormal="100" zoomScalePageLayoutView="90" workbookViewId="0">
      <selection pane="topLeft" activeCell="B19" activeCellId="0" sqref="B19"/>
    </sheetView>
  </sheetViews>
  <sheetFormatPr defaultColWidth="8.66796875" defaultRowHeight="14.25" customHeight="true" zeroHeight="false" outlineLevelRow="0" outlineLevelCol="0"/>
  <cols>
    <col collapsed="false" customWidth="true" hidden="true" outlineLevel="0" max="1" min="1" style="0" width="9.11"/>
    <col collapsed="false" customWidth="true" hidden="false" outlineLevel="0" max="2" min="2" style="0" width="37.56"/>
    <col collapsed="false" customWidth="true" hidden="false" outlineLevel="0" max="3" min="3" style="0" width="17.44"/>
    <col collapsed="false" customWidth="true" hidden="false" outlineLevel="0" max="4" min="4" style="0" width="24.56"/>
    <col collapsed="false" customWidth="true" hidden="false" outlineLevel="0" max="5" min="5" style="0" width="15.44"/>
    <col collapsed="false" customWidth="true" hidden="false" outlineLevel="0" max="6" min="6" style="0" width="13.34"/>
    <col collapsed="false" customWidth="true" hidden="false" outlineLevel="0" max="7" min="7" style="0" width="18.56"/>
    <col collapsed="false" customWidth="true" hidden="false" outlineLevel="0" max="8" min="8" style="0" width="18.11"/>
    <col collapsed="false" customWidth="true" hidden="false" outlineLevel="0" max="9" min="9" style="0" width="16"/>
    <col collapsed="false" customWidth="true" hidden="false" outlineLevel="0" max="10" min="10" style="0" width="19.33"/>
    <col collapsed="false" customWidth="true" hidden="false" outlineLevel="0" max="12" min="11" style="0" width="20.11"/>
    <col collapsed="false" customWidth="true" hidden="false" outlineLevel="0" max="13" min="13" style="0" width="17.33"/>
    <col collapsed="false" customWidth="true" hidden="false" outlineLevel="0" max="14" min="14" style="0" width="14.33"/>
    <col collapsed="false" customWidth="true" hidden="false" outlineLevel="0" max="15" min="15" style="0" width="16.67"/>
    <col collapsed="false" customWidth="true" hidden="false" outlineLevel="0" max="16" min="16" style="0" width="17.33"/>
    <col collapsed="false" customWidth="true" hidden="false" outlineLevel="0" max="17" min="17" style="0" width="16"/>
    <col collapsed="false" customWidth="true" hidden="false" outlineLevel="0" max="18" min="18" style="0" width="15.33"/>
    <col collapsed="false" customWidth="true" hidden="false" outlineLevel="0" max="21" min="19" style="0" width="14.67"/>
    <col collapsed="false" customWidth="true" hidden="false" outlineLevel="0" max="22" min="22" style="0" width="13.11"/>
    <col collapsed="false" customWidth="true" hidden="false" outlineLevel="0" max="23" min="23" style="0" width="14.67"/>
    <col collapsed="false" customWidth="true" hidden="false" outlineLevel="0" max="24" min="24" style="0" width="16.89"/>
    <col collapsed="false" customWidth="true" hidden="false" outlineLevel="0" max="25" min="25" style="0" width="14.67"/>
    <col collapsed="false" customWidth="true" hidden="false" outlineLevel="0" max="26" min="26" style="0" width="13.11"/>
    <col collapsed="false" customWidth="true" hidden="false" outlineLevel="0" max="27" min="27" style="0" width="12.56"/>
    <col collapsed="false" customWidth="true" hidden="false" outlineLevel="0" max="28" min="28" style="0" width="17.56"/>
    <col collapsed="false" customWidth="true" hidden="false" outlineLevel="0" max="29" min="29" style="0" width="16.89"/>
    <col collapsed="false" customWidth="true" hidden="false" outlineLevel="0" max="32" min="30" style="0" width="14.67"/>
    <col collapsed="false" customWidth="true" hidden="false" outlineLevel="0" max="34" min="33" style="0" width="16.89"/>
    <col collapsed="false" customWidth="true" hidden="false" outlineLevel="0" max="35" min="35" style="0" width="18.34"/>
    <col collapsed="false" customWidth="true" hidden="false" outlineLevel="0" max="36" min="36" style="0" width="19.67"/>
    <col collapsed="false" customWidth="true" hidden="true" outlineLevel="0" max="37" min="37" style="0" width="16.89"/>
    <col collapsed="false" customWidth="true" hidden="false" outlineLevel="0" max="38" min="38" style="0" width="16.89"/>
    <col collapsed="false" customWidth="true" hidden="false" outlineLevel="0" max="39" min="39" style="0" width="14.33"/>
    <col collapsed="false" customWidth="true" hidden="false" outlineLevel="0" max="43" min="43" style="0" width="15.44"/>
    <col collapsed="false" customWidth="true" hidden="false" outlineLevel="0" max="44" min="44" style="0" width="13.34"/>
    <col collapsed="false" customWidth="true" hidden="false" outlineLevel="0" max="16384" min="16384" style="0" width="9.11"/>
  </cols>
  <sheetData>
    <row r="2" customFormat="false" ht="14.25" hidden="false" customHeight="true" outlineLevel="0" collapsed="false">
      <c r="A2" s="136"/>
      <c r="B2" s="137" t="s">
        <v>94</v>
      </c>
      <c r="C2" s="137"/>
      <c r="D2" s="137"/>
      <c r="E2" s="137"/>
      <c r="F2" s="137"/>
      <c r="G2" s="137"/>
      <c r="H2" s="138" t="s">
        <v>95</v>
      </c>
      <c r="I2" s="138"/>
      <c r="J2" s="138"/>
      <c r="K2" s="138"/>
      <c r="L2" s="138"/>
      <c r="M2" s="139" t="s">
        <v>24</v>
      </c>
      <c r="N2" s="139"/>
      <c r="O2" s="139"/>
      <c r="P2" s="139"/>
      <c r="Q2" s="139"/>
      <c r="R2" s="139"/>
      <c r="S2" s="140" t="s">
        <v>96</v>
      </c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36"/>
    </row>
    <row r="3" customFormat="false" ht="57" hidden="false" customHeight="true" outlineLevel="0" collapsed="false">
      <c r="A3" s="141"/>
      <c r="B3" s="142" t="s">
        <v>97</v>
      </c>
      <c r="C3" s="142" t="s">
        <v>61</v>
      </c>
      <c r="D3" s="143" t="s">
        <v>98</v>
      </c>
      <c r="E3" s="144" t="s">
        <v>99</v>
      </c>
      <c r="F3" s="145" t="s">
        <v>100</v>
      </c>
      <c r="G3" s="146" t="s">
        <v>101</v>
      </c>
      <c r="H3" s="147" t="s">
        <v>102</v>
      </c>
      <c r="I3" s="147" t="s">
        <v>103</v>
      </c>
      <c r="J3" s="147" t="s">
        <v>104</v>
      </c>
      <c r="K3" s="147" t="s">
        <v>23</v>
      </c>
      <c r="L3" s="147" t="s">
        <v>105</v>
      </c>
      <c r="M3" s="148" t="s">
        <v>106</v>
      </c>
      <c r="N3" s="149" t="s">
        <v>63</v>
      </c>
      <c r="O3" s="149" t="s">
        <v>64</v>
      </c>
      <c r="P3" s="149" t="s">
        <v>65</v>
      </c>
      <c r="Q3" s="149" t="s">
        <v>66</v>
      </c>
      <c r="R3" s="148" t="s">
        <v>107</v>
      </c>
      <c r="S3" s="150" t="s">
        <v>28</v>
      </c>
      <c r="T3" s="150" t="s">
        <v>29</v>
      </c>
      <c r="U3" s="150" t="s">
        <v>108</v>
      </c>
      <c r="V3" s="150" t="s">
        <v>31</v>
      </c>
      <c r="W3" s="150" t="s">
        <v>32</v>
      </c>
      <c r="X3" s="150" t="s">
        <v>33</v>
      </c>
      <c r="Y3" s="150" t="s">
        <v>34</v>
      </c>
      <c r="Z3" s="150" t="s">
        <v>35</v>
      </c>
      <c r="AA3" s="150" t="s">
        <v>36</v>
      </c>
      <c r="AB3" s="150" t="s">
        <v>37</v>
      </c>
      <c r="AC3" s="150" t="s">
        <v>39</v>
      </c>
      <c r="AD3" s="150" t="s">
        <v>40</v>
      </c>
      <c r="AE3" s="150" t="s">
        <v>41</v>
      </c>
      <c r="AF3" s="150" t="s">
        <v>42</v>
      </c>
      <c r="AG3" s="150" t="s">
        <v>43</v>
      </c>
      <c r="AH3" s="150" t="s">
        <v>44</v>
      </c>
      <c r="AI3" s="150" t="s">
        <v>109</v>
      </c>
      <c r="AJ3" s="151" t="s">
        <v>110</v>
      </c>
      <c r="AK3" s="151" t="s">
        <v>111</v>
      </c>
      <c r="AL3" s="152" t="s">
        <v>112</v>
      </c>
    </row>
    <row r="4" customFormat="false" ht="18" hidden="false" customHeight="true" outlineLevel="0" collapsed="false">
      <c r="A4" s="141" t="s">
        <v>113</v>
      </c>
      <c r="B4" s="153"/>
      <c r="C4" s="153"/>
      <c r="D4" s="154"/>
      <c r="E4" s="155"/>
      <c r="F4" s="156"/>
      <c r="G4" s="157" t="n">
        <f aca="false">SUM(G11:G30)</f>
        <v>2579</v>
      </c>
      <c r="H4" s="158" t="n">
        <f aca="false">'Resumo 100%'!$E$13</f>
        <v>5.12</v>
      </c>
      <c r="I4" s="159" t="n">
        <f aca="false">'Rateio Custos Fixos'!H11</f>
        <v>990</v>
      </c>
      <c r="J4" s="160" t="n">
        <f aca="false">SUM(J11:J30)</f>
        <v>600.768</v>
      </c>
      <c r="K4" s="161" t="n">
        <f aca="false">SUM(K11:K30)</f>
        <v>13805.248</v>
      </c>
      <c r="L4" s="161" t="n">
        <f aca="false">SUM(L11:L30)</f>
        <v>15351.435776</v>
      </c>
      <c r="M4" s="162" t="n">
        <f aca="false">SUM(M11:M30)</f>
        <v>1546.187776</v>
      </c>
      <c r="N4" s="163" t="n">
        <f aca="false">SUM(N11:N30)</f>
        <v>0</v>
      </c>
      <c r="O4" s="162" t="n">
        <f aca="false">SUM(O11:O30)</f>
        <v>322.380151296</v>
      </c>
      <c r="P4" s="162" t="n">
        <f aca="false">SUM(P11:P30)</f>
        <v>1634.927910144</v>
      </c>
      <c r="Q4" s="164" t="n">
        <f aca="false">SUM(Q11:Q30)</f>
        <v>921.08614656</v>
      </c>
      <c r="R4" s="165" t="n">
        <f aca="false">SUM(R11:R30)</f>
        <v>4424.581984</v>
      </c>
      <c r="S4" s="166"/>
      <c r="T4" s="166"/>
      <c r="U4" s="166"/>
      <c r="V4" s="166"/>
      <c r="W4" s="166"/>
      <c r="X4" s="166"/>
      <c r="Y4" s="166"/>
      <c r="Z4" s="166"/>
      <c r="AA4" s="167" t="n">
        <v>0.08</v>
      </c>
      <c r="AB4" s="168"/>
      <c r="AC4" s="166"/>
      <c r="AD4" s="166"/>
      <c r="AE4" s="166"/>
      <c r="AF4" s="166"/>
      <c r="AG4" s="166"/>
      <c r="AH4" s="166"/>
      <c r="AI4" s="169" t="n">
        <f aca="false">SUM(AI11:AI30)</f>
        <v>9151.46144</v>
      </c>
      <c r="AJ4" s="166"/>
      <c r="AQ4" s="0" t="s">
        <v>114</v>
      </c>
      <c r="AR4" s="170" t="n">
        <f aca="false">SUM(H11:H30)</f>
        <v>13204.48</v>
      </c>
    </row>
    <row r="5" customFormat="false" ht="18" hidden="false" customHeight="true" outlineLevel="0" collapsed="false">
      <c r="A5" s="171" t="s">
        <v>115</v>
      </c>
      <c r="B5" s="172"/>
      <c r="C5" s="172" t="s">
        <v>75</v>
      </c>
      <c r="D5" s="173"/>
      <c r="E5" s="174"/>
      <c r="F5" s="175"/>
      <c r="G5" s="176"/>
      <c r="H5" s="177" t="n">
        <f aca="false">SUM(H11:H30)</f>
        <v>13204.48</v>
      </c>
      <c r="I5" s="178"/>
      <c r="J5" s="179"/>
      <c r="K5" s="180"/>
      <c r="L5" s="180"/>
      <c r="M5" s="181" t="n">
        <f aca="false">'Lista de Compra'!F10</f>
        <v>0.112</v>
      </c>
      <c r="N5" s="181" t="n">
        <v>0</v>
      </c>
      <c r="O5" s="181" t="n">
        <f aca="false">'Lista de Compra'!H10</f>
        <v>0.021</v>
      </c>
      <c r="P5" s="182" t="n">
        <f aca="false">'Lista de Compra'!I10</f>
        <v>0.1065</v>
      </c>
      <c r="Q5" s="181" t="n">
        <f aca="false">'Lista de Compra'!J10</f>
        <v>0.06</v>
      </c>
      <c r="R5" s="183"/>
      <c r="S5" s="184"/>
      <c r="T5" s="184"/>
      <c r="U5" s="184"/>
      <c r="V5" s="184"/>
      <c r="W5" s="184"/>
      <c r="X5" s="184"/>
      <c r="Y5" s="184"/>
      <c r="Z5" s="184"/>
      <c r="AA5" s="185"/>
      <c r="AB5" s="186"/>
      <c r="AC5" s="184"/>
      <c r="AD5" s="184"/>
      <c r="AE5" s="184"/>
      <c r="AF5" s="184"/>
      <c r="AG5" s="184"/>
      <c r="AH5" s="184"/>
      <c r="AI5" s="187" t="n">
        <f aca="false">SUM(AI11:AI30)</f>
        <v>9151.46144</v>
      </c>
      <c r="AJ5" s="188" t="n">
        <f aca="false">SUM(AJ11:AJ30)</f>
        <v>27381.291424</v>
      </c>
      <c r="AQ5" s="0" t="s">
        <v>116</v>
      </c>
      <c r="AR5" s="170" t="n">
        <f aca="false">AJ5-AR4</f>
        <v>14176.811424</v>
      </c>
    </row>
    <row r="6" customFormat="false" ht="18" hidden="false" customHeight="true" outlineLevel="0" collapsed="false">
      <c r="A6" s="171"/>
      <c r="B6" s="172"/>
      <c r="C6" s="172"/>
      <c r="D6" s="173"/>
      <c r="E6" s="174"/>
      <c r="F6" s="175"/>
      <c r="G6" s="176"/>
      <c r="H6" s="177"/>
      <c r="I6" s="178"/>
      <c r="J6" s="179"/>
      <c r="K6" s="180"/>
      <c r="L6" s="180"/>
      <c r="M6" s="181"/>
      <c r="N6" s="181"/>
      <c r="O6" s="181"/>
      <c r="P6" s="182"/>
      <c r="Q6" s="181"/>
      <c r="R6" s="183"/>
      <c r="S6" s="184"/>
      <c r="T6" s="184"/>
      <c r="U6" s="184"/>
      <c r="V6" s="184"/>
      <c r="W6" s="184"/>
      <c r="X6" s="184"/>
      <c r="Y6" s="184"/>
      <c r="Z6" s="184"/>
      <c r="AA6" s="185"/>
      <c r="AB6" s="186"/>
      <c r="AC6" s="184"/>
      <c r="AD6" s="184"/>
      <c r="AE6" s="184"/>
      <c r="AF6" s="184"/>
      <c r="AG6" s="184"/>
      <c r="AH6" s="184"/>
      <c r="AI6" s="187"/>
      <c r="AJ6" s="188"/>
      <c r="AR6" s="170"/>
    </row>
    <row r="7" customFormat="false" ht="18" hidden="false" customHeight="true" outlineLevel="0" collapsed="false">
      <c r="A7" s="171"/>
      <c r="B7" s="172"/>
      <c r="C7" s="172"/>
      <c r="D7" s="173"/>
      <c r="E7" s="174"/>
      <c r="F7" s="175"/>
      <c r="G7" s="176"/>
      <c r="H7" s="177"/>
      <c r="I7" s="178"/>
      <c r="J7" s="179"/>
      <c r="K7" s="180"/>
      <c r="L7" s="180"/>
      <c r="M7" s="181"/>
      <c r="N7" s="181"/>
      <c r="O7" s="181"/>
      <c r="P7" s="182"/>
      <c r="Q7" s="181"/>
      <c r="R7" s="183"/>
      <c r="S7" s="184"/>
      <c r="T7" s="184"/>
      <c r="U7" s="184"/>
      <c r="V7" s="184"/>
      <c r="W7" s="184"/>
      <c r="X7" s="184"/>
      <c r="Y7" s="184"/>
      <c r="Z7" s="184"/>
      <c r="AA7" s="185"/>
      <c r="AB7" s="186"/>
      <c r="AC7" s="184"/>
      <c r="AD7" s="184"/>
      <c r="AE7" s="184"/>
      <c r="AF7" s="184"/>
      <c r="AG7" s="184"/>
      <c r="AH7" s="184"/>
      <c r="AI7" s="187"/>
      <c r="AJ7" s="188"/>
      <c r="AR7" s="170"/>
    </row>
    <row r="8" customFormat="false" ht="18" hidden="false" customHeight="true" outlineLevel="0" collapsed="false">
      <c r="A8" s="171"/>
      <c r="B8" s="172"/>
      <c r="C8" s="172"/>
      <c r="D8" s="173"/>
      <c r="E8" s="174"/>
      <c r="F8" s="175"/>
      <c r="G8" s="176"/>
      <c r="H8" s="177"/>
      <c r="I8" s="178"/>
      <c r="J8" s="179"/>
      <c r="K8" s="180"/>
      <c r="L8" s="180"/>
      <c r="M8" s="181"/>
      <c r="N8" s="181"/>
      <c r="O8" s="181"/>
      <c r="P8" s="182"/>
      <c r="Q8" s="181"/>
      <c r="R8" s="183"/>
      <c r="S8" s="184"/>
      <c r="T8" s="184"/>
      <c r="U8" s="184"/>
      <c r="V8" s="184"/>
      <c r="W8" s="184"/>
      <c r="X8" s="184"/>
      <c r="Y8" s="184"/>
      <c r="Z8" s="184"/>
      <c r="AA8" s="185"/>
      <c r="AB8" s="186"/>
      <c r="AC8" s="184"/>
      <c r="AD8" s="184"/>
      <c r="AE8" s="184"/>
      <c r="AF8" s="184"/>
      <c r="AG8" s="184"/>
      <c r="AH8" s="184"/>
      <c r="AI8" s="187"/>
      <c r="AJ8" s="188"/>
      <c r="AR8" s="170"/>
    </row>
    <row r="9" customFormat="false" ht="18" hidden="false" customHeight="true" outlineLevel="0" collapsed="false">
      <c r="A9" s="171"/>
      <c r="B9" s="172"/>
      <c r="C9" s="172"/>
      <c r="D9" s="173"/>
      <c r="E9" s="174"/>
      <c r="F9" s="175"/>
      <c r="G9" s="176"/>
      <c r="H9" s="177"/>
      <c r="I9" s="178"/>
      <c r="J9" s="179"/>
      <c r="K9" s="180"/>
      <c r="L9" s="180"/>
      <c r="M9" s="181"/>
      <c r="N9" s="181"/>
      <c r="O9" s="181"/>
      <c r="P9" s="182"/>
      <c r="Q9" s="181"/>
      <c r="R9" s="183"/>
      <c r="S9" s="184"/>
      <c r="T9" s="184"/>
      <c r="U9" s="184"/>
      <c r="V9" s="184"/>
      <c r="W9" s="184"/>
      <c r="X9" s="184"/>
      <c r="Y9" s="184"/>
      <c r="Z9" s="184"/>
      <c r="AA9" s="185"/>
      <c r="AB9" s="186"/>
      <c r="AC9" s="184"/>
      <c r="AD9" s="184"/>
      <c r="AE9" s="184"/>
      <c r="AF9" s="184"/>
      <c r="AG9" s="184"/>
      <c r="AH9" s="184"/>
      <c r="AI9" s="187"/>
      <c r="AJ9" s="188"/>
      <c r="AR9" s="170"/>
    </row>
    <row r="10" customFormat="false" ht="18" hidden="false" customHeight="true" outlineLevel="0" collapsed="false">
      <c r="A10" s="171"/>
      <c r="B10" s="172"/>
      <c r="C10" s="172"/>
      <c r="D10" s="173"/>
      <c r="E10" s="174"/>
      <c r="F10" s="175"/>
      <c r="G10" s="176"/>
      <c r="H10" s="177"/>
      <c r="I10" s="178"/>
      <c r="J10" s="179"/>
      <c r="K10" s="180"/>
      <c r="L10" s="180"/>
      <c r="M10" s="181"/>
      <c r="N10" s="181"/>
      <c r="O10" s="181"/>
      <c r="P10" s="182"/>
      <c r="Q10" s="181"/>
      <c r="R10" s="183"/>
      <c r="S10" s="184"/>
      <c r="T10" s="184"/>
      <c r="U10" s="184"/>
      <c r="V10" s="184"/>
      <c r="W10" s="184"/>
      <c r="X10" s="184"/>
      <c r="Y10" s="184"/>
      <c r="Z10" s="184"/>
      <c r="AA10" s="185"/>
      <c r="AB10" s="186"/>
      <c r="AC10" s="184"/>
      <c r="AD10" s="184"/>
      <c r="AE10" s="184"/>
      <c r="AF10" s="184"/>
      <c r="AG10" s="184"/>
      <c r="AH10" s="184"/>
      <c r="AI10" s="187"/>
      <c r="AJ10" s="188"/>
      <c r="AR10" s="170"/>
    </row>
    <row r="11" customFormat="false" ht="14.25" hidden="false" customHeight="true" outlineLevel="0" collapsed="false">
      <c r="B11" s="189" t="str">
        <f aca="false">'Lista de Compra'!B10</f>
        <v>6201-DDU</v>
      </c>
      <c r="C11" s="189" t="str">
        <f aca="false">'Lista de Compra'!E10</f>
        <v>8466.93.50</v>
      </c>
      <c r="D11" s="190" t="n">
        <f aca="false">'Lista de Compra'!K10</f>
        <v>500</v>
      </c>
      <c r="E11" s="191" t="n">
        <f aca="false">'Lista de Compra'!P10</f>
        <v>0.0195812330360605</v>
      </c>
      <c r="F11" s="192" t="n">
        <f aca="false">'Lista de Compra'!M10</f>
        <v>0.101</v>
      </c>
      <c r="G11" s="192" t="n">
        <f aca="false">D11*F11</f>
        <v>50.5</v>
      </c>
      <c r="H11" s="192" t="n">
        <f aca="false">G11*$H$4</f>
        <v>258.56</v>
      </c>
      <c r="I11" s="192" t="n">
        <f aca="false">$I$4*E11</f>
        <v>19.3854207056999</v>
      </c>
      <c r="J11" s="192" t="n">
        <f aca="false">'Rateio Custos Fixos'!E12</f>
        <v>11.763778208608</v>
      </c>
      <c r="K11" s="193" t="n">
        <f aca="false">SUM(H11,J11)</f>
        <v>270.323778208608</v>
      </c>
      <c r="L11" s="193" t="n">
        <f aca="false">K11+M11</f>
        <v>300.600041367972</v>
      </c>
      <c r="M11" s="192" t="n">
        <f aca="false">K11*IFERROR(VLOOKUP(C11,$C$5:$Q$5,11,FALSE()),0)</f>
        <v>30.2762631593641</v>
      </c>
      <c r="N11" s="192" t="n">
        <f aca="false">L11*IFERROR(VLOOKUP(C11,$C$5:$Q$5,12,FALSE()),0)</f>
        <v>0</v>
      </c>
      <c r="O11" s="192" t="n">
        <f aca="false">L11*IFERROR(VLOOKUP(C11,$C$5:$Q$5,13,FALSE()),0)</f>
        <v>6.31260086872741</v>
      </c>
      <c r="P11" s="192" t="n">
        <f aca="false">L11*IFERROR(VLOOKUP(C11,$C$5:$Q$5,14,FALSE()),0)</f>
        <v>32.013904405689</v>
      </c>
      <c r="Q11" s="192" t="n">
        <f aca="false">L11*IFERROR(VLOOKUP(C11,$C$5:$Q$5,15,FALSE()),0)</f>
        <v>18.0360024820783</v>
      </c>
      <c r="R11" s="193" t="n">
        <f aca="false">SUM(M11:Q11)</f>
        <v>86.6387709158589</v>
      </c>
      <c r="S11" s="194" t="n">
        <f aca="false">'Rateio Custos Fixos'!F12</f>
        <v>4.20017448623498</v>
      </c>
      <c r="T11" s="194" t="n">
        <f aca="false">'Rateio Custos Fixos'!G12</f>
        <v>0.195812330360605</v>
      </c>
      <c r="U11" s="194" t="n">
        <f aca="false">'Rateio Custos Fixos'!H12</f>
        <v>19.3854207056999</v>
      </c>
      <c r="V11" s="194" t="n">
        <f aca="false">'Rateio Custos Fixos'!I12</f>
        <v>0.939899185730903</v>
      </c>
      <c r="W11" s="194" t="n">
        <f aca="false">'Rateio Custos Fixos'!J12</f>
        <v>2.38891043039938</v>
      </c>
      <c r="X11" s="194" t="n">
        <f aca="false">'Rateio Custos Fixos'!K12</f>
        <v>0.195812330360605</v>
      </c>
      <c r="Y11" s="194" t="n">
        <f aca="false">'Rateio Custos Fixos'!L12</f>
        <v>15.1734974796433</v>
      </c>
      <c r="Z11" s="194" t="n">
        <f aca="false">'Rateio Custos Fixos'!M12</f>
        <v>3.00767739433889</v>
      </c>
      <c r="AA11" s="194" t="n">
        <f aca="false">'Rateio Custos Fixos'!N12</f>
        <v>0.941102256688639</v>
      </c>
      <c r="AB11" s="194" t="n">
        <f aca="false">'Rateio Custos Fixos'!O12</f>
        <v>0</v>
      </c>
      <c r="AC11" s="194" t="n">
        <f aca="false">'Rateio Custos Fixos'!P12</f>
        <v>14.822014346646</v>
      </c>
      <c r="AD11" s="194" t="n">
        <f aca="false">'Rateio Custos Fixos'!Q12</f>
        <v>0.39162466072121</v>
      </c>
      <c r="AE11" s="194" t="n">
        <f aca="false">'Rateio Custos Fixos'!R12</f>
        <v>2.2998158200853</v>
      </c>
      <c r="AF11" s="194" t="n">
        <f aca="false">'Rateio Custos Fixos'!S12</f>
        <v>5.6002326483133</v>
      </c>
      <c r="AG11" s="194" t="n">
        <f aca="false">'Rateio Custos Fixos'!T12</f>
        <v>58.7436991081815</v>
      </c>
      <c r="AH11" s="194" t="n">
        <f aca="false">'Rateio Custos Fixos'!U12</f>
        <v>50.9112058937573</v>
      </c>
      <c r="AI11" s="195" t="n">
        <f aca="false">SUM(S11:AH11)</f>
        <v>179.196899077162</v>
      </c>
      <c r="AJ11" s="196" t="n">
        <f aca="false">K11+R11+AI11</f>
        <v>536.159448201629</v>
      </c>
      <c r="AK11" s="197" t="n">
        <f aca="false">IFERROR(AJ11/D11,0)</f>
        <v>1.07231889640326</v>
      </c>
      <c r="AL11" s="198" t="n">
        <f aca="false">IFERROR(AJ11/D11,0)</f>
        <v>1.07231889640326</v>
      </c>
      <c r="AM11" s="199"/>
      <c r="AN11" s="200"/>
    </row>
    <row r="12" customFormat="false" ht="14.25" hidden="false" customHeight="true" outlineLevel="0" collapsed="false">
      <c r="B12" s="189" t="str">
        <f aca="false">'Lista de Compra'!B11</f>
        <v>6204-DDU</v>
      </c>
      <c r="C12" s="189" t="str">
        <f aca="false">'Lista de Compra'!E11</f>
        <v>8466.93.50</v>
      </c>
      <c r="D12" s="190" t="n">
        <f aca="false">'Lista de Compra'!K11</f>
        <v>500</v>
      </c>
      <c r="E12" s="191" t="n">
        <f aca="false">'Lista de Compra'!P11</f>
        <v>0.0321830166731291</v>
      </c>
      <c r="F12" s="192" t="n">
        <f aca="false">'Lista de Compra'!M11</f>
        <v>0.166</v>
      </c>
      <c r="G12" s="192" t="n">
        <f aca="false">D12*F12</f>
        <v>83</v>
      </c>
      <c r="H12" s="192" t="n">
        <f aca="false">G12*$H$4</f>
        <v>424.96</v>
      </c>
      <c r="I12" s="192" t="n">
        <f aca="false">$I$4*E12</f>
        <v>31.8611865063978</v>
      </c>
      <c r="J12" s="192" t="n">
        <f aca="false">'Rateio Custos Fixos'!E13</f>
        <v>19.3345265606824</v>
      </c>
      <c r="K12" s="193" t="n">
        <f aca="false">SUM(H12,J12)</f>
        <v>444.294526560682</v>
      </c>
      <c r="L12" s="193" t="n">
        <f aca="false">K12+M12</f>
        <v>494.055513535479</v>
      </c>
      <c r="M12" s="192" t="n">
        <f aca="false">K12*IFERROR(VLOOKUP(C12,$C$5:$Q$5,11,FALSE()),0)</f>
        <v>49.7609869747964</v>
      </c>
      <c r="N12" s="192" t="n">
        <f aca="false">L12*IFERROR(VLOOKUP(C12,$C$5:$Q$5,12,FALSE()),0)</f>
        <v>0</v>
      </c>
      <c r="O12" s="192" t="n">
        <f aca="false">L12*IFERROR(VLOOKUP(C12,$C$5:$Q$5,13,FALSE()),0)</f>
        <v>10.3751657842451</v>
      </c>
      <c r="P12" s="192" t="n">
        <f aca="false">L12*IFERROR(VLOOKUP(C12,$C$5:$Q$5,14,FALSE()),0)</f>
        <v>52.6169121915285</v>
      </c>
      <c r="Q12" s="192" t="n">
        <f aca="false">L12*IFERROR(VLOOKUP(C12,$C$5:$Q$5,15,FALSE()),0)</f>
        <v>29.6433308121287</v>
      </c>
      <c r="R12" s="193" t="n">
        <f aca="false">SUM(M12:Q12)</f>
        <v>142.396395762699</v>
      </c>
      <c r="S12" s="194" t="n">
        <f aca="false">'Rateio Custos Fixos'!F13</f>
        <v>6.9032570763862</v>
      </c>
      <c r="T12" s="194" t="n">
        <f aca="false">'Rateio Custos Fixos'!G13</f>
        <v>0.321830166731291</v>
      </c>
      <c r="U12" s="194" t="n">
        <f aca="false">'Rateio Custos Fixos'!H13</f>
        <v>31.8611865063978</v>
      </c>
      <c r="V12" s="194" t="n">
        <f aca="false">'Rateio Custos Fixos'!I13</f>
        <v>1.5447848003102</v>
      </c>
      <c r="W12" s="194" t="n">
        <f aca="false">'Rateio Custos Fixos'!J13</f>
        <v>3.92632803412175</v>
      </c>
      <c r="X12" s="194" t="n">
        <f aca="false">'Rateio Custos Fixos'!K13</f>
        <v>0.321830166731291</v>
      </c>
      <c r="Y12" s="194" t="n">
        <f aca="false">'Rateio Custos Fixos'!L13</f>
        <v>24.9386196200078</v>
      </c>
      <c r="Z12" s="194" t="n">
        <f aca="false">'Rateio Custos Fixos'!M13</f>
        <v>4.94331136099263</v>
      </c>
      <c r="AA12" s="194" t="n">
        <f aca="false">'Rateio Custos Fixos'!N13</f>
        <v>1.54676212485459</v>
      </c>
      <c r="AB12" s="194" t="n">
        <f aca="false">'Rateio Custos Fixos'!O13</f>
        <v>0</v>
      </c>
      <c r="AC12" s="194" t="n">
        <f aca="false">'Rateio Custos Fixos'!P13</f>
        <v>24.3609344707251</v>
      </c>
      <c r="AD12" s="194" t="n">
        <f aca="false">'Rateio Custos Fixos'!Q13</f>
        <v>0.643660333462582</v>
      </c>
      <c r="AE12" s="194" t="n">
        <f aca="false">'Rateio Custos Fixos'!R13</f>
        <v>3.77989530825902</v>
      </c>
      <c r="AF12" s="194" t="n">
        <f aca="false">'Rateio Custos Fixos'!S13</f>
        <v>9.20434276851493</v>
      </c>
      <c r="AG12" s="194" t="n">
        <f aca="false">'Rateio Custos Fixos'!T13</f>
        <v>96.5490500193874</v>
      </c>
      <c r="AH12" s="194" t="n">
        <f aca="false">'Rateio Custos Fixos'!U13</f>
        <v>83.6758433501357</v>
      </c>
      <c r="AI12" s="195" t="n">
        <f aca="false">SUM(S12:AH12)</f>
        <v>294.521636107018</v>
      </c>
      <c r="AJ12" s="196" t="n">
        <f aca="false">K12+R12+AI12</f>
        <v>881.212558430399</v>
      </c>
      <c r="AK12" s="197" t="n">
        <f aca="false">IFERROR(AJ12/D12,0)</f>
        <v>1.7624251168608</v>
      </c>
      <c r="AL12" s="198" t="n">
        <f aca="false">IFERROR(AJ12/D12,0)</f>
        <v>1.7624251168608</v>
      </c>
      <c r="AM12" s="199"/>
      <c r="AN12" s="200"/>
    </row>
    <row r="13" customFormat="false" ht="14.25" hidden="false" customHeight="true" outlineLevel="0" collapsed="false">
      <c r="B13" s="189" t="str">
        <f aca="false">'Lista de Compra'!B12</f>
        <v>6205-DDU</v>
      </c>
      <c r="C13" s="189" t="str">
        <f aca="false">'Lista de Compra'!E12</f>
        <v>8466.93.50</v>
      </c>
      <c r="D13" s="190" t="n">
        <f aca="false">'Lista de Compra'!K12</f>
        <v>500</v>
      </c>
      <c r="E13" s="191" t="n">
        <f aca="false">'Lista de Compra'!P12</f>
        <v>0.0393563396665374</v>
      </c>
      <c r="F13" s="192" t="n">
        <f aca="false">'Lista de Compra'!M12</f>
        <v>0.203</v>
      </c>
      <c r="G13" s="192" t="n">
        <f aca="false">D13*F13</f>
        <v>101.5</v>
      </c>
      <c r="H13" s="192" t="n">
        <f aca="false">G13*$H$4</f>
        <v>519.68</v>
      </c>
      <c r="I13" s="192" t="n">
        <f aca="false">$I$4*E13</f>
        <v>38.962776269872</v>
      </c>
      <c r="J13" s="192" t="n">
        <f aca="false">'Rateio Custos Fixos'!E14</f>
        <v>23.6440294687864</v>
      </c>
      <c r="K13" s="193" t="n">
        <f aca="false">SUM(H13,J13)</f>
        <v>543.324029468786</v>
      </c>
      <c r="L13" s="193" t="n">
        <f aca="false">K13+M13</f>
        <v>604.17632076929</v>
      </c>
      <c r="M13" s="192" t="n">
        <f aca="false">K13*IFERROR(VLOOKUP(C13,$C$5:$Q$5,11,FALSE()),0)</f>
        <v>60.8522913005041</v>
      </c>
      <c r="N13" s="192" t="n">
        <f aca="false">L13*IFERROR(VLOOKUP(C13,$C$5:$Q$5,12,FALSE()),0)</f>
        <v>0</v>
      </c>
      <c r="O13" s="192" t="n">
        <f aca="false">L13*IFERROR(VLOOKUP(C13,$C$5:$Q$5,13,FALSE()),0)</f>
        <v>12.6877027361551</v>
      </c>
      <c r="P13" s="192" t="n">
        <f aca="false">L13*IFERROR(VLOOKUP(C13,$C$5:$Q$5,14,FALSE()),0)</f>
        <v>64.3447781619294</v>
      </c>
      <c r="Q13" s="192" t="n">
        <f aca="false">L13*IFERROR(VLOOKUP(C13,$C$5:$Q$5,15,FALSE()),0)</f>
        <v>36.2505792461574</v>
      </c>
      <c r="R13" s="193" t="n">
        <f aca="false">SUM(M13:Q13)</f>
        <v>174.135351444746</v>
      </c>
      <c r="S13" s="194" t="n">
        <f aca="false">'Rateio Custos Fixos'!F14</f>
        <v>8.44193485847228</v>
      </c>
      <c r="T13" s="194" t="n">
        <f aca="false">'Rateio Custos Fixos'!G14</f>
        <v>0.393563396665374</v>
      </c>
      <c r="U13" s="194" t="n">
        <f aca="false">'Rateio Custos Fixos'!H14</f>
        <v>38.962776269872</v>
      </c>
      <c r="V13" s="194" t="n">
        <f aca="false">'Rateio Custos Fixos'!I14</f>
        <v>1.8891043039938</v>
      </c>
      <c r="W13" s="194" t="n">
        <f aca="false">'Rateio Custos Fixos'!J14</f>
        <v>4.80147343931757</v>
      </c>
      <c r="X13" s="194" t="n">
        <f aca="false">'Rateio Custos Fixos'!K14</f>
        <v>0.393563396665374</v>
      </c>
      <c r="Y13" s="194" t="n">
        <f aca="false">'Rateio Custos Fixos'!L14</f>
        <v>30.4972276075998</v>
      </c>
      <c r="Z13" s="194" t="n">
        <f aca="false">'Rateio Custos Fixos'!M14</f>
        <v>6.04513377278015</v>
      </c>
      <c r="AA13" s="194" t="n">
        <f aca="false">'Rateio Custos Fixos'!N14</f>
        <v>1.89152235750291</v>
      </c>
      <c r="AB13" s="194" t="n">
        <f aca="false">'Rateio Custos Fixos'!O14</f>
        <v>0</v>
      </c>
      <c r="AC13" s="194" t="n">
        <f aca="false">'Rateio Custos Fixos'!P14</f>
        <v>29.7907813105855</v>
      </c>
      <c r="AD13" s="194" t="n">
        <f aca="false">'Rateio Custos Fixos'!Q14</f>
        <v>0.787126793330748</v>
      </c>
      <c r="AE13" s="194" t="n">
        <f aca="false">'Rateio Custos Fixos'!R14</f>
        <v>4.62240209383482</v>
      </c>
      <c r="AF13" s="194" t="n">
        <f aca="false">'Rateio Custos Fixos'!S14</f>
        <v>11.2559131446297</v>
      </c>
      <c r="AG13" s="194" t="n">
        <f aca="false">'Rateio Custos Fixos'!T14</f>
        <v>118.069018999612</v>
      </c>
      <c r="AH13" s="194" t="n">
        <f aca="false">'Rateio Custos Fixos'!U14</f>
        <v>102.326483132997</v>
      </c>
      <c r="AI13" s="195" t="n">
        <f aca="false">SUM(S13:AH13)</f>
        <v>360.16802487786</v>
      </c>
      <c r="AJ13" s="196" t="n">
        <f aca="false">K13+R13+AI13</f>
        <v>1077.62740579139</v>
      </c>
      <c r="AK13" s="197" t="n">
        <f aca="false">IFERROR(AJ13/D13,0)</f>
        <v>2.15525481158278</v>
      </c>
      <c r="AL13" s="198" t="n">
        <f aca="false">IFERROR(AJ13/D13,0)</f>
        <v>2.15525481158278</v>
      </c>
      <c r="AM13" s="199"/>
    </row>
    <row r="14" customFormat="false" ht="14.25" hidden="false" customHeight="true" outlineLevel="0" collapsed="false">
      <c r="B14" s="189" t="str">
        <f aca="false">'Lista de Compra'!B13</f>
        <v>6206-DDU</v>
      </c>
      <c r="C14" s="189" t="str">
        <f aca="false">'Lista de Compra'!E13</f>
        <v>8466.93.50</v>
      </c>
      <c r="D14" s="190" t="n">
        <f aca="false">'Lista de Compra'!K13</f>
        <v>500</v>
      </c>
      <c r="E14" s="191" t="n">
        <f aca="false">'Lista de Compra'!P13</f>
        <v>0.0581620783249321</v>
      </c>
      <c r="F14" s="192" t="n">
        <f aca="false">'Lista de Compra'!M13</f>
        <v>0.3</v>
      </c>
      <c r="G14" s="192" t="n">
        <f aca="false">D14*F14</f>
        <v>150</v>
      </c>
      <c r="H14" s="192" t="n">
        <f aca="false">G14*$H$4</f>
        <v>768</v>
      </c>
      <c r="I14" s="192" t="n">
        <f aca="false">$I$4*E14</f>
        <v>57.5804575416828</v>
      </c>
      <c r="J14" s="192" t="n">
        <f aca="false">'Rateio Custos Fixos'!E15</f>
        <v>34.9419154711128</v>
      </c>
      <c r="K14" s="193" t="n">
        <f aca="false">SUM(H14,J14)</f>
        <v>802.941915471113</v>
      </c>
      <c r="L14" s="193" t="n">
        <f aca="false">K14+M14</f>
        <v>892.871410003877</v>
      </c>
      <c r="M14" s="192" t="n">
        <f aca="false">K14*IFERROR(VLOOKUP(C14,$C$5:$Q$5,11,FALSE()),0)</f>
        <v>89.9294945327646</v>
      </c>
      <c r="N14" s="192" t="n">
        <f aca="false">L14*IFERROR(VLOOKUP(C14,$C$5:$Q$5,12,FALSE()),0)</f>
        <v>0</v>
      </c>
      <c r="O14" s="192" t="n">
        <f aca="false">L14*IFERROR(VLOOKUP(C14,$C$5:$Q$5,13,FALSE()),0)</f>
        <v>18.7502996100814</v>
      </c>
      <c r="P14" s="192" t="n">
        <f aca="false">L14*IFERROR(VLOOKUP(C14,$C$5:$Q$5,14,FALSE()),0)</f>
        <v>95.0908051654129</v>
      </c>
      <c r="Q14" s="192" t="n">
        <f aca="false">L14*IFERROR(VLOOKUP(C14,$C$5:$Q$5,15,FALSE()),0)</f>
        <v>53.5722846002326</v>
      </c>
      <c r="R14" s="193" t="n">
        <f aca="false">SUM(M14:Q14)</f>
        <v>257.342883908492</v>
      </c>
      <c r="S14" s="194" t="n">
        <f aca="false">'Rateio Custos Fixos'!F15</f>
        <v>12.4757658006979</v>
      </c>
      <c r="T14" s="194" t="n">
        <f aca="false">'Rateio Custos Fixos'!G15</f>
        <v>0.581620783249321</v>
      </c>
      <c r="U14" s="194" t="n">
        <f aca="false">'Rateio Custos Fixos'!H15</f>
        <v>57.5804575416828</v>
      </c>
      <c r="V14" s="194" t="n">
        <f aca="false">'Rateio Custos Fixos'!I15</f>
        <v>2.79177975959674</v>
      </c>
      <c r="W14" s="194" t="n">
        <f aca="false">'Rateio Custos Fixos'!J15</f>
        <v>7.09577355564172</v>
      </c>
      <c r="X14" s="194" t="n">
        <f aca="false">'Rateio Custos Fixos'!K15</f>
        <v>0.581620783249321</v>
      </c>
      <c r="Y14" s="194" t="n">
        <f aca="false">'Rateio Custos Fixos'!L15</f>
        <v>45.0697944939899</v>
      </c>
      <c r="Z14" s="194" t="n">
        <f aca="false">'Rateio Custos Fixos'!M15</f>
        <v>8.93369523070958</v>
      </c>
      <c r="AA14" s="194" t="n">
        <f aca="false">'Rateio Custos Fixos'!N15</f>
        <v>2.79535323768903</v>
      </c>
      <c r="AB14" s="194" t="n">
        <f aca="false">'Rateio Custos Fixos'!O15</f>
        <v>0</v>
      </c>
      <c r="AC14" s="194" t="n">
        <f aca="false">'Rateio Custos Fixos'!P15</f>
        <v>44.0257851880574</v>
      </c>
      <c r="AD14" s="194" t="n">
        <f aca="false">'Rateio Custos Fixos'!Q15</f>
        <v>1.16324156649864</v>
      </c>
      <c r="AE14" s="194" t="n">
        <f aca="false">'Rateio Custos Fixos'!R15</f>
        <v>6.83113609926328</v>
      </c>
      <c r="AF14" s="194" t="n">
        <f aca="false">'Rateio Custos Fixos'!S15</f>
        <v>16.6343544009306</v>
      </c>
      <c r="AG14" s="194" t="n">
        <f aca="false">'Rateio Custos Fixos'!T15</f>
        <v>174.486234974796</v>
      </c>
      <c r="AH14" s="194" t="n">
        <f aca="false">'Rateio Custos Fixos'!U15</f>
        <v>151.221403644824</v>
      </c>
      <c r="AI14" s="195" t="n">
        <f aca="false">SUM(S14:AH14)</f>
        <v>532.268017060876</v>
      </c>
      <c r="AJ14" s="196" t="n">
        <f aca="false">K14+R14+AI14</f>
        <v>1592.55281644048</v>
      </c>
      <c r="AK14" s="197" t="n">
        <f aca="false">IFERROR(AJ14/D14,0)</f>
        <v>3.18510563288096</v>
      </c>
      <c r="AL14" s="198" t="n">
        <f aca="false">IFERROR(AJ14/D14,0)</f>
        <v>3.18510563288096</v>
      </c>
      <c r="AM14" s="199"/>
    </row>
    <row r="15" customFormat="false" ht="14.25" hidden="false" customHeight="true" outlineLevel="0" collapsed="false">
      <c r="B15" s="189" t="str">
        <f aca="false">'Lista de Compra'!B14</f>
        <v>6004-DDU</v>
      </c>
      <c r="C15" s="189" t="str">
        <f aca="false">'Lista de Compra'!E14</f>
        <v>8466.93.50</v>
      </c>
      <c r="D15" s="190" t="n">
        <f aca="false">'Lista de Compra'!K14</f>
        <v>500</v>
      </c>
      <c r="E15" s="191" t="n">
        <f aca="false">'Lista de Compra'!P14</f>
        <v>0.0269484296238852</v>
      </c>
      <c r="F15" s="192" t="n">
        <f aca="false">'Lista de Compra'!M14</f>
        <v>0.139</v>
      </c>
      <c r="G15" s="192" t="n">
        <f aca="false">D15*F15</f>
        <v>69.5</v>
      </c>
      <c r="H15" s="192" t="n">
        <f aca="false">G15*$H$4</f>
        <v>355.84</v>
      </c>
      <c r="I15" s="192" t="n">
        <f aca="false">$I$4*E15</f>
        <v>26.6789453276464</v>
      </c>
      <c r="J15" s="192" t="n">
        <f aca="false">'Rateio Custos Fixos'!E16</f>
        <v>16.1897541682823</v>
      </c>
      <c r="K15" s="193" t="n">
        <f aca="false">SUM(H15,J15)</f>
        <v>372.029754168282</v>
      </c>
      <c r="L15" s="193" t="n">
        <f aca="false">K15+M15</f>
        <v>413.69708663513</v>
      </c>
      <c r="M15" s="192" t="n">
        <f aca="false">K15*IFERROR(VLOOKUP(C15,$C$5:$Q$5,11,FALSE()),0)</f>
        <v>41.6673324668476</v>
      </c>
      <c r="N15" s="192" t="n">
        <f aca="false">L15*IFERROR(VLOOKUP(C15,$C$5:$Q$5,12,FALSE()),0)</f>
        <v>0</v>
      </c>
      <c r="O15" s="192" t="n">
        <f aca="false">L15*IFERROR(VLOOKUP(C15,$C$5:$Q$5,13,FALSE()),0)</f>
        <v>8.68763881933773</v>
      </c>
      <c r="P15" s="192" t="n">
        <f aca="false">L15*IFERROR(VLOOKUP(C15,$C$5:$Q$5,14,FALSE()),0)</f>
        <v>44.0587397266413</v>
      </c>
      <c r="Q15" s="192" t="n">
        <f aca="false">L15*IFERROR(VLOOKUP(C15,$C$5:$Q$5,15,FALSE()),0)</f>
        <v>24.8218251981078</v>
      </c>
      <c r="R15" s="193" t="n">
        <f aca="false">SUM(M15:Q15)</f>
        <v>119.235536210934</v>
      </c>
      <c r="S15" s="194" t="n">
        <f aca="false">'Rateio Custos Fixos'!F16</f>
        <v>5.78043815432338</v>
      </c>
      <c r="T15" s="194" t="n">
        <f aca="false">'Rateio Custos Fixos'!G16</f>
        <v>0.269484296238852</v>
      </c>
      <c r="U15" s="194" t="n">
        <f aca="false">'Rateio Custos Fixos'!H16</f>
        <v>26.6789453276464</v>
      </c>
      <c r="V15" s="194" t="n">
        <f aca="false">'Rateio Custos Fixos'!I16</f>
        <v>1.29352462194649</v>
      </c>
      <c r="W15" s="194" t="n">
        <f aca="false">'Rateio Custos Fixos'!J16</f>
        <v>3.287708414114</v>
      </c>
      <c r="X15" s="194" t="n">
        <f aca="false">'Rateio Custos Fixos'!K16</f>
        <v>0.269484296238852</v>
      </c>
      <c r="Y15" s="194" t="n">
        <f aca="false">'Rateio Custos Fixos'!L16</f>
        <v>20.8823381155487</v>
      </c>
      <c r="Z15" s="194" t="n">
        <f aca="false">'Rateio Custos Fixos'!M16</f>
        <v>4.13927879022877</v>
      </c>
      <c r="AA15" s="194" t="n">
        <f aca="false">'Rateio Custos Fixos'!N16</f>
        <v>1.29518033346258</v>
      </c>
      <c r="AB15" s="194" t="n">
        <f aca="false">'Rateio Custos Fixos'!O16</f>
        <v>0</v>
      </c>
      <c r="AC15" s="194" t="n">
        <f aca="false">'Rateio Custos Fixos'!P16</f>
        <v>20.3986138037999</v>
      </c>
      <c r="AD15" s="194" t="n">
        <f aca="false">'Rateio Custos Fixos'!Q16</f>
        <v>0.538968592477705</v>
      </c>
      <c r="AE15" s="194" t="n">
        <f aca="false">'Rateio Custos Fixos'!R16</f>
        <v>3.16509305932532</v>
      </c>
      <c r="AF15" s="194" t="n">
        <f aca="false">'Rateio Custos Fixos'!S16</f>
        <v>7.70725087243118</v>
      </c>
      <c r="AG15" s="194" t="n">
        <f aca="false">'Rateio Custos Fixos'!T16</f>
        <v>80.8452888716557</v>
      </c>
      <c r="AH15" s="194" t="n">
        <f aca="false">'Rateio Custos Fixos'!U16</f>
        <v>70.0659170221016</v>
      </c>
      <c r="AI15" s="195" t="n">
        <f aca="false">SUM(S15:AH15)</f>
        <v>246.617514571539</v>
      </c>
      <c r="AJ15" s="196" t="n">
        <f aca="false">K15+R15+AI15</f>
        <v>737.882804950756</v>
      </c>
      <c r="AK15" s="197" t="n">
        <f aca="false">IFERROR(AJ15/D15,0)</f>
        <v>1.47576560990151</v>
      </c>
      <c r="AL15" s="198" t="n">
        <f aca="false">IFERROR(AJ15/D15,0)</f>
        <v>1.47576560990151</v>
      </c>
      <c r="AM15" s="199"/>
    </row>
    <row r="16" customFormat="false" ht="14.25" hidden="false" customHeight="true" outlineLevel="0" collapsed="false">
      <c r="B16" s="189" t="str">
        <f aca="false">'Lista de Compra'!B15</f>
        <v>6001-DDU</v>
      </c>
      <c r="C16" s="189" t="str">
        <f aca="false">'Lista de Compra'!E15</f>
        <v>8466.93.50</v>
      </c>
      <c r="D16" s="190" t="n">
        <f aca="false">'Lista de Compra'!K15</f>
        <v>500</v>
      </c>
      <c r="E16" s="191" t="n">
        <f aca="false">'Lista de Compra'!P15</f>
        <v>0.0160915083365646</v>
      </c>
      <c r="F16" s="192" t="n">
        <f aca="false">'Lista de Compra'!M15</f>
        <v>0.083</v>
      </c>
      <c r="G16" s="192" t="n">
        <f aca="false">D16*F16</f>
        <v>41.5</v>
      </c>
      <c r="H16" s="192" t="n">
        <f aca="false">G16*$H$4</f>
        <v>212.48</v>
      </c>
      <c r="I16" s="192" t="n">
        <f aca="false">$I$4*E16</f>
        <v>15.9305932531989</v>
      </c>
      <c r="J16" s="192" t="n">
        <f aca="false">'Rateio Custos Fixos'!E17</f>
        <v>9.66726328034122</v>
      </c>
      <c r="K16" s="193" t="n">
        <f aca="false">SUM(H16,J16)</f>
        <v>222.147263280341</v>
      </c>
      <c r="L16" s="193" t="n">
        <f aca="false">K16+M16</f>
        <v>247.027756767739</v>
      </c>
      <c r="M16" s="192" t="n">
        <f aca="false">K16*IFERROR(VLOOKUP(C16,$C$5:$Q$5,11,FALSE()),0)</f>
        <v>24.8804934873982</v>
      </c>
      <c r="N16" s="192" t="n">
        <f aca="false">L16*IFERROR(VLOOKUP(C16,$C$5:$Q$5,12,FALSE()),0)</f>
        <v>0</v>
      </c>
      <c r="O16" s="192" t="n">
        <f aca="false">L16*IFERROR(VLOOKUP(C16,$C$5:$Q$5,13,FALSE()),0)</f>
        <v>5.18758289212253</v>
      </c>
      <c r="P16" s="192" t="n">
        <f aca="false">L16*IFERROR(VLOOKUP(C16,$C$5:$Q$5,14,FALSE()),0)</f>
        <v>26.3084560957643</v>
      </c>
      <c r="Q16" s="192" t="n">
        <f aca="false">L16*IFERROR(VLOOKUP(C16,$C$5:$Q$5,15,FALSE()),0)</f>
        <v>14.8216654060644</v>
      </c>
      <c r="R16" s="193" t="n">
        <f aca="false">SUM(M16:Q16)</f>
        <v>71.1981978813494</v>
      </c>
      <c r="S16" s="194" t="n">
        <f aca="false">'Rateio Custos Fixos'!F17</f>
        <v>3.4516285381931</v>
      </c>
      <c r="T16" s="194" t="n">
        <f aca="false">'Rateio Custos Fixos'!G17</f>
        <v>0.160915083365646</v>
      </c>
      <c r="U16" s="194" t="n">
        <f aca="false">'Rateio Custos Fixos'!H17</f>
        <v>15.9305932531989</v>
      </c>
      <c r="V16" s="194" t="n">
        <f aca="false">'Rateio Custos Fixos'!I17</f>
        <v>0.772392400155099</v>
      </c>
      <c r="W16" s="194" t="n">
        <f aca="false">'Rateio Custos Fixos'!J17</f>
        <v>1.96316401706088</v>
      </c>
      <c r="X16" s="194" t="n">
        <f aca="false">'Rateio Custos Fixos'!K17</f>
        <v>0.160915083365646</v>
      </c>
      <c r="Y16" s="194" t="n">
        <f aca="false">'Rateio Custos Fixos'!L17</f>
        <v>12.4693098100039</v>
      </c>
      <c r="Z16" s="194" t="n">
        <f aca="false">'Rateio Custos Fixos'!M17</f>
        <v>2.47165568049632</v>
      </c>
      <c r="AA16" s="194" t="n">
        <f aca="false">'Rateio Custos Fixos'!N17</f>
        <v>0.773381062427297</v>
      </c>
      <c r="AB16" s="194" t="n">
        <f aca="false">'Rateio Custos Fixos'!O17</f>
        <v>0</v>
      </c>
      <c r="AC16" s="194" t="n">
        <f aca="false">'Rateio Custos Fixos'!P17</f>
        <v>12.1804672353625</v>
      </c>
      <c r="AD16" s="194" t="n">
        <f aca="false">'Rateio Custos Fixos'!Q17</f>
        <v>0.321830166731291</v>
      </c>
      <c r="AE16" s="194" t="n">
        <f aca="false">'Rateio Custos Fixos'!R17</f>
        <v>1.88994765412951</v>
      </c>
      <c r="AF16" s="194" t="n">
        <f aca="false">'Rateio Custos Fixos'!S17</f>
        <v>4.60217138425746</v>
      </c>
      <c r="AG16" s="194" t="n">
        <f aca="false">'Rateio Custos Fixos'!T17</f>
        <v>48.2745250096937</v>
      </c>
      <c r="AH16" s="194" t="n">
        <f aca="false">'Rateio Custos Fixos'!U17</f>
        <v>41.8379216750679</v>
      </c>
      <c r="AI16" s="195" t="n">
        <f aca="false">SUM(S16:AH16)</f>
        <v>147.260818053509</v>
      </c>
      <c r="AJ16" s="196" t="n">
        <f aca="false">K16+R16+AI16</f>
        <v>440.6062792152</v>
      </c>
      <c r="AK16" s="197" t="n">
        <f aca="false">IFERROR(AJ16/D16,0)</f>
        <v>0.8812125584304</v>
      </c>
      <c r="AL16" s="198" t="n">
        <f aca="false">IFERROR(AJ16/D16,0)</f>
        <v>0.8812125584304</v>
      </c>
      <c r="AM16" s="199"/>
    </row>
    <row r="17" customFormat="false" ht="14.25" hidden="false" customHeight="true" outlineLevel="0" collapsed="false">
      <c r="B17" s="189" t="str">
        <f aca="false">'Lista de Compra'!B16</f>
        <v>6002-DDU</v>
      </c>
      <c r="C17" s="189" t="str">
        <f aca="false">'Lista de Compra'!E16</f>
        <v>8466.93.50</v>
      </c>
      <c r="D17" s="190" t="n">
        <f aca="false">'Lista de Compra'!K16</f>
        <v>500</v>
      </c>
      <c r="E17" s="191" t="n">
        <f aca="false">'Lista de Compra'!P16</f>
        <v>0.0195812330360605</v>
      </c>
      <c r="F17" s="192" t="n">
        <f aca="false">'Lista de Compra'!M16</f>
        <v>0.101</v>
      </c>
      <c r="G17" s="192" t="n">
        <f aca="false">D17*F17</f>
        <v>50.5</v>
      </c>
      <c r="H17" s="192" t="n">
        <f aca="false">G17*$H$4</f>
        <v>258.56</v>
      </c>
      <c r="I17" s="192" t="n">
        <f aca="false">$I$4*E17</f>
        <v>19.3854207056999</v>
      </c>
      <c r="J17" s="192" t="n">
        <f aca="false">'Rateio Custos Fixos'!E18</f>
        <v>11.763778208608</v>
      </c>
      <c r="K17" s="193" t="n">
        <f aca="false">SUM(H17,J17)</f>
        <v>270.323778208608</v>
      </c>
      <c r="L17" s="193" t="n">
        <f aca="false">K17+M17</f>
        <v>300.600041367972</v>
      </c>
      <c r="M17" s="192" t="n">
        <f aca="false">K17*IFERROR(VLOOKUP(C17,$C$5:$Q$5,11,FALSE()),0)</f>
        <v>30.2762631593641</v>
      </c>
      <c r="N17" s="192" t="n">
        <f aca="false">L17*IFERROR(VLOOKUP(C17,$C$5:$Q$5,12,FALSE()),0)</f>
        <v>0</v>
      </c>
      <c r="O17" s="192" t="n">
        <f aca="false">L17*IFERROR(VLOOKUP(C17,$C$5:$Q$5,13,FALSE()),0)</f>
        <v>6.31260086872741</v>
      </c>
      <c r="P17" s="192" t="n">
        <f aca="false">L17*IFERROR(VLOOKUP(C17,$C$5:$Q$5,14,FALSE()),0)</f>
        <v>32.013904405689</v>
      </c>
      <c r="Q17" s="192" t="n">
        <f aca="false">L17*IFERROR(VLOOKUP(C17,$C$5:$Q$5,15,FALSE()),0)</f>
        <v>18.0360024820783</v>
      </c>
      <c r="R17" s="193" t="n">
        <f aca="false">SUM(M17:Q17)</f>
        <v>86.6387709158589</v>
      </c>
      <c r="S17" s="194" t="n">
        <f aca="false">'Rateio Custos Fixos'!F18</f>
        <v>4.20017448623498</v>
      </c>
      <c r="T17" s="194" t="n">
        <f aca="false">'Rateio Custos Fixos'!G18</f>
        <v>0.195812330360605</v>
      </c>
      <c r="U17" s="194" t="n">
        <f aca="false">'Rateio Custos Fixos'!H18</f>
        <v>19.3854207056999</v>
      </c>
      <c r="V17" s="194" t="n">
        <f aca="false">'Rateio Custos Fixos'!I18</f>
        <v>0.939899185730903</v>
      </c>
      <c r="W17" s="194" t="n">
        <f aca="false">'Rateio Custos Fixos'!J18</f>
        <v>2.38891043039938</v>
      </c>
      <c r="X17" s="194" t="n">
        <f aca="false">'Rateio Custos Fixos'!K18</f>
        <v>0.195812330360605</v>
      </c>
      <c r="Y17" s="194" t="n">
        <f aca="false">'Rateio Custos Fixos'!L18</f>
        <v>15.1734974796433</v>
      </c>
      <c r="Z17" s="194" t="n">
        <f aca="false">'Rateio Custos Fixos'!M18</f>
        <v>3.00767739433889</v>
      </c>
      <c r="AA17" s="194" t="n">
        <f aca="false">'Rateio Custos Fixos'!N18</f>
        <v>0.941102256688639</v>
      </c>
      <c r="AB17" s="194" t="n">
        <f aca="false">'Rateio Custos Fixos'!O18</f>
        <v>0</v>
      </c>
      <c r="AC17" s="194" t="n">
        <f aca="false">'Rateio Custos Fixos'!P18</f>
        <v>14.822014346646</v>
      </c>
      <c r="AD17" s="194" t="n">
        <f aca="false">'Rateio Custos Fixos'!Q18</f>
        <v>0.39162466072121</v>
      </c>
      <c r="AE17" s="194" t="n">
        <f aca="false">'Rateio Custos Fixos'!R18</f>
        <v>2.2998158200853</v>
      </c>
      <c r="AF17" s="194" t="n">
        <f aca="false">'Rateio Custos Fixos'!S18</f>
        <v>5.6002326483133</v>
      </c>
      <c r="AG17" s="194" t="n">
        <f aca="false">'Rateio Custos Fixos'!T18</f>
        <v>58.7436991081815</v>
      </c>
      <c r="AH17" s="194" t="n">
        <f aca="false">'Rateio Custos Fixos'!U18</f>
        <v>50.9112058937573</v>
      </c>
      <c r="AI17" s="195" t="n">
        <f aca="false">SUM(S17:AH17)</f>
        <v>179.196899077162</v>
      </c>
      <c r="AJ17" s="196" t="n">
        <f aca="false">K17+R17+AI17</f>
        <v>536.159448201629</v>
      </c>
      <c r="AK17" s="197" t="n">
        <f aca="false">IFERROR(AJ17/D17,0)</f>
        <v>1.07231889640326</v>
      </c>
      <c r="AL17" s="198" t="n">
        <f aca="false">IFERROR(AJ17/D17,0)</f>
        <v>1.07231889640326</v>
      </c>
      <c r="AM17" s="199"/>
    </row>
    <row r="18" customFormat="false" ht="14.25" hidden="false" customHeight="true" outlineLevel="0" collapsed="false">
      <c r="B18" s="189" t="str">
        <f aca="false">'Lista de Compra'!B17</f>
        <v>6003-DDU</v>
      </c>
      <c r="C18" s="189" t="str">
        <f aca="false">'Lista de Compra'!E17</f>
        <v>8466.93.50</v>
      </c>
      <c r="D18" s="190" t="n">
        <f aca="false">'Lista de Compra'!K17</f>
        <v>500</v>
      </c>
      <c r="E18" s="191" t="n">
        <f aca="false">'Lista de Compra'!P17</f>
        <v>0.0224893369523071</v>
      </c>
      <c r="F18" s="192" t="n">
        <f aca="false">'Lista de Compra'!M17</f>
        <v>0.116</v>
      </c>
      <c r="G18" s="192" t="n">
        <f aca="false">D18*F18</f>
        <v>58</v>
      </c>
      <c r="H18" s="192" t="n">
        <f aca="false">G18*$H$4</f>
        <v>296.96</v>
      </c>
      <c r="I18" s="192" t="n">
        <f aca="false">$I$4*E18</f>
        <v>22.264443582784</v>
      </c>
      <c r="J18" s="192" t="n">
        <f aca="false">'Rateio Custos Fixos'!E19</f>
        <v>13.5108739821636</v>
      </c>
      <c r="K18" s="193" t="n">
        <f aca="false">SUM(H18,J18)</f>
        <v>310.470873982164</v>
      </c>
      <c r="L18" s="193" t="n">
        <f aca="false">K18+M18</f>
        <v>345.243611868166</v>
      </c>
      <c r="M18" s="192" t="n">
        <f aca="false">K18*IFERROR(VLOOKUP(C18,$C$5:$Q$5,11,FALSE()),0)</f>
        <v>34.7727378860023</v>
      </c>
      <c r="N18" s="192" t="n">
        <f aca="false">L18*IFERROR(VLOOKUP(C18,$C$5:$Q$5,12,FALSE()),0)</f>
        <v>0</v>
      </c>
      <c r="O18" s="192" t="n">
        <f aca="false">L18*IFERROR(VLOOKUP(C18,$C$5:$Q$5,13,FALSE()),0)</f>
        <v>7.25011584923149</v>
      </c>
      <c r="P18" s="192" t="n">
        <f aca="false">L18*IFERROR(VLOOKUP(C18,$C$5:$Q$5,14,FALSE()),0)</f>
        <v>36.7684446639597</v>
      </c>
      <c r="Q18" s="192" t="n">
        <f aca="false">L18*IFERROR(VLOOKUP(C18,$C$5:$Q$5,15,FALSE()),0)</f>
        <v>20.71461671209</v>
      </c>
      <c r="R18" s="193" t="n">
        <f aca="false">SUM(M18:Q18)</f>
        <v>99.5059151112834</v>
      </c>
      <c r="S18" s="194" t="n">
        <f aca="false">'Rateio Custos Fixos'!F19</f>
        <v>4.82396277626987</v>
      </c>
      <c r="T18" s="194" t="n">
        <f aca="false">'Rateio Custos Fixos'!G19</f>
        <v>0.224893369523071</v>
      </c>
      <c r="U18" s="194" t="n">
        <f aca="false">'Rateio Custos Fixos'!H19</f>
        <v>22.264443582784</v>
      </c>
      <c r="V18" s="194" t="n">
        <f aca="false">'Rateio Custos Fixos'!I19</f>
        <v>1.07948817371074</v>
      </c>
      <c r="W18" s="194" t="n">
        <f aca="false">'Rateio Custos Fixos'!J19</f>
        <v>2.74369910818147</v>
      </c>
      <c r="X18" s="194" t="n">
        <f aca="false">'Rateio Custos Fixos'!K19</f>
        <v>0.224893369523071</v>
      </c>
      <c r="Y18" s="194" t="n">
        <f aca="false">'Rateio Custos Fixos'!L19</f>
        <v>17.4269872043428</v>
      </c>
      <c r="Z18" s="194" t="n">
        <f aca="false">'Rateio Custos Fixos'!M19</f>
        <v>3.45436215587437</v>
      </c>
      <c r="AA18" s="194" t="n">
        <f aca="false">'Rateio Custos Fixos'!N19</f>
        <v>1.08086991857309</v>
      </c>
      <c r="AB18" s="194" t="n">
        <f aca="false">'Rateio Custos Fixos'!O19</f>
        <v>0</v>
      </c>
      <c r="AC18" s="194" t="n">
        <f aca="false">'Rateio Custos Fixos'!P19</f>
        <v>17.0233036060489</v>
      </c>
      <c r="AD18" s="194" t="n">
        <f aca="false">'Rateio Custos Fixos'!Q19</f>
        <v>0.449786739046142</v>
      </c>
      <c r="AE18" s="194" t="n">
        <f aca="false">'Rateio Custos Fixos'!R19</f>
        <v>2.64137262504847</v>
      </c>
      <c r="AF18" s="194" t="n">
        <f aca="false">'Rateio Custos Fixos'!S19</f>
        <v>6.43195036835983</v>
      </c>
      <c r="AG18" s="194" t="n">
        <f aca="false">'Rateio Custos Fixos'!T19</f>
        <v>67.4680108569213</v>
      </c>
      <c r="AH18" s="194" t="n">
        <f aca="false">'Rateio Custos Fixos'!U19</f>
        <v>58.4722760759985</v>
      </c>
      <c r="AI18" s="195" t="n">
        <f aca="false">SUM(S18:AH18)</f>
        <v>205.810299930206</v>
      </c>
      <c r="AJ18" s="196" t="n">
        <f aca="false">K18+R18+AI18</f>
        <v>615.787089023653</v>
      </c>
      <c r="AK18" s="197" t="n">
        <f aca="false">IFERROR(AJ18/D18,0)</f>
        <v>1.2315741780473</v>
      </c>
      <c r="AL18" s="198" t="n">
        <f aca="false">IFERROR(AJ18/D18,0)</f>
        <v>1.2315741780473</v>
      </c>
      <c r="AM18" s="199"/>
    </row>
    <row r="19" customFormat="false" ht="14.25" hidden="false" customHeight="true" outlineLevel="0" collapsed="false">
      <c r="B19" s="189" t="str">
        <f aca="false">'Lista de Compra'!B18</f>
        <v>6005-DDU</v>
      </c>
      <c r="C19" s="189" t="str">
        <f aca="false">'Lista de Compra'!E18</f>
        <v>8466.93.50</v>
      </c>
      <c r="D19" s="190" t="n">
        <f aca="false">'Lista de Compra'!K18</f>
        <v>500</v>
      </c>
      <c r="E19" s="191" t="n">
        <f aca="false">'Lista de Compra'!P18</f>
        <v>0.0337340054284606</v>
      </c>
      <c r="F19" s="192" t="n">
        <f aca="false">'Lista de Compra'!M18</f>
        <v>0.174</v>
      </c>
      <c r="G19" s="192" t="n">
        <f aca="false">D19*F19</f>
        <v>87</v>
      </c>
      <c r="H19" s="192" t="n">
        <f aca="false">G19*$H$4</f>
        <v>445.44</v>
      </c>
      <c r="I19" s="192" t="n">
        <f aca="false">$I$4*E19</f>
        <v>33.396665374176</v>
      </c>
      <c r="J19" s="192" t="n">
        <f aca="false">'Rateio Custos Fixos'!E20</f>
        <v>20.2663109732454</v>
      </c>
      <c r="K19" s="193" t="n">
        <f aca="false">SUM(H19,J19)</f>
        <v>465.706310973245</v>
      </c>
      <c r="L19" s="193" t="n">
        <f aca="false">K19+M19</f>
        <v>517.865417802249</v>
      </c>
      <c r="M19" s="192" t="n">
        <f aca="false">K19*IFERROR(VLOOKUP(C19,$C$5:$Q$5,11,FALSE()),0)</f>
        <v>52.1591068290035</v>
      </c>
      <c r="N19" s="192" t="n">
        <f aca="false">L19*IFERROR(VLOOKUP(C19,$C$5:$Q$5,12,FALSE()),0)</f>
        <v>0</v>
      </c>
      <c r="O19" s="192" t="n">
        <f aca="false">L19*IFERROR(VLOOKUP(C19,$C$5:$Q$5,13,FALSE()),0)</f>
        <v>10.8751737738472</v>
      </c>
      <c r="P19" s="192" t="n">
        <f aca="false">L19*IFERROR(VLOOKUP(C19,$C$5:$Q$5,14,FALSE()),0)</f>
        <v>55.1526669959395</v>
      </c>
      <c r="Q19" s="192" t="n">
        <f aca="false">L19*IFERROR(VLOOKUP(C19,$C$5:$Q$5,15,FALSE()),0)</f>
        <v>31.0719250681349</v>
      </c>
      <c r="R19" s="193" t="n">
        <f aca="false">SUM(M19:Q19)</f>
        <v>149.258872666925</v>
      </c>
      <c r="S19" s="194" t="n">
        <f aca="false">'Rateio Custos Fixos'!F20</f>
        <v>7.23594416440481</v>
      </c>
      <c r="T19" s="194" t="n">
        <f aca="false">'Rateio Custos Fixos'!G20</f>
        <v>0.337340054284606</v>
      </c>
      <c r="U19" s="194" t="n">
        <f aca="false">'Rateio Custos Fixos'!H20</f>
        <v>33.396665374176</v>
      </c>
      <c r="V19" s="194" t="n">
        <f aca="false">'Rateio Custos Fixos'!I20</f>
        <v>1.61923226056611</v>
      </c>
      <c r="W19" s="194" t="n">
        <f aca="false">'Rateio Custos Fixos'!J20</f>
        <v>4.1155486622722</v>
      </c>
      <c r="X19" s="194" t="n">
        <f aca="false">'Rateio Custos Fixos'!K20</f>
        <v>0.337340054284606</v>
      </c>
      <c r="Y19" s="194" t="n">
        <f aca="false">'Rateio Custos Fixos'!L20</f>
        <v>26.1404808065142</v>
      </c>
      <c r="Z19" s="194" t="n">
        <f aca="false">'Rateio Custos Fixos'!M20</f>
        <v>5.18154323381156</v>
      </c>
      <c r="AA19" s="194" t="n">
        <f aca="false">'Rateio Custos Fixos'!N20</f>
        <v>1.62130487785964</v>
      </c>
      <c r="AB19" s="194" t="n">
        <f aca="false">'Rateio Custos Fixos'!O20</f>
        <v>0</v>
      </c>
      <c r="AC19" s="194" t="n">
        <f aca="false">'Rateio Custos Fixos'!P20</f>
        <v>25.5349554090733</v>
      </c>
      <c r="AD19" s="194" t="n">
        <f aca="false">'Rateio Custos Fixos'!Q20</f>
        <v>0.674680108569213</v>
      </c>
      <c r="AE19" s="194" t="n">
        <f aca="false">'Rateio Custos Fixos'!R20</f>
        <v>3.9620589375727</v>
      </c>
      <c r="AF19" s="194" t="n">
        <f aca="false">'Rateio Custos Fixos'!S20</f>
        <v>9.64792555253974</v>
      </c>
      <c r="AG19" s="194" t="n">
        <f aca="false">'Rateio Custos Fixos'!T20</f>
        <v>101.202016285382</v>
      </c>
      <c r="AH19" s="194" t="n">
        <f aca="false">'Rateio Custos Fixos'!U20</f>
        <v>87.7084141139977</v>
      </c>
      <c r="AI19" s="195" t="n">
        <f aca="false">SUM(S19:AH19)</f>
        <v>308.715449895308</v>
      </c>
      <c r="AJ19" s="196" t="n">
        <f aca="false">K19+R19+AI19</f>
        <v>923.680633535479</v>
      </c>
      <c r="AK19" s="197" t="n">
        <f aca="false">IFERROR(AJ19/D19,0)</f>
        <v>1.84736126707096</v>
      </c>
      <c r="AL19" s="198" t="n">
        <f aca="false">IFERROR(AJ19/D19,0)</f>
        <v>1.84736126707096</v>
      </c>
      <c r="AM19" s="199"/>
    </row>
    <row r="20" customFormat="false" ht="14.25" hidden="false" customHeight="true" outlineLevel="0" collapsed="false">
      <c r="B20" s="189" t="str">
        <f aca="false">'Lista de Compra'!B19</f>
        <v>6006-DDU</v>
      </c>
      <c r="C20" s="189" t="str">
        <f aca="false">'Lista de Compra'!E19</f>
        <v>8466.93.50</v>
      </c>
      <c r="D20" s="190" t="n">
        <f aca="false">'Lista de Compra'!K19</f>
        <v>500</v>
      </c>
      <c r="E20" s="191" t="n">
        <f aca="false">'Lista de Compra'!P19</f>
        <v>0.0469174098487786</v>
      </c>
      <c r="F20" s="192" t="n">
        <f aca="false">'Lista de Compra'!M19</f>
        <v>0.242</v>
      </c>
      <c r="G20" s="192" t="n">
        <f aca="false">D20*F20</f>
        <v>121</v>
      </c>
      <c r="H20" s="192" t="n">
        <f aca="false">G20*$H$4</f>
        <v>619.52</v>
      </c>
      <c r="I20" s="192" t="n">
        <f aca="false">$I$4*E20</f>
        <v>46.4482357502908</v>
      </c>
      <c r="J20" s="192" t="n">
        <f aca="false">'Rateio Custos Fixos'!E21</f>
        <v>28.186478480031</v>
      </c>
      <c r="K20" s="193" t="n">
        <f aca="false">SUM(H20,J20)</f>
        <v>647.706478480031</v>
      </c>
      <c r="L20" s="193" t="n">
        <f aca="false">K20+M20</f>
        <v>720.249604069795</v>
      </c>
      <c r="M20" s="192" t="n">
        <f aca="false">K20*IFERROR(VLOOKUP(C20,$C$5:$Q$5,11,FALSE()),0)</f>
        <v>72.5431255897635</v>
      </c>
      <c r="N20" s="192" t="n">
        <f aca="false">L20*IFERROR(VLOOKUP(C20,$C$5:$Q$5,12,FALSE()),0)</f>
        <v>0</v>
      </c>
      <c r="O20" s="192" t="n">
        <f aca="false">L20*IFERROR(VLOOKUP(C20,$C$5:$Q$5,13,FALSE()),0)</f>
        <v>15.1252416854657</v>
      </c>
      <c r="P20" s="192" t="n">
        <f aca="false">L20*IFERROR(VLOOKUP(C20,$C$5:$Q$5,14,FALSE()),0)</f>
        <v>76.7065828334331</v>
      </c>
      <c r="Q20" s="192" t="n">
        <f aca="false">L20*IFERROR(VLOOKUP(C20,$C$5:$Q$5,15,FALSE()),0)</f>
        <v>43.2149762441877</v>
      </c>
      <c r="R20" s="193" t="n">
        <f aca="false">SUM(M20:Q20)</f>
        <v>207.58992635285</v>
      </c>
      <c r="S20" s="194" t="n">
        <f aca="false">'Rateio Custos Fixos'!F21</f>
        <v>10.063784412563</v>
      </c>
      <c r="T20" s="194" t="n">
        <f aca="false">'Rateio Custos Fixos'!G21</f>
        <v>0.469174098487786</v>
      </c>
      <c r="U20" s="194" t="n">
        <f aca="false">'Rateio Custos Fixos'!H21</f>
        <v>46.4482357502908</v>
      </c>
      <c r="V20" s="194" t="n">
        <f aca="false">'Rateio Custos Fixos'!I21</f>
        <v>2.25203567274137</v>
      </c>
      <c r="W20" s="194" t="n">
        <f aca="false">'Rateio Custos Fixos'!J21</f>
        <v>5.72392400155099</v>
      </c>
      <c r="X20" s="194" t="n">
        <f aca="false">'Rateio Custos Fixos'!K21</f>
        <v>0.469174098487786</v>
      </c>
      <c r="Y20" s="194" t="n">
        <f aca="false">'Rateio Custos Fixos'!L21</f>
        <v>36.3563008918185</v>
      </c>
      <c r="Z20" s="194" t="n">
        <f aca="false">'Rateio Custos Fixos'!M21</f>
        <v>7.20651415277239</v>
      </c>
      <c r="AA20" s="194" t="n">
        <f aca="false">'Rateio Custos Fixos'!N21</f>
        <v>2.25491827840248</v>
      </c>
      <c r="AB20" s="194" t="n">
        <f aca="false">'Rateio Custos Fixos'!O21</f>
        <v>0</v>
      </c>
      <c r="AC20" s="194" t="n">
        <f aca="false">'Rateio Custos Fixos'!P21</f>
        <v>35.514133385033</v>
      </c>
      <c r="AD20" s="194" t="n">
        <f aca="false">'Rateio Custos Fixos'!Q21</f>
        <v>0.938348196975572</v>
      </c>
      <c r="AE20" s="194" t="n">
        <f aca="false">'Rateio Custos Fixos'!R21</f>
        <v>5.51044978673905</v>
      </c>
      <c r="AF20" s="194" t="n">
        <f aca="false">'Rateio Custos Fixos'!S21</f>
        <v>13.4183792167507</v>
      </c>
      <c r="AG20" s="194" t="n">
        <f aca="false">'Rateio Custos Fixos'!T21</f>
        <v>140.752229546336</v>
      </c>
      <c r="AH20" s="194" t="n">
        <f aca="false">'Rateio Custos Fixos'!U21</f>
        <v>121.985265606824</v>
      </c>
      <c r="AI20" s="195" t="n">
        <f aca="false">SUM(S20:AH20)</f>
        <v>429.362867095774</v>
      </c>
      <c r="AJ20" s="196" t="n">
        <f aca="false">K20+R20+AI20</f>
        <v>1284.65927192865</v>
      </c>
      <c r="AK20" s="197" t="n">
        <f aca="false">IFERROR(AJ20/D20,0)</f>
        <v>2.56931854385731</v>
      </c>
      <c r="AL20" s="198" t="n">
        <f aca="false">IFERROR(AJ20/D20,0)</f>
        <v>2.56931854385731</v>
      </c>
      <c r="AM20" s="199"/>
    </row>
    <row r="21" customFormat="false" ht="14.25" hidden="false" customHeight="true" outlineLevel="0" collapsed="false">
      <c r="B21" s="189" t="str">
        <f aca="false">'Lista de Compra'!B20</f>
        <v>6301-DDU</v>
      </c>
      <c r="C21" s="189" t="str">
        <f aca="false">'Lista de Compra'!E20</f>
        <v>8466.93.50</v>
      </c>
      <c r="D21" s="190" t="n">
        <f aca="false">'Lista de Compra'!K20</f>
        <v>500</v>
      </c>
      <c r="E21" s="191" t="n">
        <f aca="false">'Lista de Compra'!P20</f>
        <v>0.0281116711903839</v>
      </c>
      <c r="F21" s="192" t="n">
        <f aca="false">'Lista de Compra'!M20</f>
        <v>0.145</v>
      </c>
      <c r="G21" s="192" t="n">
        <f aca="false">D21*F21</f>
        <v>72.5</v>
      </c>
      <c r="H21" s="192" t="n">
        <f aca="false">G21*$H$4</f>
        <v>371.2</v>
      </c>
      <c r="I21" s="192" t="n">
        <f aca="false">$I$4*E21</f>
        <v>27.83055447848</v>
      </c>
      <c r="J21" s="192" t="n">
        <f aca="false">'Rateio Custos Fixos'!E22</f>
        <v>16.8885924777045</v>
      </c>
      <c r="K21" s="193" t="n">
        <f aca="false">SUM(H21,J21)</f>
        <v>388.088592477705</v>
      </c>
      <c r="L21" s="193" t="n">
        <f aca="false">K21+M21</f>
        <v>431.554514835207</v>
      </c>
      <c r="M21" s="192" t="n">
        <f aca="false">K21*IFERROR(VLOOKUP(C21,$C$5:$Q$5,11,FALSE()),0)</f>
        <v>43.4659223575029</v>
      </c>
      <c r="N21" s="192" t="n">
        <f aca="false">L21*IFERROR(VLOOKUP(C21,$C$5:$Q$5,12,FALSE()),0)</f>
        <v>0</v>
      </c>
      <c r="O21" s="192" t="n">
        <f aca="false">L21*IFERROR(VLOOKUP(C21,$C$5:$Q$5,13,FALSE()),0)</f>
        <v>9.06264481153936</v>
      </c>
      <c r="P21" s="192" t="n">
        <f aca="false">L21*IFERROR(VLOOKUP(C21,$C$5:$Q$5,14,FALSE()),0)</f>
        <v>45.9605558299496</v>
      </c>
      <c r="Q21" s="192" t="n">
        <f aca="false">L21*IFERROR(VLOOKUP(C21,$C$5:$Q$5,15,FALSE()),0)</f>
        <v>25.8932708901124</v>
      </c>
      <c r="R21" s="193" t="n">
        <f aca="false">SUM(M21:Q21)</f>
        <v>124.382393889104</v>
      </c>
      <c r="S21" s="194" t="n">
        <f aca="false">'Rateio Custos Fixos'!F22</f>
        <v>6.02995347033734</v>
      </c>
      <c r="T21" s="194" t="n">
        <f aca="false">'Rateio Custos Fixos'!G22</f>
        <v>0.281116711903839</v>
      </c>
      <c r="U21" s="194" t="n">
        <f aca="false">'Rateio Custos Fixos'!H22</f>
        <v>27.83055447848</v>
      </c>
      <c r="V21" s="194" t="n">
        <f aca="false">'Rateio Custos Fixos'!I22</f>
        <v>1.34936021713843</v>
      </c>
      <c r="W21" s="194" t="n">
        <f aca="false">'Rateio Custos Fixos'!J22</f>
        <v>3.42962388522683</v>
      </c>
      <c r="X21" s="194" t="n">
        <f aca="false">'Rateio Custos Fixos'!K22</f>
        <v>0.281116711903839</v>
      </c>
      <c r="Y21" s="194" t="n">
        <f aca="false">'Rateio Custos Fixos'!L22</f>
        <v>21.7837340054285</v>
      </c>
      <c r="Z21" s="194" t="n">
        <f aca="false">'Rateio Custos Fixos'!M22</f>
        <v>4.31795269484296</v>
      </c>
      <c r="AA21" s="194" t="n">
        <f aca="false">'Rateio Custos Fixos'!N22</f>
        <v>1.35108739821636</v>
      </c>
      <c r="AB21" s="194" t="n">
        <f aca="false">'Rateio Custos Fixos'!O22</f>
        <v>0</v>
      </c>
      <c r="AC21" s="194" t="n">
        <f aca="false">'Rateio Custos Fixos'!P22</f>
        <v>21.2791295075611</v>
      </c>
      <c r="AD21" s="194" t="n">
        <f aca="false">'Rateio Custos Fixos'!Q22</f>
        <v>0.562233423807677</v>
      </c>
      <c r="AE21" s="194" t="n">
        <f aca="false">'Rateio Custos Fixos'!R22</f>
        <v>3.30171578131059</v>
      </c>
      <c r="AF21" s="194" t="n">
        <f aca="false">'Rateio Custos Fixos'!S22</f>
        <v>8.03993796044979</v>
      </c>
      <c r="AG21" s="194" t="n">
        <f aca="false">'Rateio Custos Fixos'!T22</f>
        <v>84.3350135711516</v>
      </c>
      <c r="AH21" s="194" t="n">
        <f aca="false">'Rateio Custos Fixos'!U22</f>
        <v>73.0903450949981</v>
      </c>
      <c r="AI21" s="195" t="n">
        <f aca="false">SUM(S21:AH21)</f>
        <v>257.262874912757</v>
      </c>
      <c r="AJ21" s="196" t="n">
        <f aca="false">K21+R21+AI21</f>
        <v>769.733861279566</v>
      </c>
      <c r="AK21" s="197" t="n">
        <f aca="false">IFERROR(AJ21/D21,0)</f>
        <v>1.53946772255913</v>
      </c>
      <c r="AL21" s="198" t="n">
        <f aca="false">IFERROR(AJ21/D21,0)</f>
        <v>1.53946772255913</v>
      </c>
      <c r="AM21" s="199"/>
    </row>
    <row r="22" customFormat="false" ht="14.25" hidden="false" customHeight="true" outlineLevel="0" collapsed="false">
      <c r="B22" s="189" t="str">
        <f aca="false">'Lista de Compra'!B21</f>
        <v>6302-DDU</v>
      </c>
      <c r="C22" s="189" t="str">
        <f aca="false">'Lista de Compra'!E21</f>
        <v>8466.93.50</v>
      </c>
      <c r="D22" s="190" t="n">
        <f aca="false">'Lista de Compra'!K21</f>
        <v>500</v>
      </c>
      <c r="E22" s="191" t="n">
        <f aca="false">'Lista de Compra'!P21</f>
        <v>0.0337340054284606</v>
      </c>
      <c r="F22" s="192" t="n">
        <f aca="false">'Lista de Compra'!M21</f>
        <v>0.174</v>
      </c>
      <c r="G22" s="192" t="n">
        <f aca="false">D22*F22</f>
        <v>87</v>
      </c>
      <c r="H22" s="192" t="n">
        <f aca="false">G22*$H$4</f>
        <v>445.44</v>
      </c>
      <c r="I22" s="192" t="n">
        <f aca="false">$I$4*E22</f>
        <v>33.396665374176</v>
      </c>
      <c r="J22" s="192" t="n">
        <f aca="false">'Rateio Custos Fixos'!E23</f>
        <v>20.2663109732454</v>
      </c>
      <c r="K22" s="193" t="n">
        <f aca="false">SUM(H22,J22)</f>
        <v>465.706310973245</v>
      </c>
      <c r="L22" s="193" t="n">
        <f aca="false">K22+M22</f>
        <v>517.865417802249</v>
      </c>
      <c r="M22" s="192" t="n">
        <f aca="false">K22*IFERROR(VLOOKUP(C22,$C$5:$Q$5,11,FALSE()),0)</f>
        <v>52.1591068290035</v>
      </c>
      <c r="N22" s="192" t="n">
        <f aca="false">L22*IFERROR(VLOOKUP(C22,$C$5:$Q$5,12,FALSE()),0)</f>
        <v>0</v>
      </c>
      <c r="O22" s="192" t="n">
        <f aca="false">L22*IFERROR(VLOOKUP(C22,$C$5:$Q$5,13,FALSE()),0)</f>
        <v>10.8751737738472</v>
      </c>
      <c r="P22" s="192" t="n">
        <f aca="false">L22*IFERROR(VLOOKUP(C22,$C$5:$Q$5,14,FALSE()),0)</f>
        <v>55.1526669959395</v>
      </c>
      <c r="Q22" s="192" t="n">
        <f aca="false">L22*IFERROR(VLOOKUP(C22,$C$5:$Q$5,15,FALSE()),0)</f>
        <v>31.0719250681349</v>
      </c>
      <c r="R22" s="193" t="n">
        <f aca="false">SUM(M22:Q22)</f>
        <v>149.258872666925</v>
      </c>
      <c r="S22" s="194" t="n">
        <f aca="false">'Rateio Custos Fixos'!F23</f>
        <v>7.23594416440481</v>
      </c>
      <c r="T22" s="194" t="n">
        <f aca="false">'Rateio Custos Fixos'!G23</f>
        <v>0.337340054284606</v>
      </c>
      <c r="U22" s="194" t="n">
        <f aca="false">'Rateio Custos Fixos'!H23</f>
        <v>33.396665374176</v>
      </c>
      <c r="V22" s="194" t="n">
        <f aca="false">'Rateio Custos Fixos'!I23</f>
        <v>1.61923226056611</v>
      </c>
      <c r="W22" s="194" t="n">
        <f aca="false">'Rateio Custos Fixos'!J23</f>
        <v>4.1155486622722</v>
      </c>
      <c r="X22" s="194" t="n">
        <f aca="false">'Rateio Custos Fixos'!K23</f>
        <v>0.337340054284606</v>
      </c>
      <c r="Y22" s="194" t="n">
        <f aca="false">'Rateio Custos Fixos'!L23</f>
        <v>26.1404808065142</v>
      </c>
      <c r="Z22" s="194" t="n">
        <f aca="false">'Rateio Custos Fixos'!M23</f>
        <v>5.18154323381156</v>
      </c>
      <c r="AA22" s="194" t="n">
        <f aca="false">'Rateio Custos Fixos'!N23</f>
        <v>1.62130487785964</v>
      </c>
      <c r="AB22" s="194" t="n">
        <f aca="false">'Rateio Custos Fixos'!O23</f>
        <v>0</v>
      </c>
      <c r="AC22" s="194" t="n">
        <f aca="false">'Rateio Custos Fixos'!P23</f>
        <v>25.5349554090733</v>
      </c>
      <c r="AD22" s="194" t="n">
        <f aca="false">'Rateio Custos Fixos'!Q23</f>
        <v>0.674680108569213</v>
      </c>
      <c r="AE22" s="194" t="n">
        <f aca="false">'Rateio Custos Fixos'!R23</f>
        <v>3.9620589375727</v>
      </c>
      <c r="AF22" s="194" t="n">
        <f aca="false">'Rateio Custos Fixos'!S23</f>
        <v>9.64792555253974</v>
      </c>
      <c r="AG22" s="194" t="n">
        <f aca="false">'Rateio Custos Fixos'!T23</f>
        <v>101.202016285382</v>
      </c>
      <c r="AH22" s="194" t="n">
        <f aca="false">'Rateio Custos Fixos'!U23</f>
        <v>87.7084141139977</v>
      </c>
      <c r="AI22" s="195" t="n">
        <f aca="false">SUM(S22:AH22)</f>
        <v>308.715449895308</v>
      </c>
      <c r="AJ22" s="196" t="n">
        <f aca="false">K22+R22+AI22</f>
        <v>923.680633535479</v>
      </c>
      <c r="AK22" s="197" t="n">
        <f aca="false">IFERROR(AJ22/D22,0)</f>
        <v>1.84736126707096</v>
      </c>
      <c r="AL22" s="198" t="n">
        <f aca="false">IFERROR(AJ22/D22,0)</f>
        <v>1.84736126707096</v>
      </c>
      <c r="AM22" s="199"/>
    </row>
    <row r="23" customFormat="false" ht="14.25" hidden="false" customHeight="true" outlineLevel="0" collapsed="false">
      <c r="B23" s="189" t="str">
        <f aca="false">'Lista de Compra'!B22</f>
        <v>6303-DDU</v>
      </c>
      <c r="C23" s="189" t="str">
        <f aca="false">'Lista de Compra'!E22</f>
        <v>8466.93.50</v>
      </c>
      <c r="D23" s="190" t="n">
        <f aca="false">'Lista de Compra'!K22</f>
        <v>500</v>
      </c>
      <c r="E23" s="191" t="n">
        <f aca="false">'Lista de Compra'!P22</f>
        <v>0.0469174098487786</v>
      </c>
      <c r="F23" s="192" t="n">
        <f aca="false">'Lista de Compra'!M22</f>
        <v>0.242</v>
      </c>
      <c r="G23" s="192" t="n">
        <f aca="false">D23*F23</f>
        <v>121</v>
      </c>
      <c r="H23" s="192" t="n">
        <f aca="false">G23*$H$4</f>
        <v>619.52</v>
      </c>
      <c r="I23" s="192" t="n">
        <f aca="false">$I$4*E23</f>
        <v>46.4482357502908</v>
      </c>
      <c r="J23" s="192" t="n">
        <f aca="false">'Rateio Custos Fixos'!E24</f>
        <v>28.186478480031</v>
      </c>
      <c r="K23" s="193" t="n">
        <f aca="false">SUM(H23,J23)</f>
        <v>647.706478480031</v>
      </c>
      <c r="L23" s="193" t="n">
        <f aca="false">K23+M23</f>
        <v>720.249604069795</v>
      </c>
      <c r="M23" s="192" t="n">
        <f aca="false">K23*IFERROR(VLOOKUP(C23,$C$5:$Q$5,11,FALSE()),0)</f>
        <v>72.5431255897635</v>
      </c>
      <c r="N23" s="192" t="n">
        <f aca="false">L23*IFERROR(VLOOKUP(C23,$C$5:$Q$5,12,FALSE()),0)</f>
        <v>0</v>
      </c>
      <c r="O23" s="192" t="n">
        <f aca="false">L23*IFERROR(VLOOKUP(C23,$C$5:$Q$5,13,FALSE()),0)</f>
        <v>15.1252416854657</v>
      </c>
      <c r="P23" s="192" t="n">
        <f aca="false">L23*IFERROR(VLOOKUP(C23,$C$5:$Q$5,14,FALSE()),0)</f>
        <v>76.7065828334331</v>
      </c>
      <c r="Q23" s="192" t="n">
        <f aca="false">L23*IFERROR(VLOOKUP(C23,$C$5:$Q$5,15,FALSE()),0)</f>
        <v>43.2149762441877</v>
      </c>
      <c r="R23" s="193" t="n">
        <f aca="false">SUM(M23:Q23)</f>
        <v>207.58992635285</v>
      </c>
      <c r="S23" s="194" t="n">
        <f aca="false">'Rateio Custos Fixos'!F24</f>
        <v>10.063784412563</v>
      </c>
      <c r="T23" s="194" t="n">
        <f aca="false">'Rateio Custos Fixos'!G24</f>
        <v>0.469174098487786</v>
      </c>
      <c r="U23" s="194" t="n">
        <f aca="false">'Rateio Custos Fixos'!H24</f>
        <v>46.4482357502908</v>
      </c>
      <c r="V23" s="194" t="n">
        <f aca="false">'Rateio Custos Fixos'!I24</f>
        <v>2.25203567274137</v>
      </c>
      <c r="W23" s="194" t="n">
        <f aca="false">'Rateio Custos Fixos'!J24</f>
        <v>5.72392400155099</v>
      </c>
      <c r="X23" s="194" t="n">
        <f aca="false">'Rateio Custos Fixos'!K24</f>
        <v>0.469174098487786</v>
      </c>
      <c r="Y23" s="194" t="n">
        <f aca="false">'Rateio Custos Fixos'!L24</f>
        <v>36.3563008918185</v>
      </c>
      <c r="Z23" s="194" t="n">
        <f aca="false">'Rateio Custos Fixos'!M24</f>
        <v>7.20651415277239</v>
      </c>
      <c r="AA23" s="194" t="n">
        <f aca="false">'Rateio Custos Fixos'!N24</f>
        <v>2.25491827840248</v>
      </c>
      <c r="AB23" s="194" t="n">
        <f aca="false">'Rateio Custos Fixos'!O24</f>
        <v>0</v>
      </c>
      <c r="AC23" s="194" t="n">
        <f aca="false">'Rateio Custos Fixos'!P24</f>
        <v>35.514133385033</v>
      </c>
      <c r="AD23" s="194" t="n">
        <f aca="false">'Rateio Custos Fixos'!Q24</f>
        <v>0.938348196975572</v>
      </c>
      <c r="AE23" s="194" t="n">
        <f aca="false">'Rateio Custos Fixos'!R24</f>
        <v>5.51044978673905</v>
      </c>
      <c r="AF23" s="194" t="n">
        <f aca="false">'Rateio Custos Fixos'!S24</f>
        <v>13.4183792167507</v>
      </c>
      <c r="AG23" s="194" t="n">
        <f aca="false">'Rateio Custos Fixos'!T24</f>
        <v>140.752229546336</v>
      </c>
      <c r="AH23" s="194" t="n">
        <f aca="false">'Rateio Custos Fixos'!U24</f>
        <v>121.985265606824</v>
      </c>
      <c r="AI23" s="195" t="n">
        <f aca="false">SUM(S23:AH23)</f>
        <v>429.362867095774</v>
      </c>
      <c r="AJ23" s="196" t="n">
        <f aca="false">K23+R23+AI23</f>
        <v>1284.65927192865</v>
      </c>
      <c r="AK23" s="197" t="n">
        <f aca="false">IFERROR(AJ23/D23,0)</f>
        <v>2.56931854385731</v>
      </c>
      <c r="AL23" s="198" t="n">
        <f aca="false">IFERROR(AJ23/D23,0)</f>
        <v>2.56931854385731</v>
      </c>
      <c r="AM23" s="199"/>
    </row>
    <row r="24" customFormat="false" ht="14.25" hidden="false" customHeight="true" outlineLevel="0" collapsed="false">
      <c r="B24" s="189" t="str">
        <f aca="false">'Lista de Compra'!B23</f>
        <v>6304-DDU</v>
      </c>
      <c r="C24" s="189" t="str">
        <f aca="false">'Lista de Compra'!E23</f>
        <v>8466.93.50</v>
      </c>
      <c r="D24" s="190" t="n">
        <f aca="false">'Lista de Compra'!K23</f>
        <v>500</v>
      </c>
      <c r="E24" s="191" t="n">
        <f aca="false">'Lista de Compra'!P23</f>
        <v>0.048856145792943</v>
      </c>
      <c r="F24" s="192" t="n">
        <f aca="false">'Lista de Compra'!M23</f>
        <v>0.252</v>
      </c>
      <c r="G24" s="192" t="n">
        <f aca="false">D24*F24</f>
        <v>126</v>
      </c>
      <c r="H24" s="192" t="n">
        <f aca="false">G24*$H$4</f>
        <v>645.12</v>
      </c>
      <c r="I24" s="192" t="n">
        <f aca="false">$I$4*E24</f>
        <v>48.3675843350136</v>
      </c>
      <c r="J24" s="192" t="n">
        <f aca="false">'Rateio Custos Fixos'!E25</f>
        <v>29.3512089957348</v>
      </c>
      <c r="K24" s="193" t="n">
        <f aca="false">SUM(H24,J24)</f>
        <v>674.471208995735</v>
      </c>
      <c r="L24" s="193" t="n">
        <f aca="false">K24+M24</f>
        <v>750.011984403257</v>
      </c>
      <c r="M24" s="192" t="n">
        <f aca="false">K24*IFERROR(VLOOKUP(C24,$C$5:$Q$5,11,FALSE()),0)</f>
        <v>75.5407754075223</v>
      </c>
      <c r="N24" s="192" t="n">
        <f aca="false">L24*IFERROR(VLOOKUP(C24,$C$5:$Q$5,12,FALSE()),0)</f>
        <v>0</v>
      </c>
      <c r="O24" s="192" t="n">
        <f aca="false">L24*IFERROR(VLOOKUP(C24,$C$5:$Q$5,13,FALSE()),0)</f>
        <v>15.7502516724684</v>
      </c>
      <c r="P24" s="192" t="n">
        <f aca="false">L24*IFERROR(VLOOKUP(C24,$C$5:$Q$5,14,FALSE()),0)</f>
        <v>79.8762763389469</v>
      </c>
      <c r="Q24" s="192" t="n">
        <f aca="false">L24*IFERROR(VLOOKUP(C24,$C$5:$Q$5,15,FALSE()),0)</f>
        <v>45.0007190641954</v>
      </c>
      <c r="R24" s="193" t="n">
        <f aca="false">SUM(M24:Q24)</f>
        <v>216.168022483133</v>
      </c>
      <c r="S24" s="194" t="n">
        <f aca="false">'Rateio Custos Fixos'!F25</f>
        <v>10.4796432725863</v>
      </c>
      <c r="T24" s="194" t="n">
        <f aca="false">'Rateio Custos Fixos'!G25</f>
        <v>0.48856145792943</v>
      </c>
      <c r="U24" s="194" t="n">
        <f aca="false">'Rateio Custos Fixos'!H25</f>
        <v>48.3675843350136</v>
      </c>
      <c r="V24" s="194" t="n">
        <f aca="false">'Rateio Custos Fixos'!I25</f>
        <v>2.34509499806126</v>
      </c>
      <c r="W24" s="194" t="n">
        <f aca="false">'Rateio Custos Fixos'!J25</f>
        <v>5.96044978673905</v>
      </c>
      <c r="X24" s="194" t="n">
        <f aca="false">'Rateio Custos Fixos'!K25</f>
        <v>0.48856145792943</v>
      </c>
      <c r="Y24" s="194" t="n">
        <f aca="false">'Rateio Custos Fixos'!L25</f>
        <v>37.8586273749515</v>
      </c>
      <c r="Z24" s="194" t="n">
        <f aca="false">'Rateio Custos Fixos'!M25</f>
        <v>7.50430399379605</v>
      </c>
      <c r="AA24" s="194" t="n">
        <f aca="false">'Rateio Custos Fixos'!N25</f>
        <v>2.34809671965878</v>
      </c>
      <c r="AB24" s="194" t="n">
        <f aca="false">'Rateio Custos Fixos'!O25</f>
        <v>0</v>
      </c>
      <c r="AC24" s="194" t="n">
        <f aca="false">'Rateio Custos Fixos'!P25</f>
        <v>36.9816595579682</v>
      </c>
      <c r="AD24" s="194" t="n">
        <f aca="false">'Rateio Custos Fixos'!Q25</f>
        <v>0.97712291585886</v>
      </c>
      <c r="AE24" s="194" t="n">
        <f aca="false">'Rateio Custos Fixos'!R25</f>
        <v>5.73815432338116</v>
      </c>
      <c r="AF24" s="194" t="n">
        <f aca="false">'Rateio Custos Fixos'!S25</f>
        <v>13.9728576967817</v>
      </c>
      <c r="AG24" s="194" t="n">
        <f aca="false">'Rateio Custos Fixos'!T25</f>
        <v>146.568437378829</v>
      </c>
      <c r="AH24" s="194" t="n">
        <f aca="false">'Rateio Custos Fixos'!U25</f>
        <v>127.025979061652</v>
      </c>
      <c r="AI24" s="195" t="n">
        <f aca="false">SUM(S24:AH24)</f>
        <v>447.105134331136</v>
      </c>
      <c r="AJ24" s="196" t="n">
        <f aca="false">K24+R24+AI24</f>
        <v>1337.74436581</v>
      </c>
      <c r="AK24" s="197" t="n">
        <f aca="false">IFERROR(AJ24/D24,0)</f>
        <v>2.67548873162001</v>
      </c>
      <c r="AL24" s="198" t="n">
        <f aca="false">IFERROR(AJ24/D24,0)</f>
        <v>2.67548873162001</v>
      </c>
      <c r="AM24" s="199"/>
    </row>
    <row r="25" customFormat="false" ht="14.25" hidden="false" customHeight="true" outlineLevel="0" collapsed="false">
      <c r="B25" s="189" t="str">
        <f aca="false">'Lista de Compra'!B24</f>
        <v>6305-DDU</v>
      </c>
      <c r="C25" s="189" t="str">
        <f aca="false">'Lista de Compra'!E24</f>
        <v>8466.93.50</v>
      </c>
      <c r="D25" s="190" t="n">
        <f aca="false">'Lista de Compra'!K24</f>
        <v>500</v>
      </c>
      <c r="E25" s="191" t="n">
        <f aca="false">'Lista de Compra'!P24</f>
        <v>0.0657231485071733</v>
      </c>
      <c r="F25" s="192" t="n">
        <f aca="false">'Lista de Compra'!M24</f>
        <v>0.339</v>
      </c>
      <c r="G25" s="192" t="n">
        <f aca="false">D25*F25</f>
        <v>169.5</v>
      </c>
      <c r="H25" s="192" t="n">
        <f aca="false">G25*$H$4</f>
        <v>867.84</v>
      </c>
      <c r="I25" s="192" t="n">
        <f aca="false">$I$4*E25</f>
        <v>65.0659170221016</v>
      </c>
      <c r="J25" s="192" t="n">
        <f aca="false">'Rateio Custos Fixos'!E26</f>
        <v>39.4843644823575</v>
      </c>
      <c r="K25" s="193" t="n">
        <f aca="false">SUM(H25,J25)</f>
        <v>907.324364482358</v>
      </c>
      <c r="L25" s="193" t="n">
        <f aca="false">K25+M25</f>
        <v>1008.94469330438</v>
      </c>
      <c r="M25" s="192" t="n">
        <f aca="false">K25*IFERROR(VLOOKUP(C25,$C$5:$Q$5,11,FALSE()),0)</f>
        <v>101.620328822024</v>
      </c>
      <c r="N25" s="192" t="n">
        <f aca="false">L25*IFERROR(VLOOKUP(C25,$C$5:$Q$5,12,FALSE()),0)</f>
        <v>0</v>
      </c>
      <c r="O25" s="192" t="n">
        <f aca="false">L25*IFERROR(VLOOKUP(C25,$C$5:$Q$5,13,FALSE()),0)</f>
        <v>21.187838559392</v>
      </c>
      <c r="P25" s="192" t="n">
        <f aca="false">L25*IFERROR(VLOOKUP(C25,$C$5:$Q$5,14,FALSE()),0)</f>
        <v>107.452609836917</v>
      </c>
      <c r="Q25" s="192" t="n">
        <f aca="false">L25*IFERROR(VLOOKUP(C25,$C$5:$Q$5,15,FALSE()),0)</f>
        <v>60.5366815982629</v>
      </c>
      <c r="R25" s="193" t="n">
        <f aca="false">SUM(M25:Q25)</f>
        <v>290.797458816596</v>
      </c>
      <c r="S25" s="194" t="n">
        <f aca="false">'Rateio Custos Fixos'!F26</f>
        <v>14.0976153547887</v>
      </c>
      <c r="T25" s="194" t="n">
        <f aca="false">'Rateio Custos Fixos'!G26</f>
        <v>0.657231485071733</v>
      </c>
      <c r="U25" s="194" t="n">
        <f aca="false">'Rateio Custos Fixos'!H26</f>
        <v>65.0659170221016</v>
      </c>
      <c r="V25" s="194" t="n">
        <f aca="false">'Rateio Custos Fixos'!I26</f>
        <v>3.15471112834432</v>
      </c>
      <c r="W25" s="194" t="n">
        <f aca="false">'Rateio Custos Fixos'!J26</f>
        <v>8.01822411787515</v>
      </c>
      <c r="X25" s="194" t="n">
        <f aca="false">'Rateio Custos Fixos'!K26</f>
        <v>0.657231485071733</v>
      </c>
      <c r="Y25" s="194" t="n">
        <f aca="false">'Rateio Custos Fixos'!L26</f>
        <v>50.9288677782086</v>
      </c>
      <c r="Z25" s="194" t="n">
        <f aca="false">'Rateio Custos Fixos'!M26</f>
        <v>10.0950756107018</v>
      </c>
      <c r="AA25" s="194" t="n">
        <f aca="false">'Rateio Custos Fixos'!N26</f>
        <v>3.1587491585886</v>
      </c>
      <c r="AB25" s="194" t="n">
        <f aca="false">'Rateio Custos Fixos'!O26</f>
        <v>0</v>
      </c>
      <c r="AC25" s="194" t="n">
        <f aca="false">'Rateio Custos Fixos'!P26</f>
        <v>49.7491372625049</v>
      </c>
      <c r="AD25" s="194" t="n">
        <f aca="false">'Rateio Custos Fixos'!Q26</f>
        <v>1.31446297014347</v>
      </c>
      <c r="AE25" s="194" t="n">
        <f aca="false">'Rateio Custos Fixos'!R26</f>
        <v>7.71918379216751</v>
      </c>
      <c r="AF25" s="194" t="n">
        <f aca="false">'Rateio Custos Fixos'!S26</f>
        <v>18.7968204730516</v>
      </c>
      <c r="AG25" s="194" t="n">
        <f aca="false">'Rateio Custos Fixos'!T26</f>
        <v>197.16944552152</v>
      </c>
      <c r="AH25" s="194" t="n">
        <f aca="false">'Rateio Custos Fixos'!U26</f>
        <v>170.880186118651</v>
      </c>
      <c r="AI25" s="195" t="n">
        <f aca="false">SUM(S25:AH25)</f>
        <v>601.46285927879</v>
      </c>
      <c r="AJ25" s="196" t="n">
        <f aca="false">K25+R25+AI25</f>
        <v>1799.58468257774</v>
      </c>
      <c r="AK25" s="197" t="n">
        <f aca="false">IFERROR(AJ25/D25,0)</f>
        <v>3.59916936515549</v>
      </c>
      <c r="AL25" s="198" t="n">
        <f aca="false">IFERROR(AJ25/D25,0)</f>
        <v>3.59916936515549</v>
      </c>
      <c r="AM25" s="199"/>
    </row>
    <row r="26" customFormat="false" ht="14.25" hidden="false" customHeight="true" outlineLevel="0" collapsed="false">
      <c r="B26" s="189" t="str">
        <f aca="false">'Lista de Compra'!B25</f>
        <v>6306-DDU</v>
      </c>
      <c r="C26" s="189" t="str">
        <f aca="false">'Lista de Compra'!E25</f>
        <v>8466.93.50</v>
      </c>
      <c r="D26" s="190" t="n">
        <f aca="false">'Lista de Compra'!K25</f>
        <v>500</v>
      </c>
      <c r="E26" s="191" t="n">
        <f aca="false">'Lista de Compra'!P25</f>
        <v>0.105079488173711</v>
      </c>
      <c r="F26" s="192" t="n">
        <f aca="false">'Lista de Compra'!M25</f>
        <v>0.542</v>
      </c>
      <c r="G26" s="192" t="n">
        <f aca="false">D26*F26</f>
        <v>271</v>
      </c>
      <c r="H26" s="192" t="n">
        <f aca="false">G26*$H$4</f>
        <v>1387.52</v>
      </c>
      <c r="I26" s="192" t="n">
        <f aca="false">$I$4*E26</f>
        <v>104.028693291974</v>
      </c>
      <c r="J26" s="192" t="n">
        <f aca="false">'Rateio Custos Fixos'!E27</f>
        <v>63.1283939511439</v>
      </c>
      <c r="K26" s="193" t="n">
        <f aca="false">SUM(H26,J26)</f>
        <v>1450.64839395114</v>
      </c>
      <c r="L26" s="193" t="n">
        <f aca="false">K26+M26</f>
        <v>1613.12101407367</v>
      </c>
      <c r="M26" s="192" t="n">
        <f aca="false">K26*IFERROR(VLOOKUP(C26,$C$5:$Q$5,11,FALSE()),0)</f>
        <v>162.472620122528</v>
      </c>
      <c r="N26" s="192" t="n">
        <f aca="false">L26*IFERROR(VLOOKUP(C26,$C$5:$Q$5,12,FALSE()),0)</f>
        <v>0</v>
      </c>
      <c r="O26" s="192" t="n">
        <f aca="false">L26*IFERROR(VLOOKUP(C26,$C$5:$Q$5,13,FALSE()),0)</f>
        <v>33.8755412955471</v>
      </c>
      <c r="P26" s="192" t="n">
        <f aca="false">L26*IFERROR(VLOOKUP(C26,$C$5:$Q$5,14,FALSE()),0)</f>
        <v>171.797387998846</v>
      </c>
      <c r="Q26" s="192" t="n">
        <f aca="false">L26*IFERROR(VLOOKUP(C26,$C$5:$Q$5,15,FALSE()),0)</f>
        <v>96.7872608444203</v>
      </c>
      <c r="R26" s="193" t="n">
        <f aca="false">SUM(M26:Q26)</f>
        <v>464.932810261342</v>
      </c>
      <c r="S26" s="194" t="n">
        <f aca="false">'Rateio Custos Fixos'!F27</f>
        <v>22.539550213261</v>
      </c>
      <c r="T26" s="194" t="n">
        <f aca="false">'Rateio Custos Fixos'!G27</f>
        <v>1.05079488173711</v>
      </c>
      <c r="U26" s="194" t="n">
        <f aca="false">'Rateio Custos Fixos'!H27</f>
        <v>104.028693291974</v>
      </c>
      <c r="V26" s="194" t="n">
        <f aca="false">'Rateio Custos Fixos'!I27</f>
        <v>5.04381543233812</v>
      </c>
      <c r="W26" s="194" t="n">
        <f aca="false">'Rateio Custos Fixos'!J27</f>
        <v>12.8196975571927</v>
      </c>
      <c r="X26" s="194" t="n">
        <f aca="false">'Rateio Custos Fixos'!K27</f>
        <v>1.05079488173711</v>
      </c>
      <c r="Y26" s="194" t="n">
        <f aca="false">'Rateio Custos Fixos'!L27</f>
        <v>81.4260953858085</v>
      </c>
      <c r="Z26" s="194" t="n">
        <f aca="false">'Rateio Custos Fixos'!M27</f>
        <v>16.140209383482</v>
      </c>
      <c r="AA26" s="194" t="n">
        <f aca="false">'Rateio Custos Fixos'!N27</f>
        <v>5.05027151609151</v>
      </c>
      <c r="AB26" s="194" t="n">
        <f aca="false">'Rateio Custos Fixos'!O27</f>
        <v>0</v>
      </c>
      <c r="AC26" s="194" t="n">
        <f aca="false">'Rateio Custos Fixos'!P27</f>
        <v>79.5399185730904</v>
      </c>
      <c r="AD26" s="194" t="n">
        <f aca="false">'Rateio Custos Fixos'!Q27</f>
        <v>2.10158976347421</v>
      </c>
      <c r="AE26" s="194" t="n">
        <f aca="false">'Rateio Custos Fixos'!R27</f>
        <v>12.3415858860023</v>
      </c>
      <c r="AF26" s="194" t="n">
        <f aca="false">'Rateio Custos Fixos'!S27</f>
        <v>30.0527336176813</v>
      </c>
      <c r="AG26" s="194" t="n">
        <f aca="false">'Rateio Custos Fixos'!T27</f>
        <v>315.238464521132</v>
      </c>
      <c r="AH26" s="194" t="n">
        <f aca="false">'Rateio Custos Fixos'!U27</f>
        <v>273.206669251648</v>
      </c>
      <c r="AI26" s="195" t="n">
        <f aca="false">SUM(S26:AH26)</f>
        <v>961.63088415665</v>
      </c>
      <c r="AJ26" s="196" t="n">
        <f aca="false">K26+R26+AI26</f>
        <v>2877.21208836914</v>
      </c>
      <c r="AK26" s="197" t="n">
        <f aca="false">IFERROR(AJ26/D26,0)</f>
        <v>5.75442417673827</v>
      </c>
      <c r="AL26" s="198" t="n">
        <f aca="false">IFERROR(AJ26/D26,0)</f>
        <v>5.75442417673827</v>
      </c>
      <c r="AM26" s="199"/>
    </row>
    <row r="27" customFormat="false" ht="14.25" hidden="false" customHeight="true" outlineLevel="0" collapsed="false">
      <c r="B27" s="189" t="str">
        <f aca="false">'Lista de Compra'!B26</f>
        <v>608-DDU</v>
      </c>
      <c r="C27" s="189" t="str">
        <f aca="false">'Lista de Compra'!E26</f>
        <v>8466.93.50</v>
      </c>
      <c r="D27" s="190" t="n">
        <f aca="false">'Lista de Compra'!K26</f>
        <v>500</v>
      </c>
      <c r="E27" s="191" t="n">
        <f aca="false">'Lista de Compra'!P26</f>
        <v>0.0112446684761535</v>
      </c>
      <c r="F27" s="192" t="n">
        <f aca="false">'Lista de Compra'!M26</f>
        <v>0.058</v>
      </c>
      <c r="G27" s="192" t="n">
        <f aca="false">D27*F27</f>
        <v>29</v>
      </c>
      <c r="H27" s="192" t="n">
        <f aca="false">G27*$H$4</f>
        <v>148.48</v>
      </c>
      <c r="I27" s="192" t="n">
        <f aca="false">$I$4*E27</f>
        <v>11.132221791392</v>
      </c>
      <c r="J27" s="192" t="n">
        <f aca="false">'Rateio Custos Fixos'!E28</f>
        <v>6.75543699108182</v>
      </c>
      <c r="K27" s="193" t="n">
        <f aca="false">SUM(H27,J27)</f>
        <v>155.235436991082</v>
      </c>
      <c r="L27" s="193" t="n">
        <f aca="false">K27+M27</f>
        <v>172.621805934083</v>
      </c>
      <c r="M27" s="192" t="n">
        <f aca="false">K27*IFERROR(VLOOKUP(C27,$C$5:$Q$5,11,FALSE()),0)</f>
        <v>17.3863689430012</v>
      </c>
      <c r="N27" s="192" t="n">
        <f aca="false">L27*IFERROR(VLOOKUP(C27,$C$5:$Q$5,12,FALSE()),0)</f>
        <v>0</v>
      </c>
      <c r="O27" s="192" t="n">
        <f aca="false">L27*IFERROR(VLOOKUP(C27,$C$5:$Q$5,13,FALSE()),0)</f>
        <v>3.62505792461574</v>
      </c>
      <c r="P27" s="192" t="n">
        <f aca="false">L27*IFERROR(VLOOKUP(C27,$C$5:$Q$5,14,FALSE()),0)</f>
        <v>18.3842223319798</v>
      </c>
      <c r="Q27" s="192" t="n">
        <f aca="false">L27*IFERROR(VLOOKUP(C27,$C$5:$Q$5,15,FALSE()),0)</f>
        <v>10.357308356045</v>
      </c>
      <c r="R27" s="193" t="n">
        <f aca="false">SUM(M27:Q27)</f>
        <v>49.7529575556417</v>
      </c>
      <c r="S27" s="194" t="n">
        <f aca="false">'Rateio Custos Fixos'!F28</f>
        <v>2.41198138813494</v>
      </c>
      <c r="T27" s="194" t="n">
        <f aca="false">'Rateio Custos Fixos'!G28</f>
        <v>0.112446684761535</v>
      </c>
      <c r="U27" s="194" t="n">
        <f aca="false">'Rateio Custos Fixos'!H28</f>
        <v>11.132221791392</v>
      </c>
      <c r="V27" s="194" t="n">
        <f aca="false">'Rateio Custos Fixos'!I28</f>
        <v>0.53974408685537</v>
      </c>
      <c r="W27" s="194" t="n">
        <f aca="false">'Rateio Custos Fixos'!J28</f>
        <v>1.37184955409073</v>
      </c>
      <c r="X27" s="194" t="n">
        <f aca="false">'Rateio Custos Fixos'!K28</f>
        <v>0.112446684761535</v>
      </c>
      <c r="Y27" s="194" t="n">
        <f aca="false">'Rateio Custos Fixos'!L28</f>
        <v>8.71349360217138</v>
      </c>
      <c r="Z27" s="194" t="n">
        <f aca="false">'Rateio Custos Fixos'!M28</f>
        <v>1.72718107793719</v>
      </c>
      <c r="AA27" s="194" t="n">
        <f aca="false">'Rateio Custos Fixos'!N28</f>
        <v>0.540434959286545</v>
      </c>
      <c r="AB27" s="194" t="n">
        <f aca="false">'Rateio Custos Fixos'!O28</f>
        <v>0</v>
      </c>
      <c r="AC27" s="194" t="n">
        <f aca="false">'Rateio Custos Fixos'!P28</f>
        <v>8.51165180302443</v>
      </c>
      <c r="AD27" s="194" t="n">
        <f aca="false">'Rateio Custos Fixos'!Q28</f>
        <v>0.224893369523071</v>
      </c>
      <c r="AE27" s="194" t="n">
        <f aca="false">'Rateio Custos Fixos'!R28</f>
        <v>1.32068631252423</v>
      </c>
      <c r="AF27" s="194" t="n">
        <f aca="false">'Rateio Custos Fixos'!S28</f>
        <v>3.21597518417991</v>
      </c>
      <c r="AG27" s="194" t="n">
        <f aca="false">'Rateio Custos Fixos'!T28</f>
        <v>33.7340054284607</v>
      </c>
      <c r="AH27" s="194" t="n">
        <f aca="false">'Rateio Custos Fixos'!U28</f>
        <v>29.2361380379992</v>
      </c>
      <c r="AI27" s="195" t="n">
        <f aca="false">SUM(S27:AH27)</f>
        <v>102.905149965103</v>
      </c>
      <c r="AJ27" s="196" t="n">
        <f aca="false">K27+R27+AI27</f>
        <v>307.893544511826</v>
      </c>
      <c r="AK27" s="197" t="n">
        <f aca="false">IFERROR(AJ27/D27,0)</f>
        <v>0.615787089023652</v>
      </c>
      <c r="AL27" s="198" t="n">
        <f aca="false">IFERROR(AJ27/D27,0)</f>
        <v>0.615787089023652</v>
      </c>
      <c r="AM27" s="199"/>
    </row>
    <row r="28" customFormat="false" ht="14.25" hidden="false" customHeight="true" outlineLevel="0" collapsed="false">
      <c r="B28" s="189" t="n">
        <f aca="false">'Lista de Compra'!B27</f>
        <v>32010</v>
      </c>
      <c r="C28" s="189" t="str">
        <f aca="false">'Lista de Compra'!E27</f>
        <v>8466.93.50</v>
      </c>
      <c r="D28" s="190" t="n">
        <f aca="false">'Lista de Compra'!K27</f>
        <v>500</v>
      </c>
      <c r="E28" s="191" t="n">
        <f aca="false">'Lista de Compra'!P27</f>
        <v>0.165180302442807</v>
      </c>
      <c r="F28" s="192" t="n">
        <f aca="false">'Lista de Compra'!M27</f>
        <v>0.852</v>
      </c>
      <c r="G28" s="192" t="n">
        <f aca="false">D28*F28</f>
        <v>426</v>
      </c>
      <c r="H28" s="192" t="n">
        <f aca="false">G28*$H$4</f>
        <v>2181.12</v>
      </c>
      <c r="I28" s="192" t="n">
        <f aca="false">$I$4*E28</f>
        <v>163.528499418379</v>
      </c>
      <c r="J28" s="192" t="n">
        <f aca="false">'Rateio Custos Fixos'!E29</f>
        <v>99.2350399379605</v>
      </c>
      <c r="K28" s="193" t="n">
        <f aca="false">SUM(H28,J28)</f>
        <v>2280.35503993796</v>
      </c>
      <c r="L28" s="193" t="n">
        <f aca="false">K28+M28</f>
        <v>2535.75480441101</v>
      </c>
      <c r="M28" s="192" t="n">
        <f aca="false">K28*IFERROR(VLOOKUP(C28,$C$5:$Q$5,11,FALSE()),0)</f>
        <v>255.399764473052</v>
      </c>
      <c r="N28" s="192" t="n">
        <f aca="false">L28*IFERROR(VLOOKUP(C28,$C$5:$Q$5,12,FALSE()),0)</f>
        <v>0</v>
      </c>
      <c r="O28" s="192" t="n">
        <f aca="false">L28*IFERROR(VLOOKUP(C28,$C$5:$Q$5,13,FALSE()),0)</f>
        <v>53.2508508926313</v>
      </c>
      <c r="P28" s="192" t="n">
        <f aca="false">L28*IFERROR(VLOOKUP(C28,$C$5:$Q$5,14,FALSE()),0)</f>
        <v>270.057886669773</v>
      </c>
      <c r="Q28" s="192" t="n">
        <f aca="false">L28*IFERROR(VLOOKUP(C28,$C$5:$Q$5,15,FALSE()),0)</f>
        <v>152.145288264661</v>
      </c>
      <c r="R28" s="193" t="n">
        <f aca="false">SUM(M28:Q28)</f>
        <v>730.853790300116</v>
      </c>
      <c r="S28" s="194" t="n">
        <f aca="false">'Rateio Custos Fixos'!F29</f>
        <v>35.4311748739822</v>
      </c>
      <c r="T28" s="194" t="n">
        <f aca="false">'Rateio Custos Fixos'!G29</f>
        <v>1.65180302442807</v>
      </c>
      <c r="U28" s="194" t="n">
        <f aca="false">'Rateio Custos Fixos'!H29</f>
        <v>163.528499418379</v>
      </c>
      <c r="V28" s="194" t="n">
        <f aca="false">'Rateio Custos Fixos'!I29</f>
        <v>7.92865451725475</v>
      </c>
      <c r="W28" s="194" t="n">
        <f aca="false">'Rateio Custos Fixos'!J29</f>
        <v>20.1519968980225</v>
      </c>
      <c r="X28" s="194" t="n">
        <f aca="false">'Rateio Custos Fixos'!K29</f>
        <v>1.65180302442807</v>
      </c>
      <c r="Y28" s="194" t="n">
        <f aca="false">'Rateio Custos Fixos'!L29</f>
        <v>127.998216362931</v>
      </c>
      <c r="Z28" s="194" t="n">
        <f aca="false">'Rateio Custos Fixos'!M29</f>
        <v>25.3716944552152</v>
      </c>
      <c r="AA28" s="194" t="n">
        <f aca="false">'Rateio Custos Fixos'!N29</f>
        <v>7.93880319503684</v>
      </c>
      <c r="AB28" s="194" t="n">
        <f aca="false">'Rateio Custos Fixos'!O29</f>
        <v>0</v>
      </c>
      <c r="AC28" s="194" t="n">
        <f aca="false">'Rateio Custos Fixos'!P29</f>
        <v>125.033229934083</v>
      </c>
      <c r="AD28" s="194" t="n">
        <f aca="false">'Rateio Custos Fixos'!Q29</f>
        <v>3.30360604885615</v>
      </c>
      <c r="AE28" s="194" t="n">
        <f aca="false">'Rateio Custos Fixos'!R29</f>
        <v>19.4004265219077</v>
      </c>
      <c r="AF28" s="194" t="n">
        <f aca="false">'Rateio Custos Fixos'!S29</f>
        <v>47.2415664986429</v>
      </c>
      <c r="AG28" s="194" t="n">
        <f aca="false">'Rateio Custos Fixos'!T29</f>
        <v>495.540907328422</v>
      </c>
      <c r="AH28" s="194" t="n">
        <f aca="false">'Rateio Custos Fixos'!U29</f>
        <v>429.468786351299</v>
      </c>
      <c r="AI28" s="195" t="n">
        <f aca="false">SUM(S28:AH28)</f>
        <v>1511.64116845289</v>
      </c>
      <c r="AJ28" s="196" t="n">
        <f aca="false">K28+R28+AI28</f>
        <v>4522.84999869097</v>
      </c>
      <c r="AK28" s="197" t="n">
        <f aca="false">IFERROR(AJ28/D28,0)</f>
        <v>9.04569999738193</v>
      </c>
      <c r="AL28" s="198" t="n">
        <f aca="false">IFERROR(AJ28/D28,0)</f>
        <v>9.04569999738193</v>
      </c>
      <c r="AM28" s="199"/>
    </row>
    <row r="29" customFormat="false" ht="14.25" hidden="false" customHeight="true" outlineLevel="0" collapsed="false">
      <c r="B29" s="189" t="str">
        <f aca="false">'Lista de Compra'!B28</f>
        <v>6007-DDU</v>
      </c>
      <c r="C29" s="189" t="str">
        <f aca="false">'Lista de Compra'!E28</f>
        <v>8466.93.50</v>
      </c>
      <c r="D29" s="190" t="n">
        <f aca="false">'Lista de Compra'!K28</f>
        <v>500</v>
      </c>
      <c r="E29" s="191" t="n">
        <f aca="false">'Lista de Compra'!P28</f>
        <v>0.0601008142690965</v>
      </c>
      <c r="F29" s="192" t="n">
        <f aca="false">'Lista de Compra'!M28</f>
        <v>0.31</v>
      </c>
      <c r="G29" s="192" t="n">
        <f aca="false">D29*F29</f>
        <v>155</v>
      </c>
      <c r="H29" s="192" t="n">
        <f aca="false">G29*$H$4</f>
        <v>793.6</v>
      </c>
      <c r="I29" s="192" t="n">
        <f aca="false">$I$4*E29</f>
        <v>59.4998061264056</v>
      </c>
      <c r="J29" s="192" t="n">
        <f aca="false">'Rateio Custos Fixos'!E30</f>
        <v>36.1066459868166</v>
      </c>
      <c r="K29" s="193" t="n">
        <f aca="false">SUM(H29,J29)</f>
        <v>829.706645986817</v>
      </c>
      <c r="L29" s="193" t="n">
        <f aca="false">K29+M29</f>
        <v>922.63379033734</v>
      </c>
      <c r="M29" s="192" t="n">
        <f aca="false">K29*IFERROR(VLOOKUP(C29,$C$5:$Q$5,11,FALSE()),0)</f>
        <v>92.9271443505235</v>
      </c>
      <c r="N29" s="192" t="n">
        <f aca="false">L29*IFERROR(VLOOKUP(C29,$C$5:$Q$5,12,FALSE()),0)</f>
        <v>0</v>
      </c>
      <c r="O29" s="192" t="n">
        <f aca="false">L29*IFERROR(VLOOKUP(C29,$C$5:$Q$5,13,FALSE()),0)</f>
        <v>19.3753095970841</v>
      </c>
      <c r="P29" s="192" t="n">
        <f aca="false">L29*IFERROR(VLOOKUP(C29,$C$5:$Q$5,14,FALSE()),0)</f>
        <v>98.2604986709267</v>
      </c>
      <c r="Q29" s="192" t="n">
        <f aca="false">L29*IFERROR(VLOOKUP(C29,$C$5:$Q$5,15,FALSE()),0)</f>
        <v>55.3580274202404</v>
      </c>
      <c r="R29" s="193" t="n">
        <f aca="false">SUM(M29:Q29)</f>
        <v>265.920980038775</v>
      </c>
      <c r="S29" s="194" t="n">
        <f aca="false">'Rateio Custos Fixos'!F30</f>
        <v>12.8916246607212</v>
      </c>
      <c r="T29" s="194" t="n">
        <f aca="false">'Rateio Custos Fixos'!G30</f>
        <v>0.601008142690966</v>
      </c>
      <c r="U29" s="194" t="n">
        <f aca="false">'Rateio Custos Fixos'!H30</f>
        <v>59.4998061264056</v>
      </c>
      <c r="V29" s="194" t="n">
        <f aca="false">'Rateio Custos Fixos'!I30</f>
        <v>2.88483908491663</v>
      </c>
      <c r="W29" s="194" t="n">
        <f aca="false">'Rateio Custos Fixos'!J30</f>
        <v>7.33229934082978</v>
      </c>
      <c r="X29" s="194" t="n">
        <f aca="false">'Rateio Custos Fixos'!K30</f>
        <v>0.601008142690966</v>
      </c>
      <c r="Y29" s="194" t="n">
        <f aca="false">'Rateio Custos Fixos'!L30</f>
        <v>46.5721209771229</v>
      </c>
      <c r="Z29" s="194" t="n">
        <f aca="false">'Rateio Custos Fixos'!M30</f>
        <v>9.23148507173323</v>
      </c>
      <c r="AA29" s="194" t="n">
        <f aca="false">'Rateio Custos Fixos'!N30</f>
        <v>2.88853167894533</v>
      </c>
      <c r="AB29" s="194" t="n">
        <f aca="false">'Rateio Custos Fixos'!O30</f>
        <v>0</v>
      </c>
      <c r="AC29" s="194" t="n">
        <f aca="false">'Rateio Custos Fixos'!P30</f>
        <v>45.4933113609926</v>
      </c>
      <c r="AD29" s="194" t="n">
        <f aca="false">'Rateio Custos Fixos'!Q30</f>
        <v>1.20201628538193</v>
      </c>
      <c r="AE29" s="194" t="n">
        <f aca="false">'Rateio Custos Fixos'!R30</f>
        <v>7.05884063590539</v>
      </c>
      <c r="AF29" s="194" t="n">
        <f aca="false">'Rateio Custos Fixos'!S30</f>
        <v>17.1888328809616</v>
      </c>
      <c r="AG29" s="194" t="n">
        <f aca="false">'Rateio Custos Fixos'!T30</f>
        <v>180.30244280729</v>
      </c>
      <c r="AH29" s="194" t="n">
        <f aca="false">'Rateio Custos Fixos'!U30</f>
        <v>156.262117099651</v>
      </c>
      <c r="AI29" s="195" t="n">
        <f aca="false">SUM(S29:AH29)</f>
        <v>550.010284296239</v>
      </c>
      <c r="AJ29" s="196" t="n">
        <f aca="false">K29+R29+AI29</f>
        <v>1645.63791032183</v>
      </c>
      <c r="AK29" s="197" t="n">
        <f aca="false">IFERROR(AJ29/D29,0)</f>
        <v>3.29127582064366</v>
      </c>
      <c r="AL29" s="198" t="n">
        <f aca="false">IFERROR(AJ29/D29,0)</f>
        <v>3.29127582064366</v>
      </c>
      <c r="AM29" s="199"/>
    </row>
    <row r="30" customFormat="false" ht="14.25" hidden="false" customHeight="true" outlineLevel="0" collapsed="false">
      <c r="B30" s="189" t="str">
        <f aca="false">'Lista de Compra'!B29</f>
        <v>6010-DDU</v>
      </c>
      <c r="C30" s="189" t="str">
        <f aca="false">'Lista de Compra'!E29</f>
        <v>8466.93.50</v>
      </c>
      <c r="D30" s="190" t="n">
        <f aca="false">'Lista de Compra'!K29</f>
        <v>500</v>
      </c>
      <c r="E30" s="191" t="n">
        <f aca="false">'Lista de Compra'!P29</f>
        <v>0.120007754943777</v>
      </c>
      <c r="F30" s="192" t="n">
        <f aca="false">'Lista de Compra'!M29</f>
        <v>0.619</v>
      </c>
      <c r="G30" s="192" t="n">
        <f aca="false">D30*F30</f>
        <v>309.5</v>
      </c>
      <c r="H30" s="192" t="n">
        <f aca="false">G30*$H$4</f>
        <v>1584.64</v>
      </c>
      <c r="I30" s="192" t="n">
        <f aca="false">$I$4*E30</f>
        <v>118.807677394339</v>
      </c>
      <c r="J30" s="192" t="n">
        <f aca="false">'Rateio Custos Fixos'!E31</f>
        <v>72.0968189220628</v>
      </c>
      <c r="K30" s="193" t="n">
        <f aca="false">SUM(H30,J30)</f>
        <v>1656.73681892206</v>
      </c>
      <c r="L30" s="193" t="n">
        <f aca="false">K30+M30</f>
        <v>1842.29134264133</v>
      </c>
      <c r="M30" s="192" t="n">
        <f aca="false">K30*IFERROR(VLOOKUP(C30,$C$5:$Q$5,11,FALSE()),0)</f>
        <v>185.554523719271</v>
      </c>
      <c r="N30" s="192" t="n">
        <f aca="false">L30*IFERROR(VLOOKUP(C30,$C$5:$Q$5,12,FALSE()),0)</f>
        <v>0</v>
      </c>
      <c r="O30" s="192" t="n">
        <f aca="false">L30*IFERROR(VLOOKUP(C30,$C$5:$Q$5,13,FALSE()),0)</f>
        <v>38.688118195468</v>
      </c>
      <c r="P30" s="192" t="n">
        <f aca="false">L30*IFERROR(VLOOKUP(C30,$C$5:$Q$5,14,FALSE()),0)</f>
        <v>196.204027991302</v>
      </c>
      <c r="Q30" s="192" t="n">
        <f aca="false">L30*IFERROR(VLOOKUP(C30,$C$5:$Q$5,15,FALSE()),0)</f>
        <v>110.53748055848</v>
      </c>
      <c r="R30" s="193" t="n">
        <f aca="false">SUM(M30:Q30)</f>
        <v>530.984150464521</v>
      </c>
      <c r="S30" s="194" t="n">
        <f aca="false">'Rateio Custos Fixos'!F31</f>
        <v>25.7416634354401</v>
      </c>
      <c r="T30" s="194" t="n">
        <f aca="false">'Rateio Custos Fixos'!G31</f>
        <v>1.20007754943777</v>
      </c>
      <c r="U30" s="194" t="n">
        <f aca="false">'Rateio Custos Fixos'!H31</f>
        <v>118.807677394339</v>
      </c>
      <c r="V30" s="194" t="n">
        <f aca="false">'Rateio Custos Fixos'!I31</f>
        <v>5.76037223730128</v>
      </c>
      <c r="W30" s="194" t="n">
        <f aca="false">'Rateio Custos Fixos'!J31</f>
        <v>14.6409461031408</v>
      </c>
      <c r="X30" s="194" t="n">
        <f aca="false">'Rateio Custos Fixos'!K31</f>
        <v>1.20007754943777</v>
      </c>
      <c r="Y30" s="194" t="n">
        <f aca="false">'Rateio Custos Fixos'!L31</f>
        <v>92.9940093059325</v>
      </c>
      <c r="Z30" s="194" t="n">
        <f aca="false">'Rateio Custos Fixos'!M31</f>
        <v>18.4331911593641</v>
      </c>
      <c r="AA30" s="194" t="n">
        <f aca="false">'Rateio Custos Fixos'!N31</f>
        <v>5.76774551376503</v>
      </c>
      <c r="AB30" s="194" t="n">
        <f aca="false">'Rateio Custos Fixos'!O31</f>
        <v>0</v>
      </c>
      <c r="AC30" s="194" t="n">
        <f aca="false">'Rateio Custos Fixos'!P31</f>
        <v>90.8398701046918</v>
      </c>
      <c r="AD30" s="194" t="n">
        <f aca="false">'Rateio Custos Fixos'!Q31</f>
        <v>2.40015509887553</v>
      </c>
      <c r="AE30" s="194" t="n">
        <f aca="false">'Rateio Custos Fixos'!R31</f>
        <v>14.0949108181466</v>
      </c>
      <c r="AF30" s="194" t="n">
        <f aca="false">'Rateio Custos Fixos'!S31</f>
        <v>34.3222179139201</v>
      </c>
      <c r="AG30" s="194" t="n">
        <f aca="false">'Rateio Custos Fixos'!T31</f>
        <v>360.02326483133</v>
      </c>
      <c r="AH30" s="194" t="n">
        <f aca="false">'Rateio Custos Fixos'!U31</f>
        <v>312.020162853819</v>
      </c>
      <c r="AI30" s="195" t="n">
        <f aca="false">SUM(S30:AH30)</f>
        <v>1098.24634186894</v>
      </c>
      <c r="AJ30" s="196" t="n">
        <f aca="false">K30+R30+AI30</f>
        <v>3285.96731125553</v>
      </c>
      <c r="AK30" s="197" t="n">
        <f aca="false">IFERROR(AJ30/D30,0)</f>
        <v>6.57193462251105</v>
      </c>
      <c r="AL30" s="198" t="n">
        <f aca="false">IFERROR(AJ30/D30,0)</f>
        <v>6.57193462251105</v>
      </c>
      <c r="AM30" s="199"/>
    </row>
  </sheetData>
  <mergeCells count="4">
    <mergeCell ref="B2:G2"/>
    <mergeCell ref="H2:L2"/>
    <mergeCell ref="M2:R2"/>
    <mergeCell ref="S2:A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U33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A20" activeCellId="0" sqref="A20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39.33"/>
    <col collapsed="false" customWidth="true" hidden="false" outlineLevel="0" max="2" min="2" style="0" width="12.56"/>
    <col collapsed="false" customWidth="true" hidden="false" outlineLevel="0" max="3" min="3" style="0" width="16.11"/>
    <col collapsed="false" customWidth="true" hidden="false" outlineLevel="0" max="5" min="5" style="0" width="16.33"/>
    <col collapsed="false" customWidth="true" hidden="false" outlineLevel="0" max="13" min="6" style="0" width="15.66"/>
    <col collapsed="false" customWidth="true" hidden="false" outlineLevel="0" max="14" min="14" style="0" width="16.56"/>
    <col collapsed="false" customWidth="true" hidden="false" outlineLevel="0" max="21" min="15" style="0" width="15.66"/>
  </cols>
  <sheetData>
    <row r="3" customFormat="false" ht="14.25" hidden="false" customHeight="true" outlineLevel="0" collapsed="false">
      <c r="A3" s="0" t="s">
        <v>117</v>
      </c>
      <c r="F3" s="0" t="s">
        <v>118</v>
      </c>
      <c r="G3" s="57" t="s">
        <v>18</v>
      </c>
    </row>
    <row r="4" customFormat="false" ht="14.25" hidden="false" customHeight="true" outlineLevel="0" collapsed="false">
      <c r="F4" s="201" t="n">
        <f aca="false">106.4</f>
        <v>106.4</v>
      </c>
      <c r="G4" s="170" t="n">
        <f aca="false">F4*B5</f>
        <v>544.768</v>
      </c>
    </row>
    <row r="5" customFormat="false" ht="14.25" hidden="false" customHeight="true" outlineLevel="0" collapsed="false">
      <c r="B5" s="170" t="n">
        <f aca="false">5.12</f>
        <v>5.12</v>
      </c>
      <c r="C5" s="170"/>
      <c r="F5" s="170" t="n">
        <v>56</v>
      </c>
      <c r="G5" s="170" t="n">
        <f aca="false">F5</f>
        <v>56</v>
      </c>
    </row>
    <row r="6" customFormat="false" ht="14.25" hidden="false" customHeight="true" outlineLevel="0" collapsed="false">
      <c r="B6" s="170"/>
      <c r="F6" s="202" t="s">
        <v>49</v>
      </c>
      <c r="G6" s="203" t="n">
        <f aca="false">SUM(G4:G5)</f>
        <v>600.768</v>
      </c>
    </row>
    <row r="7" customFormat="false" ht="14.25" hidden="false" customHeight="true" outlineLevel="0" collapsed="false">
      <c r="G7" s="204" t="n">
        <f aca="false">IFERROR(G6/$B$5,0)</f>
        <v>117.3375</v>
      </c>
    </row>
    <row r="8" customFormat="false" ht="14.25" hidden="false" customHeight="true" outlineLevel="0" collapsed="false">
      <c r="U8" s="205"/>
    </row>
    <row r="10" s="57" customFormat="true" ht="42.75" hidden="false" customHeight="true" outlineLevel="0" collapsed="false">
      <c r="A10" s="171" t="s">
        <v>59</v>
      </c>
      <c r="B10" s="171" t="s">
        <v>67</v>
      </c>
      <c r="C10" s="171" t="str">
        <f aca="false">'Lista de Compra'!P8</f>
        <v>% Rateio Preço</v>
      </c>
      <c r="E10" s="206" t="s">
        <v>118</v>
      </c>
      <c r="F10" s="206" t="s">
        <v>28</v>
      </c>
      <c r="G10" s="206" t="s">
        <v>29</v>
      </c>
      <c r="H10" s="206" t="s">
        <v>108</v>
      </c>
      <c r="I10" s="206" t="s">
        <v>31</v>
      </c>
      <c r="J10" s="206" t="s">
        <v>32</v>
      </c>
      <c r="K10" s="206" t="s">
        <v>33</v>
      </c>
      <c r="L10" s="206" t="s">
        <v>34</v>
      </c>
      <c r="M10" s="206" t="s">
        <v>35</v>
      </c>
      <c r="N10" s="206" t="s">
        <v>36</v>
      </c>
      <c r="O10" s="206" t="s">
        <v>37</v>
      </c>
      <c r="P10" s="206" t="s">
        <v>39</v>
      </c>
      <c r="Q10" s="206" t="s">
        <v>40</v>
      </c>
      <c r="R10" s="206" t="s">
        <v>41</v>
      </c>
      <c r="S10" s="206" t="s">
        <v>42</v>
      </c>
      <c r="T10" s="206" t="s">
        <v>43</v>
      </c>
      <c r="U10" s="206" t="s">
        <v>44</v>
      </c>
    </row>
    <row r="11" customFormat="false" ht="14.25" hidden="false" customHeight="true" outlineLevel="0" collapsed="false">
      <c r="A11" s="207"/>
      <c r="B11" s="208" t="n">
        <f aca="false">SUM(B12:B31)</f>
        <v>10000</v>
      </c>
      <c r="C11" s="209" t="n">
        <f aca="false">SUM(C12:C31)</f>
        <v>1</v>
      </c>
      <c r="D11" s="207"/>
      <c r="E11" s="210" t="n">
        <f aca="false">G6</f>
        <v>600.768</v>
      </c>
      <c r="F11" s="210" t="n">
        <v>214.5</v>
      </c>
      <c r="G11" s="210" t="n">
        <v>10</v>
      </c>
      <c r="H11" s="210" t="n">
        <v>990</v>
      </c>
      <c r="I11" s="210" t="n">
        <v>48</v>
      </c>
      <c r="J11" s="210" t="n">
        <v>122</v>
      </c>
      <c r="K11" s="210" t="n">
        <v>10</v>
      </c>
      <c r="L11" s="210" t="n">
        <v>774.9</v>
      </c>
      <c r="M11" s="210" t="n">
        <v>153.6</v>
      </c>
      <c r="N11" s="210" t="n">
        <v>0.08</v>
      </c>
      <c r="O11" s="210" t="n">
        <v>0</v>
      </c>
      <c r="P11" s="210" t="n">
        <v>756.95</v>
      </c>
      <c r="Q11" s="210" t="n">
        <v>20</v>
      </c>
      <c r="R11" s="210" t="n">
        <v>117.45</v>
      </c>
      <c r="S11" s="210" t="n">
        <v>286</v>
      </c>
      <c r="T11" s="210" t="n">
        <v>3000</v>
      </c>
      <c r="U11" s="210" t="n">
        <v>2600</v>
      </c>
    </row>
    <row r="12" customFormat="false" ht="14.25" hidden="false" customHeight="true" outlineLevel="0" collapsed="false">
      <c r="A12" s="211" t="str">
        <f aca="false">'Lista de Compra'!B10</f>
        <v>6201-DDU</v>
      </c>
      <c r="B12" s="212" t="n">
        <f aca="false">'Lista de Compra'!K10</f>
        <v>500</v>
      </c>
      <c r="C12" s="213" t="n">
        <f aca="false">'Lista de Compra'!P10</f>
        <v>0.0195812330360605</v>
      </c>
      <c r="E12" s="214" t="n">
        <f aca="false">E$11*$C12</f>
        <v>11.763778208608</v>
      </c>
      <c r="F12" s="214" t="n">
        <f aca="false">F$11*$C12</f>
        <v>4.20017448623498</v>
      </c>
      <c r="G12" s="214" t="n">
        <f aca="false">G$11*$C12</f>
        <v>0.195812330360605</v>
      </c>
      <c r="H12" s="214" t="n">
        <f aca="false">H$11*$C12</f>
        <v>19.3854207056999</v>
      </c>
      <c r="I12" s="214" t="n">
        <f aca="false">I$11*$C12</f>
        <v>0.939899185730903</v>
      </c>
      <c r="J12" s="214" t="n">
        <f aca="false">J$11*$C12</f>
        <v>2.38891043039938</v>
      </c>
      <c r="K12" s="214" t="n">
        <f aca="false">K$11*$C12</f>
        <v>0.195812330360605</v>
      </c>
      <c r="L12" s="214" t="n">
        <f aca="false">L$11*$C12</f>
        <v>15.1734974796433</v>
      </c>
      <c r="M12" s="214" t="n">
        <f aca="false">M$11*$C12</f>
        <v>3.00767739433889</v>
      </c>
      <c r="N12" s="214" t="n">
        <f aca="false">E12*$N$11</f>
        <v>0.941102256688639</v>
      </c>
      <c r="O12" s="214" t="n">
        <f aca="false">O$11*$C12</f>
        <v>0</v>
      </c>
      <c r="P12" s="214" t="n">
        <f aca="false">P$11*$C12</f>
        <v>14.822014346646</v>
      </c>
      <c r="Q12" s="214" t="n">
        <f aca="false">Q$11*$C12</f>
        <v>0.39162466072121</v>
      </c>
      <c r="R12" s="214" t="n">
        <f aca="false">R$11*$C12</f>
        <v>2.2998158200853</v>
      </c>
      <c r="S12" s="214" t="n">
        <f aca="false">S$11*$C12</f>
        <v>5.6002326483133</v>
      </c>
      <c r="T12" s="214" t="n">
        <f aca="false">T$11*$C12</f>
        <v>58.7436991081815</v>
      </c>
      <c r="U12" s="214" t="n">
        <f aca="false">U$11*$C12</f>
        <v>50.9112058937573</v>
      </c>
    </row>
    <row r="13" customFormat="false" ht="14.25" hidden="false" customHeight="true" outlineLevel="0" collapsed="false">
      <c r="A13" s="211" t="str">
        <f aca="false">'Lista de Compra'!B11</f>
        <v>6204-DDU</v>
      </c>
      <c r="B13" s="212" t="n">
        <f aca="false">'Lista de Compra'!K11</f>
        <v>500</v>
      </c>
      <c r="C13" s="213" t="n">
        <f aca="false">'Lista de Compra'!P11</f>
        <v>0.0321830166731291</v>
      </c>
      <c r="E13" s="214" t="n">
        <f aca="false">E$11*$C13</f>
        <v>19.3345265606824</v>
      </c>
      <c r="F13" s="214" t="n">
        <f aca="false">F$11*$C13</f>
        <v>6.9032570763862</v>
      </c>
      <c r="G13" s="214" t="n">
        <f aca="false">G$11*$C13</f>
        <v>0.321830166731291</v>
      </c>
      <c r="H13" s="214" t="n">
        <f aca="false">H$11*$C13</f>
        <v>31.8611865063978</v>
      </c>
      <c r="I13" s="214" t="n">
        <f aca="false">I$11*$C13</f>
        <v>1.5447848003102</v>
      </c>
      <c r="J13" s="214" t="n">
        <f aca="false">J$11*$C13</f>
        <v>3.92632803412175</v>
      </c>
      <c r="K13" s="214" t="n">
        <f aca="false">K$11*$C13</f>
        <v>0.321830166731291</v>
      </c>
      <c r="L13" s="214" t="n">
        <f aca="false">L$11*$C13</f>
        <v>24.9386196200078</v>
      </c>
      <c r="M13" s="214" t="n">
        <f aca="false">M$11*$C13</f>
        <v>4.94331136099263</v>
      </c>
      <c r="N13" s="214" t="n">
        <f aca="false">E13*$N$11</f>
        <v>1.54676212485459</v>
      </c>
      <c r="O13" s="214" t="n">
        <f aca="false">O$11*$C13</f>
        <v>0</v>
      </c>
      <c r="P13" s="214" t="n">
        <f aca="false">P$11*$C13</f>
        <v>24.3609344707251</v>
      </c>
      <c r="Q13" s="214" t="n">
        <f aca="false">Q$11*$C13</f>
        <v>0.643660333462582</v>
      </c>
      <c r="R13" s="214" t="n">
        <f aca="false">R$11*$C13</f>
        <v>3.77989530825902</v>
      </c>
      <c r="S13" s="214" t="n">
        <f aca="false">S$11*$C13</f>
        <v>9.20434276851493</v>
      </c>
      <c r="T13" s="214" t="n">
        <f aca="false">T$11*$C13</f>
        <v>96.5490500193874</v>
      </c>
      <c r="U13" s="214" t="n">
        <f aca="false">U$11*$C13</f>
        <v>83.6758433501357</v>
      </c>
    </row>
    <row r="14" customFormat="false" ht="14.25" hidden="false" customHeight="true" outlineLevel="0" collapsed="false">
      <c r="A14" s="211" t="str">
        <f aca="false">'Lista de Compra'!B12</f>
        <v>6205-DDU</v>
      </c>
      <c r="B14" s="212" t="n">
        <f aca="false">'Lista de Compra'!K12</f>
        <v>500</v>
      </c>
      <c r="C14" s="213" t="n">
        <f aca="false">'Lista de Compra'!P12</f>
        <v>0.0393563396665374</v>
      </c>
      <c r="E14" s="214" t="n">
        <f aca="false">E$11*$C14</f>
        <v>23.6440294687864</v>
      </c>
      <c r="F14" s="214" t="n">
        <f aca="false">F$11*$C14</f>
        <v>8.44193485847228</v>
      </c>
      <c r="G14" s="214" t="n">
        <f aca="false">G$11*$C14</f>
        <v>0.393563396665374</v>
      </c>
      <c r="H14" s="214" t="n">
        <f aca="false">H$11*$C14</f>
        <v>38.962776269872</v>
      </c>
      <c r="I14" s="214" t="n">
        <f aca="false">I$11*$C14</f>
        <v>1.8891043039938</v>
      </c>
      <c r="J14" s="214" t="n">
        <f aca="false">J$11*$C14</f>
        <v>4.80147343931757</v>
      </c>
      <c r="K14" s="214" t="n">
        <f aca="false">K$11*$C14</f>
        <v>0.393563396665374</v>
      </c>
      <c r="L14" s="214" t="n">
        <f aca="false">L$11*$C14</f>
        <v>30.4972276075998</v>
      </c>
      <c r="M14" s="214" t="n">
        <f aca="false">M$11*$C14</f>
        <v>6.04513377278015</v>
      </c>
      <c r="N14" s="214" t="n">
        <f aca="false">E14*$N$11</f>
        <v>1.89152235750291</v>
      </c>
      <c r="O14" s="214" t="n">
        <f aca="false">O$11*$C14</f>
        <v>0</v>
      </c>
      <c r="P14" s="214" t="n">
        <f aca="false">P$11*$C14</f>
        <v>29.7907813105855</v>
      </c>
      <c r="Q14" s="214" t="n">
        <f aca="false">Q$11*$C14</f>
        <v>0.787126793330748</v>
      </c>
      <c r="R14" s="214" t="n">
        <f aca="false">R$11*$C14</f>
        <v>4.62240209383482</v>
      </c>
      <c r="S14" s="214" t="n">
        <f aca="false">S$11*$C14</f>
        <v>11.2559131446297</v>
      </c>
      <c r="T14" s="214" t="n">
        <f aca="false">T$11*$C14</f>
        <v>118.069018999612</v>
      </c>
      <c r="U14" s="214" t="n">
        <f aca="false">U$11*$C14</f>
        <v>102.326483132997</v>
      </c>
    </row>
    <row r="15" customFormat="false" ht="14.25" hidden="false" customHeight="true" outlineLevel="0" collapsed="false">
      <c r="A15" s="211" t="str">
        <f aca="false">'Lista de Compra'!B13</f>
        <v>6206-DDU</v>
      </c>
      <c r="B15" s="212" t="n">
        <f aca="false">'Lista de Compra'!K13</f>
        <v>500</v>
      </c>
      <c r="C15" s="213" t="n">
        <f aca="false">'Lista de Compra'!P13</f>
        <v>0.0581620783249321</v>
      </c>
      <c r="E15" s="214" t="n">
        <f aca="false">E$11*$C15</f>
        <v>34.9419154711128</v>
      </c>
      <c r="F15" s="214" t="n">
        <f aca="false">F$11*$C15</f>
        <v>12.4757658006979</v>
      </c>
      <c r="G15" s="214" t="n">
        <f aca="false">G$11*$C15</f>
        <v>0.581620783249321</v>
      </c>
      <c r="H15" s="214" t="n">
        <f aca="false">H$11*$C15</f>
        <v>57.5804575416828</v>
      </c>
      <c r="I15" s="214" t="n">
        <f aca="false">I$11*$C15</f>
        <v>2.79177975959674</v>
      </c>
      <c r="J15" s="214" t="n">
        <f aca="false">J$11*$C15</f>
        <v>7.09577355564172</v>
      </c>
      <c r="K15" s="214" t="n">
        <f aca="false">K$11*$C15</f>
        <v>0.581620783249321</v>
      </c>
      <c r="L15" s="214" t="n">
        <f aca="false">L$11*$C15</f>
        <v>45.0697944939899</v>
      </c>
      <c r="M15" s="214" t="n">
        <f aca="false">M$11*$C15</f>
        <v>8.93369523070958</v>
      </c>
      <c r="N15" s="214" t="n">
        <f aca="false">E15*$N$11</f>
        <v>2.79535323768903</v>
      </c>
      <c r="O15" s="214" t="n">
        <f aca="false">O$11*$C15</f>
        <v>0</v>
      </c>
      <c r="P15" s="214" t="n">
        <f aca="false">P$11*$C15</f>
        <v>44.0257851880574</v>
      </c>
      <c r="Q15" s="214" t="n">
        <f aca="false">Q$11*$C15</f>
        <v>1.16324156649864</v>
      </c>
      <c r="R15" s="214" t="n">
        <f aca="false">R$11*$C15</f>
        <v>6.83113609926328</v>
      </c>
      <c r="S15" s="214" t="n">
        <f aca="false">S$11*$C15</f>
        <v>16.6343544009306</v>
      </c>
      <c r="T15" s="214" t="n">
        <f aca="false">T$11*$C15</f>
        <v>174.486234974796</v>
      </c>
      <c r="U15" s="214" t="n">
        <f aca="false">U$11*$C15</f>
        <v>151.221403644824</v>
      </c>
    </row>
    <row r="16" customFormat="false" ht="14.25" hidden="false" customHeight="true" outlineLevel="0" collapsed="false">
      <c r="A16" s="211" t="str">
        <f aca="false">'Lista de Compra'!B14</f>
        <v>6004-DDU</v>
      </c>
      <c r="B16" s="212" t="n">
        <f aca="false">'Lista de Compra'!K14</f>
        <v>500</v>
      </c>
      <c r="C16" s="213" t="n">
        <f aca="false">'Lista de Compra'!P14</f>
        <v>0.0269484296238852</v>
      </c>
      <c r="E16" s="214" t="n">
        <f aca="false">E$11*$C16</f>
        <v>16.1897541682823</v>
      </c>
      <c r="F16" s="214" t="n">
        <f aca="false">F$11*$C16</f>
        <v>5.78043815432338</v>
      </c>
      <c r="G16" s="214" t="n">
        <f aca="false">G$11*$C16</f>
        <v>0.269484296238852</v>
      </c>
      <c r="H16" s="214" t="n">
        <f aca="false">H$11*$C16</f>
        <v>26.6789453276464</v>
      </c>
      <c r="I16" s="214" t="n">
        <f aca="false">I$11*$C16</f>
        <v>1.29352462194649</v>
      </c>
      <c r="J16" s="214" t="n">
        <f aca="false">J$11*$C16</f>
        <v>3.287708414114</v>
      </c>
      <c r="K16" s="214" t="n">
        <f aca="false">K$11*$C16</f>
        <v>0.269484296238852</v>
      </c>
      <c r="L16" s="214" t="n">
        <f aca="false">L$11*$C16</f>
        <v>20.8823381155487</v>
      </c>
      <c r="M16" s="214" t="n">
        <f aca="false">M$11*$C16</f>
        <v>4.13927879022877</v>
      </c>
      <c r="N16" s="214" t="n">
        <f aca="false">E16*$N$11</f>
        <v>1.29518033346258</v>
      </c>
      <c r="O16" s="214" t="n">
        <f aca="false">O$11*$C16</f>
        <v>0</v>
      </c>
      <c r="P16" s="214" t="n">
        <f aca="false">P$11*$C16</f>
        <v>20.3986138037999</v>
      </c>
      <c r="Q16" s="214" t="n">
        <f aca="false">Q$11*$C16</f>
        <v>0.538968592477705</v>
      </c>
      <c r="R16" s="214" t="n">
        <f aca="false">R$11*$C16</f>
        <v>3.16509305932532</v>
      </c>
      <c r="S16" s="214" t="n">
        <f aca="false">S$11*$C16</f>
        <v>7.70725087243118</v>
      </c>
      <c r="T16" s="214" t="n">
        <f aca="false">T$11*$C16</f>
        <v>80.8452888716557</v>
      </c>
      <c r="U16" s="214" t="n">
        <f aca="false">U$11*$C16</f>
        <v>70.0659170221016</v>
      </c>
    </row>
    <row r="17" customFormat="false" ht="14.25" hidden="false" customHeight="true" outlineLevel="0" collapsed="false">
      <c r="A17" s="211" t="str">
        <f aca="false">'Lista de Compra'!B15</f>
        <v>6001-DDU</v>
      </c>
      <c r="B17" s="212" t="n">
        <f aca="false">'Lista de Compra'!K15</f>
        <v>500</v>
      </c>
      <c r="C17" s="213" t="n">
        <f aca="false">'Lista de Compra'!P15</f>
        <v>0.0160915083365646</v>
      </c>
      <c r="E17" s="214" t="n">
        <f aca="false">E$11*$C17</f>
        <v>9.66726328034122</v>
      </c>
      <c r="F17" s="214" t="n">
        <f aca="false">F$11*$C17</f>
        <v>3.4516285381931</v>
      </c>
      <c r="G17" s="214" t="n">
        <f aca="false">G$11*$C17</f>
        <v>0.160915083365646</v>
      </c>
      <c r="H17" s="214" t="n">
        <f aca="false">H$11*$C17</f>
        <v>15.9305932531989</v>
      </c>
      <c r="I17" s="214" t="n">
        <f aca="false">I$11*$C17</f>
        <v>0.772392400155099</v>
      </c>
      <c r="J17" s="214" t="n">
        <f aca="false">J$11*$C17</f>
        <v>1.96316401706088</v>
      </c>
      <c r="K17" s="214" t="n">
        <f aca="false">K$11*$C17</f>
        <v>0.160915083365646</v>
      </c>
      <c r="L17" s="214" t="n">
        <f aca="false">L$11*$C17</f>
        <v>12.4693098100039</v>
      </c>
      <c r="M17" s="214" t="n">
        <f aca="false">M$11*$C17</f>
        <v>2.47165568049632</v>
      </c>
      <c r="N17" s="214" t="n">
        <f aca="false">E17*$N$11</f>
        <v>0.773381062427297</v>
      </c>
      <c r="O17" s="214" t="n">
        <f aca="false">O$11*$C17</f>
        <v>0</v>
      </c>
      <c r="P17" s="214" t="n">
        <f aca="false">P$11*$C17</f>
        <v>12.1804672353625</v>
      </c>
      <c r="Q17" s="214" t="n">
        <f aca="false">Q$11*$C17</f>
        <v>0.321830166731291</v>
      </c>
      <c r="R17" s="214" t="n">
        <f aca="false">R$11*$C17</f>
        <v>1.88994765412951</v>
      </c>
      <c r="S17" s="214" t="n">
        <f aca="false">S$11*$C17</f>
        <v>4.60217138425746</v>
      </c>
      <c r="T17" s="214" t="n">
        <f aca="false">T$11*$C17</f>
        <v>48.2745250096937</v>
      </c>
      <c r="U17" s="214" t="n">
        <f aca="false">U$11*$C17</f>
        <v>41.8379216750679</v>
      </c>
    </row>
    <row r="18" customFormat="false" ht="14.25" hidden="false" customHeight="true" outlineLevel="0" collapsed="false">
      <c r="A18" s="211" t="str">
        <f aca="false">'Lista de Compra'!B16</f>
        <v>6002-DDU</v>
      </c>
      <c r="B18" s="212" t="n">
        <f aca="false">'Lista de Compra'!K16</f>
        <v>500</v>
      </c>
      <c r="C18" s="213" t="n">
        <f aca="false">'Lista de Compra'!P16</f>
        <v>0.0195812330360605</v>
      </c>
      <c r="E18" s="214" t="n">
        <f aca="false">E$11*$C18</f>
        <v>11.763778208608</v>
      </c>
      <c r="F18" s="214" t="n">
        <f aca="false">F$11*$C18</f>
        <v>4.20017448623498</v>
      </c>
      <c r="G18" s="214" t="n">
        <f aca="false">G$11*$C18</f>
        <v>0.195812330360605</v>
      </c>
      <c r="H18" s="214" t="n">
        <f aca="false">H$11*$C18</f>
        <v>19.3854207056999</v>
      </c>
      <c r="I18" s="214" t="n">
        <f aca="false">I$11*$C18</f>
        <v>0.939899185730903</v>
      </c>
      <c r="J18" s="214" t="n">
        <f aca="false">J$11*$C18</f>
        <v>2.38891043039938</v>
      </c>
      <c r="K18" s="214" t="n">
        <f aca="false">K$11*$C18</f>
        <v>0.195812330360605</v>
      </c>
      <c r="L18" s="214" t="n">
        <f aca="false">L$11*$C18</f>
        <v>15.1734974796433</v>
      </c>
      <c r="M18" s="214" t="n">
        <f aca="false">M$11*$C18</f>
        <v>3.00767739433889</v>
      </c>
      <c r="N18" s="214" t="n">
        <f aca="false">E18*$N$11</f>
        <v>0.941102256688639</v>
      </c>
      <c r="O18" s="214" t="n">
        <f aca="false">O$11*$C18</f>
        <v>0</v>
      </c>
      <c r="P18" s="214" t="n">
        <f aca="false">P$11*$C18</f>
        <v>14.822014346646</v>
      </c>
      <c r="Q18" s="214" t="n">
        <f aca="false">Q$11*$C18</f>
        <v>0.39162466072121</v>
      </c>
      <c r="R18" s="214" t="n">
        <f aca="false">R$11*$C18</f>
        <v>2.2998158200853</v>
      </c>
      <c r="S18" s="214" t="n">
        <f aca="false">S$11*$C18</f>
        <v>5.6002326483133</v>
      </c>
      <c r="T18" s="214" t="n">
        <f aca="false">T$11*$C18</f>
        <v>58.7436991081815</v>
      </c>
      <c r="U18" s="214" t="n">
        <f aca="false">U$11*$C18</f>
        <v>50.9112058937573</v>
      </c>
    </row>
    <row r="19" customFormat="false" ht="14.25" hidden="false" customHeight="true" outlineLevel="0" collapsed="false">
      <c r="A19" s="211" t="str">
        <f aca="false">'Lista de Compra'!B17</f>
        <v>6003-DDU</v>
      </c>
      <c r="B19" s="212" t="n">
        <f aca="false">'Lista de Compra'!K17</f>
        <v>500</v>
      </c>
      <c r="C19" s="213" t="n">
        <f aca="false">'Lista de Compra'!P17</f>
        <v>0.0224893369523071</v>
      </c>
      <c r="E19" s="214" t="n">
        <f aca="false">E$11*$C19</f>
        <v>13.5108739821636</v>
      </c>
      <c r="F19" s="214" t="n">
        <f aca="false">F$11*$C19</f>
        <v>4.82396277626987</v>
      </c>
      <c r="G19" s="214" t="n">
        <f aca="false">G$11*$C19</f>
        <v>0.224893369523071</v>
      </c>
      <c r="H19" s="214" t="n">
        <f aca="false">H$11*$C19</f>
        <v>22.264443582784</v>
      </c>
      <c r="I19" s="214" t="n">
        <f aca="false">I$11*$C19</f>
        <v>1.07948817371074</v>
      </c>
      <c r="J19" s="214" t="n">
        <f aca="false">J$11*$C19</f>
        <v>2.74369910818147</v>
      </c>
      <c r="K19" s="214" t="n">
        <f aca="false">K$11*$C19</f>
        <v>0.224893369523071</v>
      </c>
      <c r="L19" s="214" t="n">
        <f aca="false">L$11*$C19</f>
        <v>17.4269872043428</v>
      </c>
      <c r="M19" s="214" t="n">
        <f aca="false">M$11*$C19</f>
        <v>3.45436215587437</v>
      </c>
      <c r="N19" s="214" t="n">
        <f aca="false">E19*$N$11</f>
        <v>1.08086991857309</v>
      </c>
      <c r="O19" s="214" t="n">
        <f aca="false">O$11*$C19</f>
        <v>0</v>
      </c>
      <c r="P19" s="214" t="n">
        <f aca="false">P$11*$C19</f>
        <v>17.0233036060489</v>
      </c>
      <c r="Q19" s="214" t="n">
        <f aca="false">Q$11*$C19</f>
        <v>0.449786739046142</v>
      </c>
      <c r="R19" s="214" t="n">
        <f aca="false">R$11*$C19</f>
        <v>2.64137262504847</v>
      </c>
      <c r="S19" s="214" t="n">
        <f aca="false">S$11*$C19</f>
        <v>6.43195036835983</v>
      </c>
      <c r="T19" s="214" t="n">
        <f aca="false">T$11*$C19</f>
        <v>67.4680108569213</v>
      </c>
      <c r="U19" s="214" t="n">
        <f aca="false">U$11*$C19</f>
        <v>58.4722760759985</v>
      </c>
    </row>
    <row r="20" customFormat="false" ht="14.25" hidden="false" customHeight="true" outlineLevel="0" collapsed="false">
      <c r="A20" s="211" t="str">
        <f aca="false">'Lista de Compra'!B18</f>
        <v>6005-DDU</v>
      </c>
      <c r="B20" s="212" t="n">
        <f aca="false">'Lista de Compra'!K18</f>
        <v>500</v>
      </c>
      <c r="C20" s="213" t="n">
        <f aca="false">'Lista de Compra'!P18</f>
        <v>0.0337340054284606</v>
      </c>
      <c r="E20" s="214" t="n">
        <f aca="false">E$11*$C20</f>
        <v>20.2663109732454</v>
      </c>
      <c r="F20" s="214" t="n">
        <f aca="false">F$11*$C20</f>
        <v>7.23594416440481</v>
      </c>
      <c r="G20" s="214" t="n">
        <f aca="false">G$11*$C20</f>
        <v>0.337340054284606</v>
      </c>
      <c r="H20" s="214" t="n">
        <f aca="false">H$11*$C20</f>
        <v>33.396665374176</v>
      </c>
      <c r="I20" s="214" t="n">
        <f aca="false">I$11*$C20</f>
        <v>1.61923226056611</v>
      </c>
      <c r="J20" s="214" t="n">
        <f aca="false">J$11*$C20</f>
        <v>4.1155486622722</v>
      </c>
      <c r="K20" s="214" t="n">
        <f aca="false">K$11*$C20</f>
        <v>0.337340054284606</v>
      </c>
      <c r="L20" s="214" t="n">
        <f aca="false">L$11*$C20</f>
        <v>26.1404808065142</v>
      </c>
      <c r="M20" s="214" t="n">
        <f aca="false">M$11*$C20</f>
        <v>5.18154323381156</v>
      </c>
      <c r="N20" s="214" t="n">
        <f aca="false">E20*$N$11</f>
        <v>1.62130487785964</v>
      </c>
      <c r="O20" s="214" t="n">
        <f aca="false">O$11*$C20</f>
        <v>0</v>
      </c>
      <c r="P20" s="214" t="n">
        <f aca="false">P$11*$C20</f>
        <v>25.5349554090733</v>
      </c>
      <c r="Q20" s="214" t="n">
        <f aca="false">Q$11*$C20</f>
        <v>0.674680108569213</v>
      </c>
      <c r="R20" s="214" t="n">
        <f aca="false">R$11*$C20</f>
        <v>3.9620589375727</v>
      </c>
      <c r="S20" s="214" t="n">
        <f aca="false">S$11*$C20</f>
        <v>9.64792555253974</v>
      </c>
      <c r="T20" s="214" t="n">
        <f aca="false">T$11*$C20</f>
        <v>101.202016285382</v>
      </c>
      <c r="U20" s="214" t="n">
        <f aca="false">U$11*$C20</f>
        <v>87.7084141139977</v>
      </c>
    </row>
    <row r="21" customFormat="false" ht="14.25" hidden="false" customHeight="true" outlineLevel="0" collapsed="false">
      <c r="A21" s="211" t="str">
        <f aca="false">'Lista de Compra'!B19</f>
        <v>6006-DDU</v>
      </c>
      <c r="B21" s="212" t="n">
        <f aca="false">'Lista de Compra'!K19</f>
        <v>500</v>
      </c>
      <c r="C21" s="213" t="n">
        <f aca="false">'Lista de Compra'!P19</f>
        <v>0.0469174098487786</v>
      </c>
      <c r="E21" s="214" t="n">
        <f aca="false">E$11*$C21</f>
        <v>28.186478480031</v>
      </c>
      <c r="F21" s="214" t="n">
        <f aca="false">F$11*$C21</f>
        <v>10.063784412563</v>
      </c>
      <c r="G21" s="214" t="n">
        <f aca="false">G$11*$C21</f>
        <v>0.469174098487786</v>
      </c>
      <c r="H21" s="214" t="n">
        <f aca="false">H$11*$C21</f>
        <v>46.4482357502908</v>
      </c>
      <c r="I21" s="214" t="n">
        <f aca="false">I$11*$C21</f>
        <v>2.25203567274137</v>
      </c>
      <c r="J21" s="214" t="n">
        <f aca="false">J$11*$C21</f>
        <v>5.72392400155099</v>
      </c>
      <c r="K21" s="214" t="n">
        <f aca="false">K$11*$C21</f>
        <v>0.469174098487786</v>
      </c>
      <c r="L21" s="214" t="n">
        <f aca="false">L$11*$C21</f>
        <v>36.3563008918185</v>
      </c>
      <c r="M21" s="214" t="n">
        <f aca="false">M$11*$C21</f>
        <v>7.20651415277239</v>
      </c>
      <c r="N21" s="214" t="n">
        <f aca="false">E21*$N$11</f>
        <v>2.25491827840248</v>
      </c>
      <c r="O21" s="214" t="n">
        <f aca="false">O$11*$C21</f>
        <v>0</v>
      </c>
      <c r="P21" s="214" t="n">
        <f aca="false">P$11*$C21</f>
        <v>35.514133385033</v>
      </c>
      <c r="Q21" s="214" t="n">
        <f aca="false">Q$11*$C21</f>
        <v>0.938348196975572</v>
      </c>
      <c r="R21" s="214" t="n">
        <f aca="false">R$11*$C21</f>
        <v>5.51044978673905</v>
      </c>
      <c r="S21" s="214" t="n">
        <f aca="false">S$11*$C21</f>
        <v>13.4183792167507</v>
      </c>
      <c r="T21" s="214" t="n">
        <f aca="false">T$11*$C21</f>
        <v>140.752229546336</v>
      </c>
      <c r="U21" s="214" t="n">
        <f aca="false">U$11*$C21</f>
        <v>121.985265606824</v>
      </c>
    </row>
    <row r="22" customFormat="false" ht="14.25" hidden="false" customHeight="true" outlineLevel="0" collapsed="false">
      <c r="A22" s="211" t="str">
        <f aca="false">'Lista de Compra'!B20</f>
        <v>6301-DDU</v>
      </c>
      <c r="B22" s="212" t="n">
        <f aca="false">'Lista de Compra'!K20</f>
        <v>500</v>
      </c>
      <c r="C22" s="213" t="n">
        <f aca="false">'Lista de Compra'!P20</f>
        <v>0.0281116711903839</v>
      </c>
      <c r="E22" s="214" t="n">
        <f aca="false">E$11*$C22</f>
        <v>16.8885924777045</v>
      </c>
      <c r="F22" s="214" t="n">
        <f aca="false">F$11*$C22</f>
        <v>6.02995347033734</v>
      </c>
      <c r="G22" s="214" t="n">
        <f aca="false">G$11*$C22</f>
        <v>0.281116711903839</v>
      </c>
      <c r="H22" s="214" t="n">
        <f aca="false">H$11*$C22</f>
        <v>27.83055447848</v>
      </c>
      <c r="I22" s="214" t="n">
        <f aca="false">I$11*$C22</f>
        <v>1.34936021713843</v>
      </c>
      <c r="J22" s="214" t="n">
        <f aca="false">J$11*$C22</f>
        <v>3.42962388522683</v>
      </c>
      <c r="K22" s="214" t="n">
        <f aca="false">K$11*$C22</f>
        <v>0.281116711903839</v>
      </c>
      <c r="L22" s="214" t="n">
        <f aca="false">L$11*$C22</f>
        <v>21.7837340054285</v>
      </c>
      <c r="M22" s="214" t="n">
        <f aca="false">M$11*$C22</f>
        <v>4.31795269484296</v>
      </c>
      <c r="N22" s="214" t="n">
        <f aca="false">E22*$N$11</f>
        <v>1.35108739821636</v>
      </c>
      <c r="O22" s="214" t="n">
        <f aca="false">O$11*$C22</f>
        <v>0</v>
      </c>
      <c r="P22" s="214" t="n">
        <f aca="false">P$11*$C22</f>
        <v>21.2791295075611</v>
      </c>
      <c r="Q22" s="214" t="n">
        <f aca="false">Q$11*$C22</f>
        <v>0.562233423807677</v>
      </c>
      <c r="R22" s="214" t="n">
        <f aca="false">R$11*$C22</f>
        <v>3.30171578131059</v>
      </c>
      <c r="S22" s="214" t="n">
        <f aca="false">S$11*$C22</f>
        <v>8.03993796044979</v>
      </c>
      <c r="T22" s="214" t="n">
        <f aca="false">T$11*$C22</f>
        <v>84.3350135711516</v>
      </c>
      <c r="U22" s="214" t="n">
        <f aca="false">U$11*$C22</f>
        <v>73.0903450949981</v>
      </c>
    </row>
    <row r="23" customFormat="false" ht="14.25" hidden="false" customHeight="true" outlineLevel="0" collapsed="false">
      <c r="A23" s="211" t="str">
        <f aca="false">'Lista de Compra'!B21</f>
        <v>6302-DDU</v>
      </c>
      <c r="B23" s="212" t="n">
        <f aca="false">'Lista de Compra'!K21</f>
        <v>500</v>
      </c>
      <c r="C23" s="213" t="n">
        <f aca="false">'Lista de Compra'!P21</f>
        <v>0.0337340054284606</v>
      </c>
      <c r="E23" s="214" t="n">
        <f aca="false">E$11*$C23</f>
        <v>20.2663109732454</v>
      </c>
      <c r="F23" s="214" t="n">
        <f aca="false">F$11*$C23</f>
        <v>7.23594416440481</v>
      </c>
      <c r="G23" s="214" t="n">
        <f aca="false">G$11*$C23</f>
        <v>0.337340054284606</v>
      </c>
      <c r="H23" s="214" t="n">
        <f aca="false">H$11*$C23</f>
        <v>33.396665374176</v>
      </c>
      <c r="I23" s="214" t="n">
        <f aca="false">I$11*$C23</f>
        <v>1.61923226056611</v>
      </c>
      <c r="J23" s="214" t="n">
        <f aca="false">J$11*$C23</f>
        <v>4.1155486622722</v>
      </c>
      <c r="K23" s="214" t="n">
        <f aca="false">K$11*$C23</f>
        <v>0.337340054284606</v>
      </c>
      <c r="L23" s="214" t="n">
        <f aca="false">L$11*$C23</f>
        <v>26.1404808065142</v>
      </c>
      <c r="M23" s="214" t="n">
        <f aca="false">M$11*$C23</f>
        <v>5.18154323381156</v>
      </c>
      <c r="N23" s="214" t="n">
        <f aca="false">E23*$N$11</f>
        <v>1.62130487785964</v>
      </c>
      <c r="O23" s="214" t="n">
        <f aca="false">O$11*$C23</f>
        <v>0</v>
      </c>
      <c r="P23" s="214" t="n">
        <f aca="false">P$11*$C23</f>
        <v>25.5349554090733</v>
      </c>
      <c r="Q23" s="214" t="n">
        <f aca="false">Q$11*$C23</f>
        <v>0.674680108569213</v>
      </c>
      <c r="R23" s="214" t="n">
        <f aca="false">R$11*$C23</f>
        <v>3.9620589375727</v>
      </c>
      <c r="S23" s="214" t="n">
        <f aca="false">S$11*$C23</f>
        <v>9.64792555253974</v>
      </c>
      <c r="T23" s="214" t="n">
        <f aca="false">T$11*$C23</f>
        <v>101.202016285382</v>
      </c>
      <c r="U23" s="214" t="n">
        <f aca="false">U$11*$C23</f>
        <v>87.7084141139977</v>
      </c>
    </row>
    <row r="24" customFormat="false" ht="14.25" hidden="false" customHeight="true" outlineLevel="0" collapsed="false">
      <c r="A24" s="211" t="str">
        <f aca="false">'Lista de Compra'!B22</f>
        <v>6303-DDU</v>
      </c>
      <c r="B24" s="212" t="n">
        <f aca="false">'Lista de Compra'!K22</f>
        <v>500</v>
      </c>
      <c r="C24" s="213" t="n">
        <f aca="false">'Lista de Compra'!P22</f>
        <v>0.0469174098487786</v>
      </c>
      <c r="E24" s="214" t="n">
        <f aca="false">E$11*$C24</f>
        <v>28.186478480031</v>
      </c>
      <c r="F24" s="214" t="n">
        <f aca="false">F$11*$C24</f>
        <v>10.063784412563</v>
      </c>
      <c r="G24" s="214" t="n">
        <f aca="false">G$11*$C24</f>
        <v>0.469174098487786</v>
      </c>
      <c r="H24" s="214" t="n">
        <f aca="false">H$11*$C24</f>
        <v>46.4482357502908</v>
      </c>
      <c r="I24" s="214" t="n">
        <f aca="false">I$11*$C24</f>
        <v>2.25203567274137</v>
      </c>
      <c r="J24" s="214" t="n">
        <f aca="false">J$11*$C24</f>
        <v>5.72392400155099</v>
      </c>
      <c r="K24" s="214" t="n">
        <f aca="false">K$11*$C24</f>
        <v>0.469174098487786</v>
      </c>
      <c r="L24" s="214" t="n">
        <f aca="false">L$11*$C24</f>
        <v>36.3563008918185</v>
      </c>
      <c r="M24" s="214" t="n">
        <f aca="false">M$11*$C24</f>
        <v>7.20651415277239</v>
      </c>
      <c r="N24" s="214" t="n">
        <f aca="false">E24*$N$11</f>
        <v>2.25491827840248</v>
      </c>
      <c r="O24" s="214" t="n">
        <f aca="false">O$11*$C24</f>
        <v>0</v>
      </c>
      <c r="P24" s="214" t="n">
        <f aca="false">P$11*$C24</f>
        <v>35.514133385033</v>
      </c>
      <c r="Q24" s="214" t="n">
        <f aca="false">Q$11*$C24</f>
        <v>0.938348196975572</v>
      </c>
      <c r="R24" s="214" t="n">
        <f aca="false">R$11*$C24</f>
        <v>5.51044978673905</v>
      </c>
      <c r="S24" s="214" t="n">
        <f aca="false">S$11*$C24</f>
        <v>13.4183792167507</v>
      </c>
      <c r="T24" s="214" t="n">
        <f aca="false">T$11*$C24</f>
        <v>140.752229546336</v>
      </c>
      <c r="U24" s="214" t="n">
        <f aca="false">U$11*$C24</f>
        <v>121.985265606824</v>
      </c>
    </row>
    <row r="25" customFormat="false" ht="14.25" hidden="false" customHeight="true" outlineLevel="0" collapsed="false">
      <c r="A25" s="211" t="str">
        <f aca="false">'Lista de Compra'!B23</f>
        <v>6304-DDU</v>
      </c>
      <c r="B25" s="212" t="n">
        <f aca="false">'Lista de Compra'!K23</f>
        <v>500</v>
      </c>
      <c r="C25" s="213" t="n">
        <f aca="false">'Lista de Compra'!P23</f>
        <v>0.048856145792943</v>
      </c>
      <c r="E25" s="214" t="n">
        <f aca="false">E$11*$C25</f>
        <v>29.3512089957348</v>
      </c>
      <c r="F25" s="214" t="n">
        <f aca="false">F$11*$C25</f>
        <v>10.4796432725863</v>
      </c>
      <c r="G25" s="214" t="n">
        <f aca="false">G$11*$C25</f>
        <v>0.48856145792943</v>
      </c>
      <c r="H25" s="214" t="n">
        <f aca="false">H$11*$C25</f>
        <v>48.3675843350136</v>
      </c>
      <c r="I25" s="214" t="n">
        <f aca="false">I$11*$C25</f>
        <v>2.34509499806126</v>
      </c>
      <c r="J25" s="214" t="n">
        <f aca="false">J$11*$C25</f>
        <v>5.96044978673905</v>
      </c>
      <c r="K25" s="214" t="n">
        <f aca="false">K$11*$C25</f>
        <v>0.48856145792943</v>
      </c>
      <c r="L25" s="214" t="n">
        <f aca="false">L$11*$C25</f>
        <v>37.8586273749515</v>
      </c>
      <c r="M25" s="214" t="n">
        <f aca="false">M$11*$C25</f>
        <v>7.50430399379605</v>
      </c>
      <c r="N25" s="214" t="n">
        <f aca="false">E25*$N$11</f>
        <v>2.34809671965878</v>
      </c>
      <c r="O25" s="214" t="n">
        <f aca="false">O$11*$C25</f>
        <v>0</v>
      </c>
      <c r="P25" s="214" t="n">
        <f aca="false">P$11*$C25</f>
        <v>36.9816595579682</v>
      </c>
      <c r="Q25" s="214" t="n">
        <f aca="false">Q$11*$C25</f>
        <v>0.97712291585886</v>
      </c>
      <c r="R25" s="214" t="n">
        <f aca="false">R$11*$C25</f>
        <v>5.73815432338116</v>
      </c>
      <c r="S25" s="214" t="n">
        <f aca="false">S$11*$C25</f>
        <v>13.9728576967817</v>
      </c>
      <c r="T25" s="214" t="n">
        <f aca="false">T$11*$C25</f>
        <v>146.568437378829</v>
      </c>
      <c r="U25" s="214" t="n">
        <f aca="false">U$11*$C25</f>
        <v>127.025979061652</v>
      </c>
    </row>
    <row r="26" customFormat="false" ht="14.25" hidden="false" customHeight="true" outlineLevel="0" collapsed="false">
      <c r="A26" s="211" t="str">
        <f aca="false">'Lista de Compra'!B24</f>
        <v>6305-DDU</v>
      </c>
      <c r="B26" s="212" t="n">
        <f aca="false">'Lista de Compra'!K24</f>
        <v>500</v>
      </c>
      <c r="C26" s="213" t="n">
        <f aca="false">'Lista de Compra'!P24</f>
        <v>0.0657231485071733</v>
      </c>
      <c r="E26" s="214" t="n">
        <f aca="false">E$11*$C26</f>
        <v>39.4843644823575</v>
      </c>
      <c r="F26" s="214" t="n">
        <f aca="false">F$11*$C26</f>
        <v>14.0976153547887</v>
      </c>
      <c r="G26" s="214" t="n">
        <f aca="false">G$11*$C26</f>
        <v>0.657231485071733</v>
      </c>
      <c r="H26" s="214" t="n">
        <f aca="false">H$11*$C26</f>
        <v>65.0659170221016</v>
      </c>
      <c r="I26" s="214" t="n">
        <f aca="false">I$11*$C26</f>
        <v>3.15471112834432</v>
      </c>
      <c r="J26" s="214" t="n">
        <f aca="false">J$11*$C26</f>
        <v>8.01822411787515</v>
      </c>
      <c r="K26" s="214" t="n">
        <f aca="false">K$11*$C26</f>
        <v>0.657231485071733</v>
      </c>
      <c r="L26" s="214" t="n">
        <f aca="false">L$11*$C26</f>
        <v>50.9288677782086</v>
      </c>
      <c r="M26" s="214" t="n">
        <f aca="false">M$11*$C26</f>
        <v>10.0950756107018</v>
      </c>
      <c r="N26" s="214" t="n">
        <f aca="false">E26*$N$11</f>
        <v>3.1587491585886</v>
      </c>
      <c r="O26" s="214" t="n">
        <f aca="false">O$11*$C26</f>
        <v>0</v>
      </c>
      <c r="P26" s="214" t="n">
        <f aca="false">P$11*$C26</f>
        <v>49.7491372625049</v>
      </c>
      <c r="Q26" s="214" t="n">
        <f aca="false">Q$11*$C26</f>
        <v>1.31446297014347</v>
      </c>
      <c r="R26" s="214" t="n">
        <f aca="false">R$11*$C26</f>
        <v>7.71918379216751</v>
      </c>
      <c r="S26" s="214" t="n">
        <f aca="false">S$11*$C26</f>
        <v>18.7968204730516</v>
      </c>
      <c r="T26" s="214" t="n">
        <f aca="false">T$11*$C26</f>
        <v>197.16944552152</v>
      </c>
      <c r="U26" s="214" t="n">
        <f aca="false">U$11*$C26</f>
        <v>170.880186118651</v>
      </c>
    </row>
    <row r="27" customFormat="false" ht="14.25" hidden="false" customHeight="true" outlineLevel="0" collapsed="false">
      <c r="A27" s="211" t="str">
        <f aca="false">'Lista de Compra'!B25</f>
        <v>6306-DDU</v>
      </c>
      <c r="B27" s="212" t="n">
        <f aca="false">'Lista de Compra'!K25</f>
        <v>500</v>
      </c>
      <c r="C27" s="213" t="n">
        <f aca="false">'Lista de Compra'!P25</f>
        <v>0.105079488173711</v>
      </c>
      <c r="E27" s="214" t="n">
        <f aca="false">E$11*$C27</f>
        <v>63.1283939511439</v>
      </c>
      <c r="F27" s="214" t="n">
        <f aca="false">F$11*$C27</f>
        <v>22.539550213261</v>
      </c>
      <c r="G27" s="214" t="n">
        <f aca="false">G$11*$C27</f>
        <v>1.05079488173711</v>
      </c>
      <c r="H27" s="214" t="n">
        <f aca="false">H$11*$C27</f>
        <v>104.028693291974</v>
      </c>
      <c r="I27" s="214" t="n">
        <f aca="false">I$11*$C27</f>
        <v>5.04381543233812</v>
      </c>
      <c r="J27" s="214" t="n">
        <f aca="false">J$11*$C27</f>
        <v>12.8196975571927</v>
      </c>
      <c r="K27" s="214" t="n">
        <f aca="false">K$11*$C27</f>
        <v>1.05079488173711</v>
      </c>
      <c r="L27" s="214" t="n">
        <f aca="false">L$11*$C27</f>
        <v>81.4260953858085</v>
      </c>
      <c r="M27" s="214" t="n">
        <f aca="false">M$11*$C27</f>
        <v>16.140209383482</v>
      </c>
      <c r="N27" s="214" t="n">
        <f aca="false">E27*$N$11</f>
        <v>5.05027151609151</v>
      </c>
      <c r="O27" s="214" t="n">
        <f aca="false">O$11*$C27</f>
        <v>0</v>
      </c>
      <c r="P27" s="214" t="n">
        <f aca="false">P$11*$C27</f>
        <v>79.5399185730904</v>
      </c>
      <c r="Q27" s="214" t="n">
        <f aca="false">Q$11*$C27</f>
        <v>2.10158976347421</v>
      </c>
      <c r="R27" s="214" t="n">
        <f aca="false">R$11*$C27</f>
        <v>12.3415858860023</v>
      </c>
      <c r="S27" s="214" t="n">
        <f aca="false">S$11*$C27</f>
        <v>30.0527336176813</v>
      </c>
      <c r="T27" s="214" t="n">
        <f aca="false">T$11*$C27</f>
        <v>315.238464521132</v>
      </c>
      <c r="U27" s="214" t="n">
        <f aca="false">U$11*$C27</f>
        <v>273.206669251648</v>
      </c>
    </row>
    <row r="28" customFormat="false" ht="14.25" hidden="false" customHeight="true" outlineLevel="0" collapsed="false">
      <c r="A28" s="211" t="str">
        <f aca="false">'Lista de Compra'!B26</f>
        <v>608-DDU</v>
      </c>
      <c r="B28" s="212" t="n">
        <f aca="false">'Lista de Compra'!K26</f>
        <v>500</v>
      </c>
      <c r="C28" s="213" t="n">
        <f aca="false">'Lista de Compra'!P26</f>
        <v>0.0112446684761535</v>
      </c>
      <c r="E28" s="214" t="n">
        <f aca="false">E$11*$C28</f>
        <v>6.75543699108182</v>
      </c>
      <c r="F28" s="214" t="n">
        <f aca="false">F$11*$C28</f>
        <v>2.41198138813494</v>
      </c>
      <c r="G28" s="214" t="n">
        <f aca="false">G$11*$C28</f>
        <v>0.112446684761535</v>
      </c>
      <c r="H28" s="214" t="n">
        <f aca="false">H$11*$C28</f>
        <v>11.132221791392</v>
      </c>
      <c r="I28" s="214" t="n">
        <f aca="false">I$11*$C28</f>
        <v>0.53974408685537</v>
      </c>
      <c r="J28" s="214" t="n">
        <f aca="false">J$11*$C28</f>
        <v>1.37184955409073</v>
      </c>
      <c r="K28" s="214" t="n">
        <f aca="false">K$11*$C28</f>
        <v>0.112446684761535</v>
      </c>
      <c r="L28" s="214" t="n">
        <f aca="false">L$11*$C28</f>
        <v>8.71349360217138</v>
      </c>
      <c r="M28" s="214" t="n">
        <f aca="false">M$11*$C28</f>
        <v>1.72718107793719</v>
      </c>
      <c r="N28" s="214" t="n">
        <f aca="false">E28*$N$11</f>
        <v>0.540434959286545</v>
      </c>
      <c r="O28" s="214" t="n">
        <f aca="false">O$11*$C28</f>
        <v>0</v>
      </c>
      <c r="P28" s="214" t="n">
        <f aca="false">P$11*$C28</f>
        <v>8.51165180302443</v>
      </c>
      <c r="Q28" s="214" t="n">
        <f aca="false">Q$11*$C28</f>
        <v>0.224893369523071</v>
      </c>
      <c r="R28" s="214" t="n">
        <f aca="false">R$11*$C28</f>
        <v>1.32068631252423</v>
      </c>
      <c r="S28" s="214" t="n">
        <f aca="false">S$11*$C28</f>
        <v>3.21597518417991</v>
      </c>
      <c r="T28" s="214" t="n">
        <f aca="false">T$11*$C28</f>
        <v>33.7340054284607</v>
      </c>
      <c r="U28" s="214" t="n">
        <f aca="false">U$11*$C28</f>
        <v>29.2361380379992</v>
      </c>
    </row>
    <row r="29" customFormat="false" ht="14.25" hidden="false" customHeight="true" outlineLevel="0" collapsed="false">
      <c r="A29" s="211" t="n">
        <f aca="false">'Lista de Compra'!B27</f>
        <v>32010</v>
      </c>
      <c r="B29" s="212" t="n">
        <f aca="false">'Lista de Compra'!K27</f>
        <v>500</v>
      </c>
      <c r="C29" s="213" t="n">
        <f aca="false">'Lista de Compra'!P27</f>
        <v>0.165180302442807</v>
      </c>
      <c r="E29" s="214" t="n">
        <f aca="false">E$11*$C29</f>
        <v>99.2350399379605</v>
      </c>
      <c r="F29" s="214" t="n">
        <f aca="false">F$11*$C29</f>
        <v>35.4311748739822</v>
      </c>
      <c r="G29" s="214" t="n">
        <f aca="false">G$11*$C29</f>
        <v>1.65180302442807</v>
      </c>
      <c r="H29" s="214" t="n">
        <f aca="false">H$11*$C29</f>
        <v>163.528499418379</v>
      </c>
      <c r="I29" s="214" t="n">
        <f aca="false">I$11*$C29</f>
        <v>7.92865451725475</v>
      </c>
      <c r="J29" s="214" t="n">
        <f aca="false">J$11*$C29</f>
        <v>20.1519968980225</v>
      </c>
      <c r="K29" s="214" t="n">
        <f aca="false">K$11*$C29</f>
        <v>1.65180302442807</v>
      </c>
      <c r="L29" s="214" t="n">
        <f aca="false">L$11*$C29</f>
        <v>127.998216362931</v>
      </c>
      <c r="M29" s="214" t="n">
        <f aca="false">M$11*$C29</f>
        <v>25.3716944552152</v>
      </c>
      <c r="N29" s="214" t="n">
        <f aca="false">E29*$N$11</f>
        <v>7.93880319503684</v>
      </c>
      <c r="O29" s="214" t="n">
        <f aca="false">O$11*$C29</f>
        <v>0</v>
      </c>
      <c r="P29" s="214" t="n">
        <f aca="false">P$11*$C29</f>
        <v>125.033229934083</v>
      </c>
      <c r="Q29" s="214" t="n">
        <f aca="false">Q$11*$C29</f>
        <v>3.30360604885615</v>
      </c>
      <c r="R29" s="214" t="n">
        <f aca="false">R$11*$C29</f>
        <v>19.4004265219077</v>
      </c>
      <c r="S29" s="214" t="n">
        <f aca="false">S$11*$C29</f>
        <v>47.2415664986429</v>
      </c>
      <c r="T29" s="214" t="n">
        <f aca="false">T$11*$C29</f>
        <v>495.540907328422</v>
      </c>
      <c r="U29" s="214" t="n">
        <f aca="false">U$11*$C29</f>
        <v>429.468786351299</v>
      </c>
    </row>
    <row r="30" customFormat="false" ht="14.25" hidden="false" customHeight="true" outlineLevel="0" collapsed="false">
      <c r="A30" s="211" t="str">
        <f aca="false">'Lista de Compra'!B28</f>
        <v>6007-DDU</v>
      </c>
      <c r="B30" s="212" t="n">
        <f aca="false">'Lista de Compra'!K28</f>
        <v>500</v>
      </c>
      <c r="C30" s="213" t="n">
        <f aca="false">'Lista de Compra'!P28</f>
        <v>0.0601008142690965</v>
      </c>
      <c r="E30" s="214" t="n">
        <f aca="false">E$11*$C30</f>
        <v>36.1066459868166</v>
      </c>
      <c r="F30" s="214" t="n">
        <f aca="false">F$11*$C30</f>
        <v>12.8916246607212</v>
      </c>
      <c r="G30" s="214" t="n">
        <f aca="false">G$11*$C30</f>
        <v>0.601008142690966</v>
      </c>
      <c r="H30" s="214" t="n">
        <f aca="false">H$11*$C30</f>
        <v>59.4998061264056</v>
      </c>
      <c r="I30" s="214" t="n">
        <f aca="false">I$11*$C30</f>
        <v>2.88483908491663</v>
      </c>
      <c r="J30" s="214" t="n">
        <f aca="false">J$11*$C30</f>
        <v>7.33229934082978</v>
      </c>
      <c r="K30" s="214" t="n">
        <f aca="false">K$11*$C30</f>
        <v>0.601008142690966</v>
      </c>
      <c r="L30" s="214" t="n">
        <f aca="false">L$11*$C30</f>
        <v>46.5721209771229</v>
      </c>
      <c r="M30" s="214" t="n">
        <f aca="false">M$11*$C30</f>
        <v>9.23148507173323</v>
      </c>
      <c r="N30" s="214" t="n">
        <f aca="false">E30*$N$11</f>
        <v>2.88853167894533</v>
      </c>
      <c r="O30" s="214" t="n">
        <f aca="false">O$11*$C30</f>
        <v>0</v>
      </c>
      <c r="P30" s="214" t="n">
        <f aca="false">P$11*$C30</f>
        <v>45.4933113609926</v>
      </c>
      <c r="Q30" s="214" t="n">
        <f aca="false">Q$11*$C30</f>
        <v>1.20201628538193</v>
      </c>
      <c r="R30" s="214" t="n">
        <f aca="false">R$11*$C30</f>
        <v>7.05884063590539</v>
      </c>
      <c r="S30" s="214" t="n">
        <f aca="false">S$11*$C30</f>
        <v>17.1888328809616</v>
      </c>
      <c r="T30" s="214" t="n">
        <f aca="false">T$11*$C30</f>
        <v>180.30244280729</v>
      </c>
      <c r="U30" s="214" t="n">
        <f aca="false">U$11*$C30</f>
        <v>156.262117099651</v>
      </c>
    </row>
    <row r="31" customFormat="false" ht="14.25" hidden="false" customHeight="true" outlineLevel="0" collapsed="false">
      <c r="A31" s="211" t="str">
        <f aca="false">'Lista de Compra'!B29</f>
        <v>6010-DDU</v>
      </c>
      <c r="B31" s="212" t="n">
        <f aca="false">'Lista de Compra'!K29</f>
        <v>500</v>
      </c>
      <c r="C31" s="213" t="n">
        <f aca="false">'Lista de Compra'!P29</f>
        <v>0.120007754943777</v>
      </c>
      <c r="E31" s="214" t="n">
        <f aca="false">E$11*$C31</f>
        <v>72.0968189220628</v>
      </c>
      <c r="F31" s="214" t="n">
        <f aca="false">F$11*$C31</f>
        <v>25.7416634354401</v>
      </c>
      <c r="G31" s="214" t="n">
        <f aca="false">G$11*$C31</f>
        <v>1.20007754943777</v>
      </c>
      <c r="H31" s="214" t="n">
        <f aca="false">H$11*$C31</f>
        <v>118.807677394339</v>
      </c>
      <c r="I31" s="214" t="n">
        <f aca="false">I$11*$C31</f>
        <v>5.76037223730128</v>
      </c>
      <c r="J31" s="214" t="n">
        <f aca="false">J$11*$C31</f>
        <v>14.6409461031408</v>
      </c>
      <c r="K31" s="214" t="n">
        <f aca="false">K$11*$C31</f>
        <v>1.20007754943777</v>
      </c>
      <c r="L31" s="214" t="n">
        <f aca="false">L$11*$C31</f>
        <v>92.9940093059325</v>
      </c>
      <c r="M31" s="214" t="n">
        <f aca="false">M$11*$C31</f>
        <v>18.4331911593641</v>
      </c>
      <c r="N31" s="214" t="n">
        <f aca="false">E31*$N$11</f>
        <v>5.76774551376503</v>
      </c>
      <c r="O31" s="214" t="n">
        <f aca="false">O$11*$C31</f>
        <v>0</v>
      </c>
      <c r="P31" s="214" t="n">
        <f aca="false">P$11*$C31</f>
        <v>90.8398701046918</v>
      </c>
      <c r="Q31" s="214" t="n">
        <f aca="false">Q$11*$C31</f>
        <v>2.40015509887553</v>
      </c>
      <c r="R31" s="214" t="n">
        <f aca="false">R$11*$C31</f>
        <v>14.0949108181466</v>
      </c>
      <c r="S31" s="214" t="n">
        <f aca="false">S$11*$C31</f>
        <v>34.3222179139201</v>
      </c>
      <c r="T31" s="214" t="n">
        <f aca="false">T$11*$C31</f>
        <v>360.02326483133</v>
      </c>
      <c r="U31" s="214" t="n">
        <f aca="false">U$11*$C31</f>
        <v>312.020162853819</v>
      </c>
    </row>
    <row r="32" customFormat="false" ht="14.25" hidden="false" customHeight="true" outlineLevel="0" collapsed="false">
      <c r="A32" s="211"/>
    </row>
    <row r="33" customFormat="false" ht="14.25" hidden="false" customHeight="true" outlineLevel="0" collapsed="false">
      <c r="A33" s="2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2026-07-29T19:30:51Z</dcterms:created>
  <dc:creator>Caroline B</dc:creator>
  <dc:description/>
  <dc:language>en-US</dc:language>
  <cp:lastModifiedBy>Operacional 1</cp:lastModifiedBy>
  <cp:lastPrinted>2026-07-29T19:11:14Z</cp:lastPrinted>
  <dcterms:modified xsi:type="dcterms:W3CDTF">2026-07-30T17:14:27Z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