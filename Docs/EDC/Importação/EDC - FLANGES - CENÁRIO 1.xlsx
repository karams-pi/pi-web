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oline B\Downloads\"/>
    </mc:Choice>
  </mc:AlternateContent>
  <xr:revisionPtr revIDLastSave="0" documentId="13_ncr:1_{544A034F-D53A-4981-853F-AE42B0F9F176}" xr6:coauthVersionLast="47" xr6:coauthVersionMax="47" xr10:uidLastSave="{00000000-0000-0000-0000-000000000000}"/>
  <bookViews>
    <workbookView xWindow="-108" yWindow="-108" windowWidth="23256" windowHeight="12456" xr2:uid="{87B33679-547E-4AA0-8698-FD5F7A165F77}"/>
  </bookViews>
  <sheets>
    <sheet name="RESUMO 100%" sheetId="46" r:id="rId1"/>
    <sheet name="Lista de Compra" sheetId="37" r:id="rId2"/>
    <sheet name="Est. Cust. Naci. 100%" sheetId="42" r:id="rId3"/>
    <sheet name="Rateio Custos Fixos" sheetId="38" r:id="rId4"/>
    <sheet name="Formulário EDC" sheetId="45" state="hidden" r:id="rId5"/>
  </sheets>
  <definedNames>
    <definedName name="_xlnm._FilterDatabase" localSheetId="2" hidden="1">'Est. Cust. Naci. 100%'!$A$4:$AJ$6</definedName>
    <definedName name="_xlnm._FilterDatabase" localSheetId="1" hidden="1">'Lista de Compra'!$A$2:$L$12</definedName>
    <definedName name="_xlnm._FilterDatabase" localSheetId="3" hidden="1">'Rateio Custos Fixos'!$A$3:$V$5</definedName>
    <definedName name="OLE_LINK4" localSheetId="1">'Lista de Compra'!#REF!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46" l="1"/>
  <c r="F44" i="46"/>
  <c r="B25" i="46"/>
  <c r="B24" i="46"/>
  <c r="B38" i="38"/>
  <c r="B39" i="38"/>
  <c r="B40" i="38"/>
  <c r="B41" i="38"/>
  <c r="B42" i="38"/>
  <c r="B43" i="38"/>
  <c r="B44" i="38"/>
  <c r="B45" i="38"/>
  <c r="B46" i="38"/>
  <c r="B47" i="38"/>
  <c r="B48" i="38"/>
  <c r="B49" i="38"/>
  <c r="B50" i="38"/>
  <c r="B51" i="38"/>
  <c r="B52" i="38"/>
  <c r="B53" i="38"/>
  <c r="B54" i="38"/>
  <c r="B55" i="38"/>
  <c r="B56" i="38"/>
  <c r="B57" i="38"/>
  <c r="B58" i="38"/>
  <c r="B59" i="38"/>
  <c r="A6" i="38"/>
  <c r="A7" i="38"/>
  <c r="A8" i="38"/>
  <c r="A9" i="38"/>
  <c r="A10" i="38"/>
  <c r="A11" i="38"/>
  <c r="A12" i="38"/>
  <c r="A13" i="38"/>
  <c r="A14" i="38"/>
  <c r="A15" i="38"/>
  <c r="A16" i="38"/>
  <c r="A17" i="38"/>
  <c r="A18" i="38"/>
  <c r="A19" i="38"/>
  <c r="A20" i="38"/>
  <c r="A21" i="38"/>
  <c r="A22" i="38"/>
  <c r="A23" i="38"/>
  <c r="A24" i="38"/>
  <c r="A25" i="38"/>
  <c r="A26" i="38"/>
  <c r="A27" i="38"/>
  <c r="A28" i="38"/>
  <c r="A29" i="38"/>
  <c r="A30" i="38"/>
  <c r="A31" i="38"/>
  <c r="A32" i="38"/>
  <c r="A33" i="38"/>
  <c r="A34" i="38"/>
  <c r="A35" i="38"/>
  <c r="A36" i="38"/>
  <c r="A37" i="38"/>
  <c r="A38" i="38"/>
  <c r="A39" i="38"/>
  <c r="A40" i="38"/>
  <c r="A41" i="38"/>
  <c r="A42" i="38"/>
  <c r="A43" i="38"/>
  <c r="A44" i="38"/>
  <c r="A45" i="38"/>
  <c r="A46" i="38"/>
  <c r="A47" i="38"/>
  <c r="A48" i="38"/>
  <c r="A49" i="38"/>
  <c r="A50" i="38"/>
  <c r="A51" i="38"/>
  <c r="A52" i="38"/>
  <c r="A53" i="38"/>
  <c r="A54" i="38"/>
  <c r="A55" i="38"/>
  <c r="A56" i="38"/>
  <c r="A57" i="38"/>
  <c r="A58" i="38"/>
  <c r="A59" i="38"/>
  <c r="F46" i="42"/>
  <c r="F47" i="42"/>
  <c r="F48" i="42"/>
  <c r="F49" i="42"/>
  <c r="F50" i="42"/>
  <c r="F51" i="42"/>
  <c r="F52" i="42"/>
  <c r="F53" i="42"/>
  <c r="F54" i="42"/>
  <c r="F55" i="42"/>
  <c r="F56" i="42"/>
  <c r="F57" i="42"/>
  <c r="F58" i="42"/>
  <c r="F59" i="42"/>
  <c r="F60" i="42"/>
  <c r="C40" i="42"/>
  <c r="C41" i="42"/>
  <c r="C42" i="42"/>
  <c r="C43" i="42"/>
  <c r="C44" i="42"/>
  <c r="C45" i="42"/>
  <c r="C46" i="42"/>
  <c r="C47" i="42"/>
  <c r="C48" i="42"/>
  <c r="C49" i="42"/>
  <c r="C50" i="42"/>
  <c r="C51" i="42"/>
  <c r="C52" i="42"/>
  <c r="C53" i="42"/>
  <c r="C54" i="42"/>
  <c r="C55" i="42"/>
  <c r="C56" i="42"/>
  <c r="C57" i="42"/>
  <c r="C58" i="42"/>
  <c r="C59" i="42"/>
  <c r="C60" i="42"/>
  <c r="F40" i="42"/>
  <c r="F41" i="42"/>
  <c r="F42" i="42"/>
  <c r="F43" i="42"/>
  <c r="F44" i="42"/>
  <c r="F45" i="42"/>
  <c r="D42" i="42"/>
  <c r="D43" i="42"/>
  <c r="D44" i="42"/>
  <c r="D45" i="42"/>
  <c r="D46" i="42"/>
  <c r="D47" i="42"/>
  <c r="D48" i="42"/>
  <c r="D49" i="42"/>
  <c r="D50" i="42"/>
  <c r="D51" i="42"/>
  <c r="D52" i="42"/>
  <c r="D53" i="42"/>
  <c r="D54" i="42"/>
  <c r="D55" i="42"/>
  <c r="D56" i="42"/>
  <c r="D57" i="42"/>
  <c r="D58" i="42"/>
  <c r="D59" i="42"/>
  <c r="D60" i="42"/>
  <c r="B7" i="42"/>
  <c r="B8" i="42"/>
  <c r="B9" i="42"/>
  <c r="B10" i="42"/>
  <c r="B11" i="42"/>
  <c r="B12" i="42"/>
  <c r="B13" i="42"/>
  <c r="B14" i="42"/>
  <c r="B15" i="42"/>
  <c r="B16" i="42"/>
  <c r="B17" i="42"/>
  <c r="B18" i="42"/>
  <c r="B19" i="42"/>
  <c r="B20" i="42"/>
  <c r="B21" i="42"/>
  <c r="B22" i="42"/>
  <c r="B23" i="42"/>
  <c r="B24" i="42"/>
  <c r="B25" i="42"/>
  <c r="B26" i="42"/>
  <c r="B27" i="42"/>
  <c r="B28" i="42"/>
  <c r="B29" i="42"/>
  <c r="B30" i="42"/>
  <c r="B31" i="42"/>
  <c r="B32" i="42"/>
  <c r="B33" i="42"/>
  <c r="B34" i="42"/>
  <c r="B35" i="42"/>
  <c r="B36" i="42"/>
  <c r="B37" i="42"/>
  <c r="B38" i="42"/>
  <c r="B39" i="42"/>
  <c r="B40" i="42"/>
  <c r="B41" i="42"/>
  <c r="B42" i="42"/>
  <c r="B43" i="42"/>
  <c r="B44" i="42"/>
  <c r="B45" i="42"/>
  <c r="B46" i="42"/>
  <c r="B47" i="42"/>
  <c r="B48" i="42"/>
  <c r="B49" i="42"/>
  <c r="B50" i="42"/>
  <c r="B51" i="42"/>
  <c r="B52" i="42"/>
  <c r="B53" i="42"/>
  <c r="B54" i="42"/>
  <c r="B55" i="42"/>
  <c r="B56" i="42"/>
  <c r="B57" i="42"/>
  <c r="B58" i="42"/>
  <c r="B59" i="42"/>
  <c r="B60" i="42"/>
  <c r="B6" i="42"/>
  <c r="J3" i="37"/>
  <c r="A45" i="46"/>
  <c r="A43" i="46"/>
  <c r="A42" i="46"/>
  <c r="A41" i="46"/>
  <c r="A40" i="46"/>
  <c r="A39" i="46"/>
  <c r="A38" i="46"/>
  <c r="A37" i="46"/>
  <c r="A36" i="46"/>
  <c r="A35" i="46"/>
  <c r="A34" i="46"/>
  <c r="A33" i="46"/>
  <c r="A32" i="46"/>
  <c r="A31" i="46"/>
  <c r="A30" i="46"/>
  <c r="L42" i="37" l="1"/>
  <c r="L43" i="37"/>
  <c r="L44" i="37"/>
  <c r="L45" i="37"/>
  <c r="L46" i="37"/>
  <c r="L47" i="37"/>
  <c r="L48" i="37"/>
  <c r="L49" i="37"/>
  <c r="L50" i="37"/>
  <c r="L51" i="37"/>
  <c r="L52" i="37"/>
  <c r="L53" i="37"/>
  <c r="L54" i="37"/>
  <c r="L55" i="37"/>
  <c r="L56" i="37"/>
  <c r="L57" i="37"/>
  <c r="L58" i="37"/>
  <c r="C3" i="38"/>
  <c r="I3" i="37"/>
  <c r="C14" i="42"/>
  <c r="D14" i="42"/>
  <c r="F14" i="42"/>
  <c r="C15" i="42"/>
  <c r="D15" i="42"/>
  <c r="F15" i="42"/>
  <c r="C16" i="42"/>
  <c r="D16" i="42"/>
  <c r="F16" i="42"/>
  <c r="C17" i="42"/>
  <c r="D17" i="42"/>
  <c r="F17" i="42"/>
  <c r="C18" i="42"/>
  <c r="D18" i="42"/>
  <c r="F18" i="42"/>
  <c r="C19" i="42"/>
  <c r="D19" i="42"/>
  <c r="F19" i="42"/>
  <c r="C20" i="42"/>
  <c r="D20" i="42"/>
  <c r="F20" i="42"/>
  <c r="C21" i="42"/>
  <c r="D21" i="42"/>
  <c r="F21" i="42"/>
  <c r="C22" i="42"/>
  <c r="D22" i="42"/>
  <c r="F22" i="42"/>
  <c r="C23" i="42"/>
  <c r="D23" i="42"/>
  <c r="F23" i="42"/>
  <c r="C24" i="42"/>
  <c r="D24" i="42"/>
  <c r="F24" i="42"/>
  <c r="C25" i="42"/>
  <c r="D25" i="42"/>
  <c r="F25" i="42"/>
  <c r="C26" i="42"/>
  <c r="D26" i="42"/>
  <c r="F26" i="42"/>
  <c r="G26" i="42" s="1"/>
  <c r="C27" i="42"/>
  <c r="D27" i="42"/>
  <c r="F27" i="42"/>
  <c r="G27" i="42" s="1"/>
  <c r="C28" i="42"/>
  <c r="D28" i="42"/>
  <c r="F28" i="42"/>
  <c r="C29" i="42"/>
  <c r="D29" i="42"/>
  <c r="F29" i="42"/>
  <c r="C30" i="42"/>
  <c r="D30" i="42"/>
  <c r="F30" i="42"/>
  <c r="C31" i="42"/>
  <c r="D31" i="42"/>
  <c r="F31" i="42"/>
  <c r="C32" i="42"/>
  <c r="D32" i="42"/>
  <c r="F32" i="42"/>
  <c r="C33" i="42"/>
  <c r="D33" i="42"/>
  <c r="F33" i="42"/>
  <c r="C34" i="42"/>
  <c r="D34" i="42"/>
  <c r="F34" i="42"/>
  <c r="C35" i="42"/>
  <c r="D35" i="42"/>
  <c r="F35" i="42"/>
  <c r="C36" i="42"/>
  <c r="D36" i="42"/>
  <c r="F36" i="42"/>
  <c r="C37" i="42"/>
  <c r="D37" i="42"/>
  <c r="F37" i="42"/>
  <c r="C38" i="42"/>
  <c r="D38" i="42"/>
  <c r="F38" i="42"/>
  <c r="C39" i="42"/>
  <c r="D39" i="42"/>
  <c r="F39" i="42"/>
  <c r="D40" i="42"/>
  <c r="D41" i="42"/>
  <c r="G53" i="42"/>
  <c r="G54" i="42"/>
  <c r="L9" i="37"/>
  <c r="C10" i="38" s="1"/>
  <c r="T10" i="38" s="1"/>
  <c r="AF11" i="42" s="1"/>
  <c r="L11" i="37"/>
  <c r="C12" i="38" s="1"/>
  <c r="T12" i="38" s="1"/>
  <c r="AF13" i="42" s="1"/>
  <c r="L13" i="37"/>
  <c r="L15" i="37"/>
  <c r="L17" i="37"/>
  <c r="L19" i="37"/>
  <c r="L21" i="37"/>
  <c r="L23" i="37"/>
  <c r="L25" i="37"/>
  <c r="L27" i="37"/>
  <c r="L29" i="37"/>
  <c r="L31" i="37"/>
  <c r="L33" i="37"/>
  <c r="L35" i="37"/>
  <c r="E37" i="42" s="1"/>
  <c r="L37" i="37"/>
  <c r="E39" i="42" s="1"/>
  <c r="L39" i="37"/>
  <c r="E41" i="42" s="1"/>
  <c r="L41" i="37"/>
  <c r="B14" i="38"/>
  <c r="B15" i="38"/>
  <c r="B16" i="38"/>
  <c r="B17" i="38"/>
  <c r="B18" i="38"/>
  <c r="B19" i="38"/>
  <c r="B20" i="38"/>
  <c r="B21" i="38"/>
  <c r="B22" i="38"/>
  <c r="B23" i="38"/>
  <c r="B24" i="38"/>
  <c r="B25" i="38"/>
  <c r="B26" i="38"/>
  <c r="B27" i="38"/>
  <c r="B28" i="38"/>
  <c r="B29" i="38"/>
  <c r="B30" i="38"/>
  <c r="B31" i="38"/>
  <c r="B32" i="38"/>
  <c r="B33" i="38"/>
  <c r="B34" i="38"/>
  <c r="B35" i="38"/>
  <c r="B36" i="38"/>
  <c r="B37" i="38"/>
  <c r="C12" i="42"/>
  <c r="C13" i="42"/>
  <c r="F9" i="46"/>
  <c r="M3" i="37"/>
  <c r="F45" i="46"/>
  <c r="F43" i="46"/>
  <c r="F42" i="46"/>
  <c r="F41" i="46"/>
  <c r="F40" i="46"/>
  <c r="F39" i="46"/>
  <c r="F37" i="46"/>
  <c r="F36" i="46"/>
  <c r="F35" i="46"/>
  <c r="F34" i="46"/>
  <c r="F33" i="46"/>
  <c r="F32" i="46"/>
  <c r="F31" i="46"/>
  <c r="F30" i="46"/>
  <c r="B27" i="46"/>
  <c r="B26" i="46"/>
  <c r="B23" i="46"/>
  <c r="E12" i="46"/>
  <c r="A49" i="46"/>
  <c r="F6" i="42"/>
  <c r="L5" i="42"/>
  <c r="F7" i="42"/>
  <c r="F8" i="42"/>
  <c r="F9" i="42"/>
  <c r="F10" i="42"/>
  <c r="F11" i="42"/>
  <c r="F12" i="42"/>
  <c r="F13" i="42"/>
  <c r="D7" i="42"/>
  <c r="D8" i="42"/>
  <c r="D9" i="42"/>
  <c r="D10" i="42"/>
  <c r="D11" i="42"/>
  <c r="D12" i="42"/>
  <c r="D13" i="42"/>
  <c r="C7" i="42"/>
  <c r="C8" i="42"/>
  <c r="C9" i="42"/>
  <c r="C10" i="42"/>
  <c r="C11" i="42"/>
  <c r="V4" i="38"/>
  <c r="B6" i="38"/>
  <c r="B7" i="38"/>
  <c r="B8" i="38"/>
  <c r="B9" i="38"/>
  <c r="B10" i="38"/>
  <c r="B11" i="38"/>
  <c r="B12" i="38"/>
  <c r="B13" i="38"/>
  <c r="E44" i="42" l="1"/>
  <c r="C43" i="38"/>
  <c r="T43" i="38" s="1"/>
  <c r="AF44" i="42" s="1"/>
  <c r="E45" i="42"/>
  <c r="C44" i="38"/>
  <c r="T44" i="38" s="1"/>
  <c r="AF45" i="42" s="1"/>
  <c r="E46" i="42"/>
  <c r="C45" i="38"/>
  <c r="T45" i="38" s="1"/>
  <c r="AF46" i="42" s="1"/>
  <c r="E47" i="42"/>
  <c r="C46" i="38"/>
  <c r="T46" i="38" s="1"/>
  <c r="AF47" i="42" s="1"/>
  <c r="E48" i="42"/>
  <c r="C47" i="38"/>
  <c r="T47" i="38" s="1"/>
  <c r="AF48" i="42" s="1"/>
  <c r="E49" i="42"/>
  <c r="C48" i="38"/>
  <c r="T48" i="38" s="1"/>
  <c r="AF49" i="42" s="1"/>
  <c r="E50" i="42"/>
  <c r="C49" i="38"/>
  <c r="T49" i="38" s="1"/>
  <c r="AF50" i="42" s="1"/>
  <c r="E51" i="42"/>
  <c r="C50" i="38"/>
  <c r="E52" i="42"/>
  <c r="C51" i="38"/>
  <c r="T51" i="38" s="1"/>
  <c r="AF52" i="42" s="1"/>
  <c r="E53" i="42"/>
  <c r="C52" i="38"/>
  <c r="T52" i="38" s="1"/>
  <c r="AF53" i="42" s="1"/>
  <c r="E54" i="42"/>
  <c r="C53" i="38"/>
  <c r="T53" i="38" s="1"/>
  <c r="AF54" i="42" s="1"/>
  <c r="E55" i="42"/>
  <c r="C54" i="38"/>
  <c r="T54" i="38" s="1"/>
  <c r="AF55" i="42" s="1"/>
  <c r="E56" i="42"/>
  <c r="C55" i="38"/>
  <c r="T55" i="38" s="1"/>
  <c r="AF56" i="42" s="1"/>
  <c r="E57" i="42"/>
  <c r="C56" i="38"/>
  <c r="T56" i="38" s="1"/>
  <c r="AF57" i="42" s="1"/>
  <c r="E58" i="42"/>
  <c r="C57" i="38"/>
  <c r="T57" i="38" s="1"/>
  <c r="AF58" i="42" s="1"/>
  <c r="E59" i="42"/>
  <c r="C58" i="38"/>
  <c r="E60" i="42"/>
  <c r="C59" i="38"/>
  <c r="T59" i="38" s="1"/>
  <c r="AF60" i="42" s="1"/>
  <c r="K12" i="37"/>
  <c r="K41" i="37"/>
  <c r="K42" i="37"/>
  <c r="K43" i="37"/>
  <c r="K44" i="37"/>
  <c r="K45" i="37"/>
  <c r="K46" i="37"/>
  <c r="K47" i="37"/>
  <c r="K48" i="37"/>
  <c r="K49" i="37"/>
  <c r="K50" i="37"/>
  <c r="K51" i="37"/>
  <c r="K52" i="37"/>
  <c r="K53" i="37"/>
  <c r="K54" i="37"/>
  <c r="K55" i="37"/>
  <c r="K56" i="37"/>
  <c r="K57" i="37"/>
  <c r="K58" i="37"/>
  <c r="C42" i="38"/>
  <c r="T42" i="38" s="1"/>
  <c r="AF43" i="42" s="1"/>
  <c r="E43" i="42"/>
  <c r="G33" i="42"/>
  <c r="K22" i="37"/>
  <c r="K38" i="37"/>
  <c r="K33" i="37"/>
  <c r="K14" i="37"/>
  <c r="K30" i="37"/>
  <c r="K25" i="37"/>
  <c r="K9" i="37"/>
  <c r="K17" i="37"/>
  <c r="K40" i="37"/>
  <c r="K35" i="37"/>
  <c r="K32" i="37"/>
  <c r="K27" i="37"/>
  <c r="K24" i="37"/>
  <c r="K19" i="37"/>
  <c r="K16" i="37"/>
  <c r="K11" i="37"/>
  <c r="K7" i="37"/>
  <c r="K37" i="37"/>
  <c r="K34" i="37"/>
  <c r="K29" i="37"/>
  <c r="K26" i="37"/>
  <c r="K21" i="37"/>
  <c r="K18" i="37"/>
  <c r="K13" i="37"/>
  <c r="K10" i="37"/>
  <c r="K39" i="37"/>
  <c r="K36" i="37"/>
  <c r="K31" i="37"/>
  <c r="K28" i="37"/>
  <c r="K23" i="37"/>
  <c r="K20" i="37"/>
  <c r="K15" i="37"/>
  <c r="G42" i="42"/>
  <c r="C40" i="38"/>
  <c r="T40" i="38" s="1"/>
  <c r="AF41" i="42" s="1"/>
  <c r="C38" i="38"/>
  <c r="C36" i="38"/>
  <c r="T36" i="38" s="1"/>
  <c r="AF37" i="42" s="1"/>
  <c r="E35" i="42"/>
  <c r="C34" i="38"/>
  <c r="E33" i="42"/>
  <c r="C32" i="38"/>
  <c r="T32" i="38" s="1"/>
  <c r="AF33" i="42" s="1"/>
  <c r="O32" i="38"/>
  <c r="AA33" i="42" s="1"/>
  <c r="E31" i="42"/>
  <c r="C30" i="38"/>
  <c r="T30" i="38" s="1"/>
  <c r="AF31" i="42" s="1"/>
  <c r="E29" i="42"/>
  <c r="C28" i="38"/>
  <c r="T28" i="38" s="1"/>
  <c r="AF29" i="42" s="1"/>
  <c r="E27" i="42"/>
  <c r="C26" i="38"/>
  <c r="T26" i="38" s="1"/>
  <c r="AF27" i="42" s="1"/>
  <c r="E25" i="42"/>
  <c r="C24" i="38"/>
  <c r="T24" i="38" s="1"/>
  <c r="AF25" i="42" s="1"/>
  <c r="E23" i="42"/>
  <c r="C22" i="38"/>
  <c r="T22" i="38" s="1"/>
  <c r="AF23" i="42" s="1"/>
  <c r="E21" i="42"/>
  <c r="C20" i="38"/>
  <c r="T20" i="38" s="1"/>
  <c r="AF21" i="42" s="1"/>
  <c r="E19" i="42"/>
  <c r="C18" i="38"/>
  <c r="T18" i="38" s="1"/>
  <c r="AF19" i="42" s="1"/>
  <c r="E17" i="42"/>
  <c r="C16" i="38"/>
  <c r="T16" i="38" s="1"/>
  <c r="AF17" i="42" s="1"/>
  <c r="E15" i="42"/>
  <c r="C14" i="38"/>
  <c r="T14" i="38" s="1"/>
  <c r="AF15" i="42" s="1"/>
  <c r="G56" i="42"/>
  <c r="G50" i="42"/>
  <c r="G45" i="42"/>
  <c r="G41" i="42"/>
  <c r="G36" i="42"/>
  <c r="G35" i="42"/>
  <c r="G30" i="42"/>
  <c r="G29" i="42"/>
  <c r="G24" i="42"/>
  <c r="G21" i="42"/>
  <c r="G16" i="42"/>
  <c r="G15" i="42"/>
  <c r="G57" i="42"/>
  <c r="G37" i="42"/>
  <c r="G31" i="42"/>
  <c r="G58" i="42"/>
  <c r="G48" i="42"/>
  <c r="G28" i="42"/>
  <c r="G19" i="42"/>
  <c r="G47" i="42"/>
  <c r="G46" i="42"/>
  <c r="G25" i="42"/>
  <c r="F5" i="42"/>
  <c r="G60" i="42"/>
  <c r="G49" i="42"/>
  <c r="G44" i="42"/>
  <c r="G39" i="42"/>
  <c r="G17" i="42"/>
  <c r="G32" i="42"/>
  <c r="L10" i="37"/>
  <c r="C11" i="38" s="1"/>
  <c r="T11" i="38" s="1"/>
  <c r="AF12" i="42" s="1"/>
  <c r="L12" i="37"/>
  <c r="L14" i="37"/>
  <c r="L16" i="37"/>
  <c r="L18" i="37"/>
  <c r="L20" i="37"/>
  <c r="L22" i="37"/>
  <c r="L24" i="37"/>
  <c r="L26" i="37"/>
  <c r="L28" i="37"/>
  <c r="L30" i="37"/>
  <c r="L32" i="37"/>
  <c r="L34" i="37"/>
  <c r="L36" i="37"/>
  <c r="E38" i="42" s="1"/>
  <c r="L38" i="37"/>
  <c r="E40" i="42" s="1"/>
  <c r="L40" i="37"/>
  <c r="G52" i="42"/>
  <c r="G40" i="42"/>
  <c r="G22" i="42"/>
  <c r="G20" i="42"/>
  <c r="G14" i="42"/>
  <c r="G59" i="42"/>
  <c r="G43" i="42"/>
  <c r="G23" i="42"/>
  <c r="G55" i="42"/>
  <c r="G51" i="42"/>
  <c r="G38" i="42"/>
  <c r="G18" i="42"/>
  <c r="G34" i="42"/>
  <c r="K6" i="37"/>
  <c r="K5" i="37"/>
  <c r="K8" i="37"/>
  <c r="K4" i="37"/>
  <c r="L8" i="37"/>
  <c r="L6" i="37"/>
  <c r="L7" i="37"/>
  <c r="C8" i="38" s="1"/>
  <c r="T8" i="38" s="1"/>
  <c r="AF9" i="42" s="1"/>
  <c r="L5" i="37"/>
  <c r="C6" i="38" s="1"/>
  <c r="T6" i="38" s="1"/>
  <c r="AF7" i="42" s="1"/>
  <c r="L4" i="37"/>
  <c r="C5" i="38" s="1"/>
  <c r="T5" i="38" s="1"/>
  <c r="G7" i="42"/>
  <c r="G10" i="42"/>
  <c r="G11" i="42"/>
  <c r="G12" i="42"/>
  <c r="G8" i="42"/>
  <c r="G13" i="42"/>
  <c r="G9" i="42"/>
  <c r="E13" i="42"/>
  <c r="M5" i="42"/>
  <c r="N5" i="42"/>
  <c r="O5" i="42"/>
  <c r="P5" i="42"/>
  <c r="D6" i="42"/>
  <c r="D5" i="42" s="1"/>
  <c r="C6" i="42"/>
  <c r="B5" i="38"/>
  <c r="B4" i="38" s="1"/>
  <c r="A5" i="38"/>
  <c r="L50" i="38" l="1"/>
  <c r="X51" i="42" s="1"/>
  <c r="T50" i="38"/>
  <c r="AF51" i="42" s="1"/>
  <c r="P58" i="38"/>
  <c r="AB59" i="42" s="1"/>
  <c r="T58" i="38"/>
  <c r="AF59" i="42" s="1"/>
  <c r="F38" i="38"/>
  <c r="R39" i="42" s="1"/>
  <c r="T38" i="38"/>
  <c r="AF39" i="42" s="1"/>
  <c r="L34" i="38"/>
  <c r="X35" i="42" s="1"/>
  <c r="T34" i="38"/>
  <c r="AF35" i="42" s="1"/>
  <c r="AF6" i="42"/>
  <c r="C41" i="38"/>
  <c r="T41" i="38" s="1"/>
  <c r="AF42" i="42" s="1"/>
  <c r="E42" i="42"/>
  <c r="I34" i="38"/>
  <c r="U35" i="42" s="1"/>
  <c r="M34" i="38"/>
  <c r="Y35" i="42" s="1"/>
  <c r="Q34" i="38"/>
  <c r="AC35" i="42" s="1"/>
  <c r="F34" i="38"/>
  <c r="R35" i="42" s="1"/>
  <c r="J34" i="38"/>
  <c r="V35" i="42" s="1"/>
  <c r="R34" i="38"/>
  <c r="AD35" i="42" s="1"/>
  <c r="U34" i="38"/>
  <c r="AG35" i="42" s="1"/>
  <c r="I26" i="38"/>
  <c r="U27" i="42" s="1"/>
  <c r="F26" i="38"/>
  <c r="R27" i="42" s="1"/>
  <c r="K26" i="38"/>
  <c r="W27" i="42" s="1"/>
  <c r="L26" i="38"/>
  <c r="X27" i="42" s="1"/>
  <c r="Q18" i="38"/>
  <c r="AC19" i="42" s="1"/>
  <c r="M18" i="38"/>
  <c r="Y19" i="42" s="1"/>
  <c r="R18" i="38"/>
  <c r="AD19" i="42" s="1"/>
  <c r="S18" i="38"/>
  <c r="AE19" i="42" s="1"/>
  <c r="U18" i="38"/>
  <c r="AG19" i="42" s="1"/>
  <c r="U54" i="38"/>
  <c r="AG55" i="42" s="1"/>
  <c r="S54" i="38"/>
  <c r="AE55" i="42" s="1"/>
  <c r="G46" i="38"/>
  <c r="S47" i="42" s="1"/>
  <c r="S46" i="38"/>
  <c r="AE47" i="42" s="1"/>
  <c r="H46" i="38"/>
  <c r="T47" i="42" s="1"/>
  <c r="U46" i="38"/>
  <c r="AG47" i="42" s="1"/>
  <c r="I42" i="38"/>
  <c r="U43" i="42" s="1"/>
  <c r="F42" i="38"/>
  <c r="R43" i="42" s="1"/>
  <c r="J42" i="38"/>
  <c r="V43" i="42" s="1"/>
  <c r="H42" i="38"/>
  <c r="T43" i="42" s="1"/>
  <c r="K56" i="38"/>
  <c r="W57" i="42" s="1"/>
  <c r="S56" i="38"/>
  <c r="AE57" i="42" s="1"/>
  <c r="J56" i="38"/>
  <c r="V57" i="42" s="1"/>
  <c r="R56" i="38"/>
  <c r="AD57" i="42" s="1"/>
  <c r="H52" i="38"/>
  <c r="T53" i="42" s="1"/>
  <c r="Q52" i="38"/>
  <c r="AC53" i="42" s="1"/>
  <c r="I52" i="38"/>
  <c r="U53" i="42" s="1"/>
  <c r="P52" i="38"/>
  <c r="AB53" i="42" s="1"/>
  <c r="L44" i="38"/>
  <c r="X45" i="42" s="1"/>
  <c r="M44" i="38"/>
  <c r="Y45" i="42" s="1"/>
  <c r="U44" i="38"/>
  <c r="AG45" i="42" s="1"/>
  <c r="K40" i="38"/>
  <c r="W41" i="42" s="1"/>
  <c r="R40" i="38"/>
  <c r="AD41" i="42" s="1"/>
  <c r="S40" i="38"/>
  <c r="AE41" i="42" s="1"/>
  <c r="I36" i="38"/>
  <c r="U37" i="42" s="1"/>
  <c r="Q36" i="38"/>
  <c r="AC37" i="42" s="1"/>
  <c r="H36" i="38"/>
  <c r="T37" i="42" s="1"/>
  <c r="L58" i="38"/>
  <c r="X59" i="42" s="1"/>
  <c r="Q58" i="38"/>
  <c r="AC59" i="42" s="1"/>
  <c r="S58" i="38"/>
  <c r="AE59" i="42" s="1"/>
  <c r="G58" i="38"/>
  <c r="S59" i="42" s="1"/>
  <c r="O56" i="38"/>
  <c r="AA57" i="42" s="1"/>
  <c r="H56" i="38"/>
  <c r="T57" i="42" s="1"/>
  <c r="L56" i="38"/>
  <c r="X57" i="42" s="1"/>
  <c r="U56" i="38"/>
  <c r="AG57" i="42" s="1"/>
  <c r="I56" i="38"/>
  <c r="U57" i="42" s="1"/>
  <c r="M56" i="38"/>
  <c r="Y57" i="42" s="1"/>
  <c r="Q56" i="38"/>
  <c r="AC57" i="42" s="1"/>
  <c r="P56" i="38"/>
  <c r="AB57" i="42" s="1"/>
  <c r="G56" i="38"/>
  <c r="S57" i="42" s="1"/>
  <c r="F56" i="38"/>
  <c r="R57" i="42" s="1"/>
  <c r="G54" i="38"/>
  <c r="S55" i="42" s="1"/>
  <c r="I54" i="38"/>
  <c r="U55" i="42" s="1"/>
  <c r="R54" i="38"/>
  <c r="AD55" i="42" s="1"/>
  <c r="M52" i="38"/>
  <c r="Y53" i="42" s="1"/>
  <c r="J52" i="38"/>
  <c r="V53" i="42" s="1"/>
  <c r="R52" i="38"/>
  <c r="AD53" i="42" s="1"/>
  <c r="G52" i="38"/>
  <c r="S53" i="42" s="1"/>
  <c r="K52" i="38"/>
  <c r="W53" i="42" s="1"/>
  <c r="O52" i="38"/>
  <c r="AA53" i="42" s="1"/>
  <c r="S52" i="38"/>
  <c r="AE53" i="42" s="1"/>
  <c r="L52" i="38"/>
  <c r="X53" i="42" s="1"/>
  <c r="U52" i="38"/>
  <c r="AG53" i="42" s="1"/>
  <c r="F52" i="38"/>
  <c r="R53" i="42" s="1"/>
  <c r="H50" i="38"/>
  <c r="T51" i="42" s="1"/>
  <c r="I50" i="38"/>
  <c r="U51" i="42" s="1"/>
  <c r="J50" i="38"/>
  <c r="V51" i="42" s="1"/>
  <c r="S50" i="38"/>
  <c r="AE51" i="42" s="1"/>
  <c r="G50" i="38"/>
  <c r="S51" i="42" s="1"/>
  <c r="O48" i="38"/>
  <c r="AA49" i="42" s="1"/>
  <c r="K48" i="38"/>
  <c r="W49" i="42" s="1"/>
  <c r="U48" i="38"/>
  <c r="AG49" i="42" s="1"/>
  <c r="K46" i="38"/>
  <c r="W47" i="42" s="1"/>
  <c r="Q46" i="38"/>
  <c r="AC47" i="42" s="1"/>
  <c r="M46" i="38"/>
  <c r="Y47" i="42" s="1"/>
  <c r="F44" i="38"/>
  <c r="R45" i="42" s="1"/>
  <c r="I44" i="38"/>
  <c r="U45" i="42" s="1"/>
  <c r="G44" i="38"/>
  <c r="S45" i="42" s="1"/>
  <c r="K44" i="38"/>
  <c r="W45" i="42" s="1"/>
  <c r="O44" i="38"/>
  <c r="AA45" i="42" s="1"/>
  <c r="S44" i="38"/>
  <c r="AE45" i="42" s="1"/>
  <c r="Q44" i="38"/>
  <c r="AC45" i="42" s="1"/>
  <c r="H44" i="38"/>
  <c r="T45" i="42" s="1"/>
  <c r="P44" i="38"/>
  <c r="AB45" i="42" s="1"/>
  <c r="J44" i="38"/>
  <c r="V45" i="42" s="1"/>
  <c r="R44" i="38"/>
  <c r="AD45" i="42" s="1"/>
  <c r="M42" i="38"/>
  <c r="Y43" i="42" s="1"/>
  <c r="S42" i="38"/>
  <c r="AE43" i="42" s="1"/>
  <c r="K42" i="38"/>
  <c r="W43" i="42" s="1"/>
  <c r="U42" i="38"/>
  <c r="AG43" i="42" s="1"/>
  <c r="O42" i="38"/>
  <c r="AA43" i="42" s="1"/>
  <c r="J40" i="38"/>
  <c r="V41" i="42" s="1"/>
  <c r="Q40" i="38"/>
  <c r="AC41" i="42" s="1"/>
  <c r="I40" i="38"/>
  <c r="U41" i="42" s="1"/>
  <c r="O40" i="38"/>
  <c r="AA41" i="42" s="1"/>
  <c r="G40" i="38"/>
  <c r="S41" i="42" s="1"/>
  <c r="P40" i="38"/>
  <c r="AB41" i="42" s="1"/>
  <c r="F40" i="38"/>
  <c r="R41" i="42" s="1"/>
  <c r="U40" i="38"/>
  <c r="AG41" i="42" s="1"/>
  <c r="M40" i="38"/>
  <c r="Y41" i="42" s="1"/>
  <c r="H40" i="38"/>
  <c r="T41" i="42" s="1"/>
  <c r="L40" i="38"/>
  <c r="X41" i="42" s="1"/>
  <c r="J38" i="38"/>
  <c r="V39" i="42" s="1"/>
  <c r="R38" i="38"/>
  <c r="AD39" i="42" s="1"/>
  <c r="G38" i="38"/>
  <c r="S39" i="42" s="1"/>
  <c r="H38" i="38"/>
  <c r="T39" i="42" s="1"/>
  <c r="P36" i="38"/>
  <c r="AB37" i="42" s="1"/>
  <c r="R36" i="38"/>
  <c r="AD37" i="42" s="1"/>
  <c r="S36" i="38"/>
  <c r="AE37" i="42" s="1"/>
  <c r="U36" i="38"/>
  <c r="AG37" i="42" s="1"/>
  <c r="J36" i="38"/>
  <c r="V37" i="42" s="1"/>
  <c r="O36" i="38"/>
  <c r="AA37" i="42" s="1"/>
  <c r="P34" i="38"/>
  <c r="AB35" i="42" s="1"/>
  <c r="H34" i="38"/>
  <c r="T35" i="42" s="1"/>
  <c r="O34" i="38"/>
  <c r="AA35" i="42" s="1"/>
  <c r="G34" i="38"/>
  <c r="S35" i="42" s="1"/>
  <c r="H32" i="38"/>
  <c r="T33" i="42" s="1"/>
  <c r="I32" i="38"/>
  <c r="U33" i="42" s="1"/>
  <c r="M32" i="38"/>
  <c r="Y33" i="42" s="1"/>
  <c r="G32" i="38"/>
  <c r="S33" i="42" s="1"/>
  <c r="Q32" i="38"/>
  <c r="AC33" i="42" s="1"/>
  <c r="R32" i="38"/>
  <c r="AD33" i="42" s="1"/>
  <c r="S32" i="38"/>
  <c r="AE33" i="42" s="1"/>
  <c r="K32" i="38"/>
  <c r="W33" i="42" s="1"/>
  <c r="S30" i="38"/>
  <c r="AE31" i="42" s="1"/>
  <c r="Q30" i="38"/>
  <c r="AC31" i="42" s="1"/>
  <c r="O30" i="38"/>
  <c r="AA31" i="42" s="1"/>
  <c r="P30" i="38"/>
  <c r="AB31" i="42" s="1"/>
  <c r="J28" i="38"/>
  <c r="V29" i="42" s="1"/>
  <c r="M28" i="38"/>
  <c r="Y29" i="42" s="1"/>
  <c r="L28" i="38"/>
  <c r="X29" i="42" s="1"/>
  <c r="K28" i="38"/>
  <c r="W29" i="42" s="1"/>
  <c r="F28" i="38"/>
  <c r="R29" i="42" s="1"/>
  <c r="U24" i="38"/>
  <c r="AG25" i="42" s="1"/>
  <c r="Q24" i="38"/>
  <c r="AC25" i="42" s="1"/>
  <c r="P24" i="38"/>
  <c r="AB25" i="42" s="1"/>
  <c r="G24" i="38"/>
  <c r="S25" i="42" s="1"/>
  <c r="K22" i="38"/>
  <c r="W23" i="42" s="1"/>
  <c r="J22" i="38"/>
  <c r="V23" i="42" s="1"/>
  <c r="H22" i="38"/>
  <c r="T23" i="42" s="1"/>
  <c r="G22" i="38"/>
  <c r="S23" i="42" s="1"/>
  <c r="I22" i="38"/>
  <c r="U23" i="42" s="1"/>
  <c r="J20" i="38"/>
  <c r="V21" i="42" s="1"/>
  <c r="L20" i="38"/>
  <c r="X21" i="42" s="1"/>
  <c r="F20" i="38"/>
  <c r="R21" i="42" s="1"/>
  <c r="K20" i="38"/>
  <c r="W21" i="42" s="1"/>
  <c r="M20" i="38"/>
  <c r="Y21" i="42" s="1"/>
  <c r="U16" i="38"/>
  <c r="AG17" i="42" s="1"/>
  <c r="G16" i="38"/>
  <c r="S17" i="42" s="1"/>
  <c r="P16" i="38"/>
  <c r="AB17" i="42" s="1"/>
  <c r="Q16" i="38"/>
  <c r="AC17" i="42" s="1"/>
  <c r="S14" i="38"/>
  <c r="AE15" i="42" s="1"/>
  <c r="P14" i="38"/>
  <c r="AB15" i="42" s="1"/>
  <c r="O14" i="38"/>
  <c r="AA15" i="42" s="1"/>
  <c r="Q14" i="38"/>
  <c r="AC15" i="42" s="1"/>
  <c r="S34" i="38"/>
  <c r="AE35" i="42" s="1"/>
  <c r="K34" i="38"/>
  <c r="W35" i="42" s="1"/>
  <c r="I38" i="38"/>
  <c r="U39" i="42" s="1"/>
  <c r="J48" i="38"/>
  <c r="V49" i="42" s="1"/>
  <c r="U38" i="38"/>
  <c r="AG39" i="42" s="1"/>
  <c r="S38" i="38"/>
  <c r="AE39" i="42" s="1"/>
  <c r="S48" i="38"/>
  <c r="AE49" i="42" s="1"/>
  <c r="S16" i="38"/>
  <c r="AE17" i="42" s="1"/>
  <c r="R16" i="38"/>
  <c r="AD17" i="42" s="1"/>
  <c r="M16" i="38"/>
  <c r="Y17" i="42" s="1"/>
  <c r="L16" i="38"/>
  <c r="X17" i="42" s="1"/>
  <c r="I20" i="38"/>
  <c r="U21" i="42" s="1"/>
  <c r="H20" i="38"/>
  <c r="T21" i="42" s="1"/>
  <c r="G20" i="38"/>
  <c r="S21" i="42" s="1"/>
  <c r="S24" i="38"/>
  <c r="AE25" i="42" s="1"/>
  <c r="R24" i="38"/>
  <c r="AD25" i="42" s="1"/>
  <c r="M24" i="38"/>
  <c r="Y25" i="42" s="1"/>
  <c r="L24" i="38"/>
  <c r="X25" i="42" s="1"/>
  <c r="I28" i="38"/>
  <c r="U29" i="42" s="1"/>
  <c r="H28" i="38"/>
  <c r="T29" i="42" s="1"/>
  <c r="G28" i="38"/>
  <c r="S29" i="42" s="1"/>
  <c r="Q48" i="38"/>
  <c r="AC49" i="42" s="1"/>
  <c r="P48" i="38"/>
  <c r="AB49" i="42" s="1"/>
  <c r="M38" i="38"/>
  <c r="Y39" i="42" s="1"/>
  <c r="Q38" i="38"/>
  <c r="AC39" i="42" s="1"/>
  <c r="R48" i="38"/>
  <c r="AD49" i="42" s="1"/>
  <c r="P38" i="38"/>
  <c r="AB39" i="42" s="1"/>
  <c r="O38" i="38"/>
  <c r="AA39" i="42" s="1"/>
  <c r="O16" i="38"/>
  <c r="AA17" i="42" s="1"/>
  <c r="J16" i="38"/>
  <c r="V17" i="42" s="1"/>
  <c r="I16" i="38"/>
  <c r="U17" i="42" s="1"/>
  <c r="H16" i="38"/>
  <c r="T17" i="42" s="1"/>
  <c r="U20" i="38"/>
  <c r="AG21" i="42" s="1"/>
  <c r="S20" i="38"/>
  <c r="AE21" i="42" s="1"/>
  <c r="R20" i="38"/>
  <c r="AD21" i="42" s="1"/>
  <c r="O24" i="38"/>
  <c r="AA25" i="42" s="1"/>
  <c r="J24" i="38"/>
  <c r="V25" i="42" s="1"/>
  <c r="I24" i="38"/>
  <c r="U25" i="42" s="1"/>
  <c r="H24" i="38"/>
  <c r="T25" i="42" s="1"/>
  <c r="U28" i="38"/>
  <c r="AG29" i="42" s="1"/>
  <c r="S28" i="38"/>
  <c r="AE29" i="42" s="1"/>
  <c r="R28" i="38"/>
  <c r="AD29" i="42" s="1"/>
  <c r="U32" i="38"/>
  <c r="AG33" i="42" s="1"/>
  <c r="J32" i="38"/>
  <c r="V33" i="42" s="1"/>
  <c r="L32" i="38"/>
  <c r="X33" i="42" s="1"/>
  <c r="K36" i="38"/>
  <c r="W37" i="42" s="1"/>
  <c r="F36" i="38"/>
  <c r="R37" i="42" s="1"/>
  <c r="M48" i="38"/>
  <c r="Y49" i="42" s="1"/>
  <c r="L48" i="38"/>
  <c r="X49" i="42" s="1"/>
  <c r="G42" i="38"/>
  <c r="S43" i="42" s="1"/>
  <c r="P42" i="38"/>
  <c r="AB43" i="42" s="1"/>
  <c r="Q42" i="38"/>
  <c r="AC43" i="42" s="1"/>
  <c r="P46" i="38"/>
  <c r="AB47" i="42" s="1"/>
  <c r="O46" i="38"/>
  <c r="AA47" i="42" s="1"/>
  <c r="F48" i="38"/>
  <c r="R49" i="42" s="1"/>
  <c r="L36" i="38"/>
  <c r="X37" i="42" s="1"/>
  <c r="R46" i="38"/>
  <c r="AD47" i="42" s="1"/>
  <c r="L38" i="38"/>
  <c r="X39" i="42" s="1"/>
  <c r="K38" i="38"/>
  <c r="W39" i="42" s="1"/>
  <c r="M36" i="38"/>
  <c r="Y37" i="42" s="1"/>
  <c r="L42" i="38"/>
  <c r="X43" i="42" s="1"/>
  <c r="F46" i="38"/>
  <c r="R47" i="42" s="1"/>
  <c r="K16" i="38"/>
  <c r="W17" i="42" s="1"/>
  <c r="F16" i="38"/>
  <c r="R17" i="42" s="1"/>
  <c r="Q20" i="38"/>
  <c r="AC21" i="42" s="1"/>
  <c r="P20" i="38"/>
  <c r="AB21" i="42" s="1"/>
  <c r="O20" i="38"/>
  <c r="AA21" i="42" s="1"/>
  <c r="K24" i="38"/>
  <c r="W25" i="42" s="1"/>
  <c r="F24" i="38"/>
  <c r="R25" i="42" s="1"/>
  <c r="Q28" i="38"/>
  <c r="AC29" i="42" s="1"/>
  <c r="P28" i="38"/>
  <c r="AB29" i="42" s="1"/>
  <c r="O28" i="38"/>
  <c r="AA29" i="42" s="1"/>
  <c r="P32" i="38"/>
  <c r="AB33" i="42" s="1"/>
  <c r="F32" i="38"/>
  <c r="R33" i="42" s="1"/>
  <c r="G36" i="38"/>
  <c r="S37" i="42" s="1"/>
  <c r="I48" i="38"/>
  <c r="U49" i="42" s="1"/>
  <c r="H48" i="38"/>
  <c r="T49" i="42" s="1"/>
  <c r="I46" i="38"/>
  <c r="U47" i="42" s="1"/>
  <c r="J46" i="38"/>
  <c r="V47" i="42" s="1"/>
  <c r="R42" i="38"/>
  <c r="AD43" i="42" s="1"/>
  <c r="L46" i="38"/>
  <c r="X47" i="42" s="1"/>
  <c r="G48" i="38"/>
  <c r="S49" i="42" s="1"/>
  <c r="Q54" i="38"/>
  <c r="AC55" i="42" s="1"/>
  <c r="R14" i="38"/>
  <c r="AD15" i="42" s="1"/>
  <c r="M14" i="38"/>
  <c r="Y15" i="42" s="1"/>
  <c r="L14" i="38"/>
  <c r="X15" i="42" s="1"/>
  <c r="K14" i="38"/>
  <c r="W15" i="42" s="1"/>
  <c r="F22" i="38"/>
  <c r="R23" i="42" s="1"/>
  <c r="U22" i="38"/>
  <c r="AG23" i="42" s="1"/>
  <c r="S22" i="38"/>
  <c r="AE23" i="42" s="1"/>
  <c r="R30" i="38"/>
  <c r="AD31" i="42" s="1"/>
  <c r="M30" i="38"/>
  <c r="Y31" i="42" s="1"/>
  <c r="L30" i="38"/>
  <c r="X31" i="42" s="1"/>
  <c r="K30" i="38"/>
  <c r="W31" i="42" s="1"/>
  <c r="F50" i="38"/>
  <c r="R51" i="42" s="1"/>
  <c r="R58" i="38"/>
  <c r="AD59" i="42" s="1"/>
  <c r="M58" i="38"/>
  <c r="Y59" i="42" s="1"/>
  <c r="P50" i="38"/>
  <c r="AB51" i="42" s="1"/>
  <c r="O58" i="38"/>
  <c r="AA59" i="42" s="1"/>
  <c r="U50" i="38"/>
  <c r="AG51" i="42" s="1"/>
  <c r="P18" i="38"/>
  <c r="AB19" i="42" s="1"/>
  <c r="O18" i="38"/>
  <c r="AA19" i="42" s="1"/>
  <c r="J18" i="38"/>
  <c r="V19" i="42" s="1"/>
  <c r="I18" i="38"/>
  <c r="U19" i="42" s="1"/>
  <c r="H26" i="38"/>
  <c r="T27" i="42" s="1"/>
  <c r="G26" i="38"/>
  <c r="S27" i="42" s="1"/>
  <c r="Q26" i="38"/>
  <c r="AC27" i="42" s="1"/>
  <c r="P54" i="38"/>
  <c r="AB55" i="42" s="1"/>
  <c r="O54" i="38"/>
  <c r="AA55" i="42" s="1"/>
  <c r="K50" i="38"/>
  <c r="W51" i="42" s="1"/>
  <c r="J14" i="38"/>
  <c r="V15" i="42" s="1"/>
  <c r="I14" i="38"/>
  <c r="U15" i="42" s="1"/>
  <c r="H14" i="38"/>
  <c r="T15" i="42" s="1"/>
  <c r="G14" i="38"/>
  <c r="S15" i="42" s="1"/>
  <c r="Q22" i="38"/>
  <c r="AC23" i="42" s="1"/>
  <c r="P22" i="38"/>
  <c r="AB23" i="42" s="1"/>
  <c r="O22" i="38"/>
  <c r="AA23" i="42" s="1"/>
  <c r="J30" i="38"/>
  <c r="V31" i="42" s="1"/>
  <c r="I30" i="38"/>
  <c r="U31" i="42" s="1"/>
  <c r="H30" i="38"/>
  <c r="T31" i="42" s="1"/>
  <c r="G30" i="38"/>
  <c r="S31" i="42" s="1"/>
  <c r="Q50" i="38"/>
  <c r="AC51" i="42" s="1"/>
  <c r="J58" i="38"/>
  <c r="V59" i="42" s="1"/>
  <c r="I58" i="38"/>
  <c r="U59" i="42" s="1"/>
  <c r="F54" i="38"/>
  <c r="R55" i="42" s="1"/>
  <c r="L18" i="38"/>
  <c r="X19" i="42" s="1"/>
  <c r="K18" i="38"/>
  <c r="W19" i="42" s="1"/>
  <c r="F18" i="38"/>
  <c r="R19" i="42" s="1"/>
  <c r="U26" i="38"/>
  <c r="AG27" i="42" s="1"/>
  <c r="S26" i="38"/>
  <c r="AE27" i="42" s="1"/>
  <c r="R26" i="38"/>
  <c r="AD27" i="42" s="1"/>
  <c r="M26" i="38"/>
  <c r="Y27" i="42" s="1"/>
  <c r="L54" i="38"/>
  <c r="X55" i="42" s="1"/>
  <c r="K54" i="38"/>
  <c r="W55" i="42" s="1"/>
  <c r="O50" i="38"/>
  <c r="AA51" i="42" s="1"/>
  <c r="K58" i="38"/>
  <c r="W59" i="42" s="1"/>
  <c r="M54" i="38"/>
  <c r="Y55" i="42" s="1"/>
  <c r="F14" i="38"/>
  <c r="R15" i="42" s="1"/>
  <c r="U14" i="38"/>
  <c r="AG15" i="42" s="1"/>
  <c r="R22" i="38"/>
  <c r="AD23" i="42" s="1"/>
  <c r="M22" i="38"/>
  <c r="Y23" i="42" s="1"/>
  <c r="L22" i="38"/>
  <c r="X23" i="42" s="1"/>
  <c r="F30" i="38"/>
  <c r="R31" i="42" s="1"/>
  <c r="U30" i="38"/>
  <c r="AG31" i="42" s="1"/>
  <c r="R50" i="38"/>
  <c r="AD51" i="42" s="1"/>
  <c r="M50" i="38"/>
  <c r="Y51" i="42" s="1"/>
  <c r="F58" i="38"/>
  <c r="R59" i="42" s="1"/>
  <c r="J54" i="38"/>
  <c r="V55" i="42" s="1"/>
  <c r="U58" i="38"/>
  <c r="AG59" i="42" s="1"/>
  <c r="H58" i="38"/>
  <c r="T59" i="42" s="1"/>
  <c r="H18" i="38"/>
  <c r="T19" i="42" s="1"/>
  <c r="G18" i="38"/>
  <c r="S19" i="42" s="1"/>
  <c r="P26" i="38"/>
  <c r="AB27" i="42" s="1"/>
  <c r="O26" i="38"/>
  <c r="AA27" i="42" s="1"/>
  <c r="J26" i="38"/>
  <c r="V27" i="42" s="1"/>
  <c r="H54" i="38"/>
  <c r="T55" i="42" s="1"/>
  <c r="E8" i="42"/>
  <c r="C7" i="38"/>
  <c r="T7" i="38" s="1"/>
  <c r="AF8" i="42" s="1"/>
  <c r="E10" i="42"/>
  <c r="C9" i="38"/>
  <c r="T9" i="38" s="1"/>
  <c r="AF10" i="42" s="1"/>
  <c r="C39" i="38"/>
  <c r="T39" i="38" s="1"/>
  <c r="AF40" i="42" s="1"/>
  <c r="C37" i="38"/>
  <c r="T37" i="38" s="1"/>
  <c r="AF38" i="42" s="1"/>
  <c r="E36" i="42"/>
  <c r="C35" i="38"/>
  <c r="T35" i="38" s="1"/>
  <c r="AF36" i="42" s="1"/>
  <c r="E34" i="42"/>
  <c r="C33" i="38"/>
  <c r="T33" i="38" s="1"/>
  <c r="AF34" i="42" s="1"/>
  <c r="E32" i="42"/>
  <c r="C31" i="38"/>
  <c r="T31" i="38" s="1"/>
  <c r="AF32" i="42" s="1"/>
  <c r="E30" i="42"/>
  <c r="C29" i="38"/>
  <c r="T29" i="38" s="1"/>
  <c r="AF30" i="42" s="1"/>
  <c r="E28" i="42"/>
  <c r="C27" i="38"/>
  <c r="T27" i="38" s="1"/>
  <c r="AF28" i="42" s="1"/>
  <c r="E26" i="42"/>
  <c r="C25" i="38"/>
  <c r="T25" i="38" s="1"/>
  <c r="AF26" i="42" s="1"/>
  <c r="E24" i="42"/>
  <c r="C23" i="38"/>
  <c r="T23" i="38" s="1"/>
  <c r="AF24" i="42" s="1"/>
  <c r="E22" i="42"/>
  <c r="C21" i="38"/>
  <c r="T21" i="38" s="1"/>
  <c r="AF22" i="42" s="1"/>
  <c r="E20" i="42"/>
  <c r="C19" i="38"/>
  <c r="T19" i="38" s="1"/>
  <c r="AF20" i="42" s="1"/>
  <c r="E18" i="42"/>
  <c r="C17" i="38"/>
  <c r="T17" i="38" s="1"/>
  <c r="AF18" i="42" s="1"/>
  <c r="E16" i="42"/>
  <c r="C15" i="38"/>
  <c r="T15" i="38" s="1"/>
  <c r="AF16" i="42" s="1"/>
  <c r="E14" i="42"/>
  <c r="C13" i="38"/>
  <c r="T13" i="38" s="1"/>
  <c r="AF14" i="42" s="1"/>
  <c r="O53" i="38"/>
  <c r="AA54" i="42" s="1"/>
  <c r="G53" i="38"/>
  <c r="S54" i="42" s="1"/>
  <c r="S21" i="38"/>
  <c r="AE22" i="42" s="1"/>
  <c r="R21" i="38"/>
  <c r="AD22" i="42" s="1"/>
  <c r="Q21" i="38"/>
  <c r="AC22" i="42" s="1"/>
  <c r="P21" i="38"/>
  <c r="AB22" i="42" s="1"/>
  <c r="M53" i="38"/>
  <c r="Y54" i="42" s="1"/>
  <c r="L53" i="38"/>
  <c r="X54" i="42" s="1"/>
  <c r="I57" i="38"/>
  <c r="U58" i="42" s="1"/>
  <c r="Q57" i="38"/>
  <c r="AC58" i="42" s="1"/>
  <c r="K53" i="38"/>
  <c r="W54" i="42" s="1"/>
  <c r="F53" i="38"/>
  <c r="R54" i="42" s="1"/>
  <c r="O21" i="38"/>
  <c r="AA22" i="42" s="1"/>
  <c r="J21" i="38"/>
  <c r="V22" i="42" s="1"/>
  <c r="M21" i="38"/>
  <c r="Y22" i="42" s="1"/>
  <c r="L21" i="38"/>
  <c r="X22" i="42" s="1"/>
  <c r="I53" i="38"/>
  <c r="U54" i="42" s="1"/>
  <c r="H53" i="38"/>
  <c r="T54" i="42" s="1"/>
  <c r="K21" i="38"/>
  <c r="W22" i="42" s="1"/>
  <c r="F21" i="38"/>
  <c r="R22" i="42" s="1"/>
  <c r="I21" i="38"/>
  <c r="U22" i="42" s="1"/>
  <c r="U53" i="38"/>
  <c r="AG54" i="42" s="1"/>
  <c r="I49" i="38"/>
  <c r="U50" i="42" s="1"/>
  <c r="M49" i="38"/>
  <c r="Y50" i="42" s="1"/>
  <c r="E9" i="42"/>
  <c r="H12" i="38"/>
  <c r="T13" i="42" s="1"/>
  <c r="G6" i="42"/>
  <c r="G5" i="42" s="1"/>
  <c r="B15" i="46"/>
  <c r="E7" i="42"/>
  <c r="E12" i="42"/>
  <c r="J8" i="38"/>
  <c r="V9" i="42" s="1"/>
  <c r="H8" i="38"/>
  <c r="T9" i="42" s="1"/>
  <c r="L8" i="38"/>
  <c r="X9" i="42" s="1"/>
  <c r="K8" i="38"/>
  <c r="W9" i="42" s="1"/>
  <c r="I8" i="38"/>
  <c r="U9" i="42" s="1"/>
  <c r="F8" i="38"/>
  <c r="R9" i="42" s="1"/>
  <c r="M8" i="38"/>
  <c r="Y9" i="42" s="1"/>
  <c r="Q8" i="38"/>
  <c r="AC9" i="42" s="1"/>
  <c r="R8" i="38"/>
  <c r="AD9" i="42" s="1"/>
  <c r="S8" i="38"/>
  <c r="AE9" i="42" s="1"/>
  <c r="U8" i="38"/>
  <c r="AG9" i="42" s="1"/>
  <c r="P8" i="38"/>
  <c r="AB9" i="42" s="1"/>
  <c r="O8" i="38"/>
  <c r="AA9" i="42" s="1"/>
  <c r="G8" i="38"/>
  <c r="S9" i="42" s="1"/>
  <c r="E11" i="42"/>
  <c r="AF4" i="42" l="1"/>
  <c r="K45" i="38"/>
  <c r="W46" i="42" s="1"/>
  <c r="S45" i="38"/>
  <c r="AE46" i="42" s="1"/>
  <c r="Q41" i="38"/>
  <c r="AC42" i="42" s="1"/>
  <c r="I41" i="38"/>
  <c r="U42" i="42" s="1"/>
  <c r="G37" i="38"/>
  <c r="S38" i="42" s="1"/>
  <c r="O37" i="38"/>
  <c r="AA38" i="42" s="1"/>
  <c r="R37" i="38"/>
  <c r="AD38" i="42" s="1"/>
  <c r="F37" i="38"/>
  <c r="R38" i="42" s="1"/>
  <c r="M37" i="38"/>
  <c r="Y38" i="42" s="1"/>
  <c r="L37" i="38"/>
  <c r="X38" i="42" s="1"/>
  <c r="I37" i="38"/>
  <c r="U38" i="42" s="1"/>
  <c r="H37" i="38"/>
  <c r="T38" i="42" s="1"/>
  <c r="U37" i="38"/>
  <c r="AG38" i="42" s="1"/>
  <c r="I33" i="38"/>
  <c r="U34" i="42" s="1"/>
  <c r="M33" i="38"/>
  <c r="Y34" i="42" s="1"/>
  <c r="C4" i="38"/>
  <c r="G13" i="38"/>
  <c r="S14" i="42" s="1"/>
  <c r="K13" i="38"/>
  <c r="W14" i="42" s="1"/>
  <c r="P13" i="38"/>
  <c r="AB14" i="42" s="1"/>
  <c r="U13" i="38"/>
  <c r="AG14" i="42" s="1"/>
  <c r="H13" i="38"/>
  <c r="T14" i="42" s="1"/>
  <c r="L13" i="38"/>
  <c r="X14" i="42" s="1"/>
  <c r="Q13" i="38"/>
  <c r="AC14" i="42" s="1"/>
  <c r="I13" i="38"/>
  <c r="U14" i="42" s="1"/>
  <c r="M13" i="38"/>
  <c r="Y14" i="42" s="1"/>
  <c r="R13" i="38"/>
  <c r="AD14" i="42" s="1"/>
  <c r="F13" i="38"/>
  <c r="R14" i="42" s="1"/>
  <c r="J13" i="38"/>
  <c r="V14" i="42" s="1"/>
  <c r="O13" i="38"/>
  <c r="AA14" i="42" s="1"/>
  <c r="S13" i="38"/>
  <c r="AE14" i="42" s="1"/>
  <c r="I15" i="38"/>
  <c r="U16" i="42" s="1"/>
  <c r="M15" i="38"/>
  <c r="Y16" i="42" s="1"/>
  <c r="Q15" i="38"/>
  <c r="AC16" i="42" s="1"/>
  <c r="F15" i="38"/>
  <c r="R16" i="42" s="1"/>
  <c r="J15" i="38"/>
  <c r="V16" i="42" s="1"/>
  <c r="R15" i="38"/>
  <c r="AD16" i="42" s="1"/>
  <c r="G15" i="38"/>
  <c r="S16" i="42" s="1"/>
  <c r="K15" i="38"/>
  <c r="W16" i="42" s="1"/>
  <c r="O15" i="38"/>
  <c r="AA16" i="42" s="1"/>
  <c r="S15" i="38"/>
  <c r="AE16" i="42" s="1"/>
  <c r="H15" i="38"/>
  <c r="T16" i="42" s="1"/>
  <c r="L15" i="38"/>
  <c r="X16" i="42" s="1"/>
  <c r="P15" i="38"/>
  <c r="AB16" i="42" s="1"/>
  <c r="U15" i="38"/>
  <c r="AG16" i="42" s="1"/>
  <c r="F17" i="38"/>
  <c r="R18" i="42" s="1"/>
  <c r="J17" i="38"/>
  <c r="V18" i="42" s="1"/>
  <c r="R17" i="38"/>
  <c r="AD18" i="42" s="1"/>
  <c r="G17" i="38"/>
  <c r="S18" i="42" s="1"/>
  <c r="K17" i="38"/>
  <c r="W18" i="42" s="1"/>
  <c r="O17" i="38"/>
  <c r="AA18" i="42" s="1"/>
  <c r="S17" i="38"/>
  <c r="AE18" i="42" s="1"/>
  <c r="H17" i="38"/>
  <c r="T18" i="42" s="1"/>
  <c r="L17" i="38"/>
  <c r="X18" i="42" s="1"/>
  <c r="P17" i="38"/>
  <c r="AB18" i="42" s="1"/>
  <c r="U17" i="38"/>
  <c r="AG18" i="42" s="1"/>
  <c r="I17" i="38"/>
  <c r="U18" i="42" s="1"/>
  <c r="M17" i="38"/>
  <c r="Y18" i="42" s="1"/>
  <c r="Q17" i="38"/>
  <c r="AC18" i="42" s="1"/>
  <c r="G19" i="38"/>
  <c r="S20" i="42" s="1"/>
  <c r="K19" i="38"/>
  <c r="W20" i="42" s="1"/>
  <c r="O19" i="38"/>
  <c r="AA20" i="42" s="1"/>
  <c r="S19" i="38"/>
  <c r="AE20" i="42" s="1"/>
  <c r="H19" i="38"/>
  <c r="T20" i="42" s="1"/>
  <c r="L19" i="38"/>
  <c r="X20" i="42" s="1"/>
  <c r="P19" i="38"/>
  <c r="AB20" i="42" s="1"/>
  <c r="U19" i="38"/>
  <c r="AG20" i="42" s="1"/>
  <c r="I19" i="38"/>
  <c r="U20" i="42" s="1"/>
  <c r="M19" i="38"/>
  <c r="Y20" i="42" s="1"/>
  <c r="Q19" i="38"/>
  <c r="AC20" i="42" s="1"/>
  <c r="F19" i="38"/>
  <c r="R20" i="42" s="1"/>
  <c r="J19" i="38"/>
  <c r="V20" i="42" s="1"/>
  <c r="R19" i="38"/>
  <c r="AD20" i="42" s="1"/>
  <c r="H21" i="38"/>
  <c r="T22" i="42" s="1"/>
  <c r="U21" i="38"/>
  <c r="AG22" i="42" s="1"/>
  <c r="G21" i="38"/>
  <c r="S22" i="42" s="1"/>
  <c r="I23" i="38"/>
  <c r="U24" i="42" s="1"/>
  <c r="M23" i="38"/>
  <c r="Y24" i="42" s="1"/>
  <c r="Q23" i="38"/>
  <c r="AC24" i="42" s="1"/>
  <c r="F23" i="38"/>
  <c r="R24" i="42" s="1"/>
  <c r="J23" i="38"/>
  <c r="V24" i="42" s="1"/>
  <c r="R23" i="38"/>
  <c r="AD24" i="42" s="1"/>
  <c r="G23" i="38"/>
  <c r="S24" i="42" s="1"/>
  <c r="K23" i="38"/>
  <c r="W24" i="42" s="1"/>
  <c r="O23" i="38"/>
  <c r="AA24" i="42" s="1"/>
  <c r="S23" i="38"/>
  <c r="AE24" i="42" s="1"/>
  <c r="H23" i="38"/>
  <c r="T24" i="42" s="1"/>
  <c r="L23" i="38"/>
  <c r="X24" i="42" s="1"/>
  <c r="P23" i="38"/>
  <c r="AB24" i="42" s="1"/>
  <c r="U23" i="38"/>
  <c r="AG24" i="42" s="1"/>
  <c r="F25" i="38"/>
  <c r="R26" i="42" s="1"/>
  <c r="J25" i="38"/>
  <c r="V26" i="42" s="1"/>
  <c r="R25" i="38"/>
  <c r="AD26" i="42" s="1"/>
  <c r="G25" i="38"/>
  <c r="S26" i="42" s="1"/>
  <c r="K25" i="38"/>
  <c r="W26" i="42" s="1"/>
  <c r="O25" i="38"/>
  <c r="AA26" i="42" s="1"/>
  <c r="S25" i="38"/>
  <c r="AE26" i="42" s="1"/>
  <c r="H25" i="38"/>
  <c r="T26" i="42" s="1"/>
  <c r="L25" i="38"/>
  <c r="X26" i="42" s="1"/>
  <c r="P25" i="38"/>
  <c r="AB26" i="42" s="1"/>
  <c r="U25" i="38"/>
  <c r="AG26" i="42" s="1"/>
  <c r="I25" i="38"/>
  <c r="U26" i="42" s="1"/>
  <c r="M25" i="38"/>
  <c r="Y26" i="42" s="1"/>
  <c r="Q25" i="38"/>
  <c r="AC26" i="42" s="1"/>
  <c r="G27" i="38"/>
  <c r="S28" i="42" s="1"/>
  <c r="K27" i="38"/>
  <c r="W28" i="42" s="1"/>
  <c r="O27" i="38"/>
  <c r="AA28" i="42" s="1"/>
  <c r="S27" i="38"/>
  <c r="AE28" i="42" s="1"/>
  <c r="H27" i="38"/>
  <c r="T28" i="42" s="1"/>
  <c r="L27" i="38"/>
  <c r="X28" i="42" s="1"/>
  <c r="P27" i="38"/>
  <c r="AB28" i="42" s="1"/>
  <c r="U27" i="38"/>
  <c r="AG28" i="42" s="1"/>
  <c r="I27" i="38"/>
  <c r="U28" i="42" s="1"/>
  <c r="M27" i="38"/>
  <c r="Y28" i="42" s="1"/>
  <c r="Q27" i="38"/>
  <c r="AC28" i="42" s="1"/>
  <c r="F27" i="38"/>
  <c r="R28" i="42" s="1"/>
  <c r="J27" i="38"/>
  <c r="V28" i="42" s="1"/>
  <c r="R27" i="38"/>
  <c r="AD28" i="42" s="1"/>
  <c r="H29" i="38"/>
  <c r="T30" i="42" s="1"/>
  <c r="L29" i="38"/>
  <c r="X30" i="42" s="1"/>
  <c r="P29" i="38"/>
  <c r="AB30" i="42" s="1"/>
  <c r="U29" i="38"/>
  <c r="AG30" i="42" s="1"/>
  <c r="I29" i="38"/>
  <c r="U30" i="42" s="1"/>
  <c r="M29" i="38"/>
  <c r="Y30" i="42" s="1"/>
  <c r="Q29" i="38"/>
  <c r="AC30" i="42" s="1"/>
  <c r="F29" i="38"/>
  <c r="R30" i="42" s="1"/>
  <c r="J29" i="38"/>
  <c r="V30" i="42" s="1"/>
  <c r="R29" i="38"/>
  <c r="AD30" i="42" s="1"/>
  <c r="G29" i="38"/>
  <c r="S30" i="42" s="1"/>
  <c r="K29" i="38"/>
  <c r="W30" i="42" s="1"/>
  <c r="O29" i="38"/>
  <c r="AA30" i="42" s="1"/>
  <c r="S29" i="38"/>
  <c r="AE30" i="42" s="1"/>
  <c r="I31" i="38"/>
  <c r="U32" i="42" s="1"/>
  <c r="M31" i="38"/>
  <c r="Y32" i="42" s="1"/>
  <c r="Q31" i="38"/>
  <c r="AC32" i="42" s="1"/>
  <c r="F31" i="38"/>
  <c r="R32" i="42" s="1"/>
  <c r="J31" i="38"/>
  <c r="V32" i="42" s="1"/>
  <c r="R31" i="38"/>
  <c r="AD32" i="42" s="1"/>
  <c r="G31" i="38"/>
  <c r="S32" i="42" s="1"/>
  <c r="K31" i="38"/>
  <c r="W32" i="42" s="1"/>
  <c r="O31" i="38"/>
  <c r="AA32" i="42" s="1"/>
  <c r="S31" i="38"/>
  <c r="AE32" i="42" s="1"/>
  <c r="H31" i="38"/>
  <c r="T32" i="42" s="1"/>
  <c r="L31" i="38"/>
  <c r="X32" i="42" s="1"/>
  <c r="P31" i="38"/>
  <c r="AB32" i="42" s="1"/>
  <c r="U31" i="38"/>
  <c r="AG32" i="42" s="1"/>
  <c r="U33" i="38"/>
  <c r="AG34" i="42" s="1"/>
  <c r="L33" i="38"/>
  <c r="X34" i="42" s="1"/>
  <c r="Q33" i="38"/>
  <c r="AC34" i="42" s="1"/>
  <c r="F33" i="38"/>
  <c r="R34" i="42" s="1"/>
  <c r="J33" i="38"/>
  <c r="V34" i="42" s="1"/>
  <c r="R33" i="38"/>
  <c r="AD34" i="42" s="1"/>
  <c r="G33" i="38"/>
  <c r="S34" i="42" s="1"/>
  <c r="K33" i="38"/>
  <c r="W34" i="42" s="1"/>
  <c r="O33" i="38"/>
  <c r="AA34" i="42" s="1"/>
  <c r="S33" i="38"/>
  <c r="AE34" i="42" s="1"/>
  <c r="P33" i="38"/>
  <c r="AB34" i="42" s="1"/>
  <c r="H33" i="38"/>
  <c r="T34" i="42" s="1"/>
  <c r="J35" i="38"/>
  <c r="V36" i="42" s="1"/>
  <c r="Q35" i="38"/>
  <c r="AC36" i="42" s="1"/>
  <c r="F35" i="38"/>
  <c r="R36" i="42" s="1"/>
  <c r="R35" i="38"/>
  <c r="AD36" i="42" s="1"/>
  <c r="I35" i="38"/>
  <c r="U36" i="42" s="1"/>
  <c r="G35" i="38"/>
  <c r="S36" i="42" s="1"/>
  <c r="K35" i="38"/>
  <c r="W36" i="42" s="1"/>
  <c r="O35" i="38"/>
  <c r="AA36" i="42" s="1"/>
  <c r="S35" i="38"/>
  <c r="AE36" i="42" s="1"/>
  <c r="H35" i="38"/>
  <c r="T36" i="42" s="1"/>
  <c r="L35" i="38"/>
  <c r="X36" i="42" s="1"/>
  <c r="P35" i="38"/>
  <c r="AB36" i="42" s="1"/>
  <c r="U35" i="38"/>
  <c r="AG36" i="42" s="1"/>
  <c r="M35" i="38"/>
  <c r="Y36" i="42" s="1"/>
  <c r="P37" i="38"/>
  <c r="AB38" i="42" s="1"/>
  <c r="Q37" i="38"/>
  <c r="AC38" i="42" s="1"/>
  <c r="S37" i="38"/>
  <c r="AE38" i="42" s="1"/>
  <c r="K37" i="38"/>
  <c r="W38" i="42" s="1"/>
  <c r="J37" i="38"/>
  <c r="V38" i="42" s="1"/>
  <c r="K39" i="38"/>
  <c r="W40" i="42" s="1"/>
  <c r="U39" i="38"/>
  <c r="AG40" i="42" s="1"/>
  <c r="H39" i="38"/>
  <c r="T40" i="42" s="1"/>
  <c r="L39" i="38"/>
  <c r="X40" i="42" s="1"/>
  <c r="S39" i="38"/>
  <c r="AE40" i="42" s="1"/>
  <c r="P39" i="38"/>
  <c r="AB40" i="42" s="1"/>
  <c r="I39" i="38"/>
  <c r="U40" i="42" s="1"/>
  <c r="M39" i="38"/>
  <c r="Y40" i="42" s="1"/>
  <c r="Q39" i="38"/>
  <c r="AC40" i="42" s="1"/>
  <c r="F39" i="38"/>
  <c r="R40" i="42" s="1"/>
  <c r="J39" i="38"/>
  <c r="V40" i="42" s="1"/>
  <c r="R39" i="38"/>
  <c r="AD40" i="42" s="1"/>
  <c r="O39" i="38"/>
  <c r="AA40" i="42" s="1"/>
  <c r="G39" i="38"/>
  <c r="S40" i="42" s="1"/>
  <c r="P41" i="38"/>
  <c r="AB42" i="42" s="1"/>
  <c r="H41" i="38"/>
  <c r="T42" i="42" s="1"/>
  <c r="M41" i="38"/>
  <c r="Y42" i="42" s="1"/>
  <c r="F41" i="38"/>
  <c r="R42" i="42" s="1"/>
  <c r="J41" i="38"/>
  <c r="V42" i="42" s="1"/>
  <c r="R41" i="38"/>
  <c r="AD42" i="42" s="1"/>
  <c r="G41" i="38"/>
  <c r="S42" i="42" s="1"/>
  <c r="K41" i="38"/>
  <c r="W42" i="42" s="1"/>
  <c r="O41" i="38"/>
  <c r="AA42" i="42" s="1"/>
  <c r="S41" i="38"/>
  <c r="AE42" i="42" s="1"/>
  <c r="U41" i="38"/>
  <c r="AG42" i="42" s="1"/>
  <c r="L41" i="38"/>
  <c r="X42" i="42" s="1"/>
  <c r="M43" i="38"/>
  <c r="Y44" i="42" s="1"/>
  <c r="J43" i="38"/>
  <c r="V44" i="42" s="1"/>
  <c r="F43" i="38"/>
  <c r="R44" i="42" s="1"/>
  <c r="R43" i="38"/>
  <c r="AD44" i="42" s="1"/>
  <c r="G43" i="38"/>
  <c r="S44" i="42" s="1"/>
  <c r="K43" i="38"/>
  <c r="W44" i="42" s="1"/>
  <c r="O43" i="38"/>
  <c r="AA44" i="42" s="1"/>
  <c r="S43" i="38"/>
  <c r="AE44" i="42" s="1"/>
  <c r="H43" i="38"/>
  <c r="T44" i="42" s="1"/>
  <c r="L43" i="38"/>
  <c r="X44" i="42" s="1"/>
  <c r="P43" i="38"/>
  <c r="AB44" i="42" s="1"/>
  <c r="U43" i="38"/>
  <c r="AG44" i="42" s="1"/>
  <c r="Q43" i="38"/>
  <c r="AC44" i="42" s="1"/>
  <c r="I43" i="38"/>
  <c r="U44" i="42" s="1"/>
  <c r="H45" i="38"/>
  <c r="T46" i="42" s="1"/>
  <c r="L45" i="38"/>
  <c r="X46" i="42" s="1"/>
  <c r="P45" i="38"/>
  <c r="AB46" i="42" s="1"/>
  <c r="U45" i="38"/>
  <c r="AG46" i="42" s="1"/>
  <c r="I45" i="38"/>
  <c r="U46" i="42" s="1"/>
  <c r="M45" i="38"/>
  <c r="Y46" i="42" s="1"/>
  <c r="Q45" i="38"/>
  <c r="AC46" i="42" s="1"/>
  <c r="J45" i="38"/>
  <c r="V46" i="42" s="1"/>
  <c r="O45" i="38"/>
  <c r="AA46" i="42" s="1"/>
  <c r="G45" i="38"/>
  <c r="S46" i="42" s="1"/>
  <c r="R45" i="38"/>
  <c r="AD46" i="42" s="1"/>
  <c r="F45" i="38"/>
  <c r="R46" i="42" s="1"/>
  <c r="G47" i="38"/>
  <c r="S48" i="42" s="1"/>
  <c r="L47" i="38"/>
  <c r="X48" i="42" s="1"/>
  <c r="O47" i="38"/>
  <c r="AA48" i="42" s="1"/>
  <c r="P47" i="38"/>
  <c r="AB48" i="42" s="1"/>
  <c r="H47" i="38"/>
  <c r="T48" i="42" s="1"/>
  <c r="U47" i="38"/>
  <c r="AG48" i="42" s="1"/>
  <c r="I47" i="38"/>
  <c r="U48" i="42" s="1"/>
  <c r="M47" i="38"/>
  <c r="Y48" i="42" s="1"/>
  <c r="Q47" i="38"/>
  <c r="AC48" i="42" s="1"/>
  <c r="F47" i="38"/>
  <c r="R48" i="42" s="1"/>
  <c r="J47" i="38"/>
  <c r="V48" i="42" s="1"/>
  <c r="R47" i="38"/>
  <c r="AD48" i="42" s="1"/>
  <c r="S47" i="38"/>
  <c r="AE48" i="42" s="1"/>
  <c r="K47" i="38"/>
  <c r="W48" i="42" s="1"/>
  <c r="Q49" i="38"/>
  <c r="AC50" i="42" s="1"/>
  <c r="F49" i="38"/>
  <c r="R50" i="42" s="1"/>
  <c r="J49" i="38"/>
  <c r="V50" i="42" s="1"/>
  <c r="R49" i="38"/>
  <c r="AD50" i="42" s="1"/>
  <c r="G49" i="38"/>
  <c r="S50" i="42" s="1"/>
  <c r="K49" i="38"/>
  <c r="W50" i="42" s="1"/>
  <c r="O49" i="38"/>
  <c r="AA50" i="42" s="1"/>
  <c r="S49" i="38"/>
  <c r="AE50" i="42" s="1"/>
  <c r="U49" i="38"/>
  <c r="AG50" i="42" s="1"/>
  <c r="L49" i="38"/>
  <c r="X50" i="42" s="1"/>
  <c r="P49" i="38"/>
  <c r="AB50" i="42" s="1"/>
  <c r="H49" i="38"/>
  <c r="T50" i="42" s="1"/>
  <c r="I51" i="38"/>
  <c r="U52" i="42" s="1"/>
  <c r="R51" i="38"/>
  <c r="AD52" i="42" s="1"/>
  <c r="Q51" i="38"/>
  <c r="AC52" i="42" s="1"/>
  <c r="F51" i="38"/>
  <c r="R52" i="42" s="1"/>
  <c r="J51" i="38"/>
  <c r="V52" i="42" s="1"/>
  <c r="G51" i="38"/>
  <c r="S52" i="42" s="1"/>
  <c r="K51" i="38"/>
  <c r="W52" i="42" s="1"/>
  <c r="O51" i="38"/>
  <c r="AA52" i="42" s="1"/>
  <c r="S51" i="38"/>
  <c r="AE52" i="42" s="1"/>
  <c r="H51" i="38"/>
  <c r="T52" i="42" s="1"/>
  <c r="L51" i="38"/>
  <c r="X52" i="42" s="1"/>
  <c r="P51" i="38"/>
  <c r="AB52" i="42" s="1"/>
  <c r="U51" i="38"/>
  <c r="AG52" i="42" s="1"/>
  <c r="M51" i="38"/>
  <c r="Y52" i="42" s="1"/>
  <c r="P53" i="38"/>
  <c r="AB54" i="42" s="1"/>
  <c r="Q53" i="38"/>
  <c r="AC54" i="42" s="1"/>
  <c r="S53" i="38"/>
  <c r="AE54" i="42" s="1"/>
  <c r="R53" i="38"/>
  <c r="AD54" i="42" s="1"/>
  <c r="J53" i="38"/>
  <c r="V54" i="42" s="1"/>
  <c r="S55" i="38"/>
  <c r="AE56" i="42" s="1"/>
  <c r="H55" i="38"/>
  <c r="T56" i="42" s="1"/>
  <c r="U55" i="38"/>
  <c r="AG56" i="42" s="1"/>
  <c r="L55" i="38"/>
  <c r="X56" i="42" s="1"/>
  <c r="K55" i="38"/>
  <c r="W56" i="42" s="1"/>
  <c r="P55" i="38"/>
  <c r="AB56" i="42" s="1"/>
  <c r="I55" i="38"/>
  <c r="U56" i="42" s="1"/>
  <c r="M55" i="38"/>
  <c r="Y56" i="42" s="1"/>
  <c r="Q55" i="38"/>
  <c r="AC56" i="42" s="1"/>
  <c r="F55" i="38"/>
  <c r="R56" i="42" s="1"/>
  <c r="J55" i="38"/>
  <c r="V56" i="42" s="1"/>
  <c r="R55" i="38"/>
  <c r="AD56" i="42" s="1"/>
  <c r="O55" i="38"/>
  <c r="AA56" i="42" s="1"/>
  <c r="G55" i="38"/>
  <c r="S56" i="42" s="1"/>
  <c r="P57" i="38"/>
  <c r="AB58" i="42" s="1"/>
  <c r="M57" i="38"/>
  <c r="Y58" i="42" s="1"/>
  <c r="F57" i="38"/>
  <c r="R58" i="42" s="1"/>
  <c r="J57" i="38"/>
  <c r="V58" i="42" s="1"/>
  <c r="R57" i="38"/>
  <c r="AD58" i="42" s="1"/>
  <c r="G57" i="38"/>
  <c r="S58" i="42" s="1"/>
  <c r="K57" i="38"/>
  <c r="W58" i="42" s="1"/>
  <c r="O57" i="38"/>
  <c r="AA58" i="42" s="1"/>
  <c r="S57" i="38"/>
  <c r="AE58" i="42" s="1"/>
  <c r="H57" i="38"/>
  <c r="T58" i="42" s="1"/>
  <c r="U57" i="38"/>
  <c r="AG58" i="42" s="1"/>
  <c r="L57" i="38"/>
  <c r="X58" i="42" s="1"/>
  <c r="J59" i="38"/>
  <c r="V60" i="42" s="1"/>
  <c r="M59" i="38"/>
  <c r="Y60" i="42" s="1"/>
  <c r="F59" i="38"/>
  <c r="R60" i="42" s="1"/>
  <c r="R59" i="38"/>
  <c r="AD60" i="42" s="1"/>
  <c r="G59" i="38"/>
  <c r="S60" i="42" s="1"/>
  <c r="K59" i="38"/>
  <c r="W60" i="42" s="1"/>
  <c r="O59" i="38"/>
  <c r="AA60" i="42" s="1"/>
  <c r="S59" i="38"/>
  <c r="AE60" i="42" s="1"/>
  <c r="H59" i="38"/>
  <c r="T60" i="42" s="1"/>
  <c r="L59" i="38"/>
  <c r="X60" i="42" s="1"/>
  <c r="P59" i="38"/>
  <c r="AB60" i="42" s="1"/>
  <c r="U59" i="38"/>
  <c r="AG60" i="42" s="1"/>
  <c r="Q59" i="38"/>
  <c r="AC60" i="42" s="1"/>
  <c r="I59" i="38"/>
  <c r="U60" i="42" s="1"/>
  <c r="M9" i="38"/>
  <c r="Y10" i="42" s="1"/>
  <c r="P9" i="38"/>
  <c r="AB10" i="42" s="1"/>
  <c r="H9" i="38"/>
  <c r="T10" i="42" s="1"/>
  <c r="F9" i="38"/>
  <c r="R10" i="42" s="1"/>
  <c r="O9" i="38"/>
  <c r="AA10" i="42" s="1"/>
  <c r="S9" i="38"/>
  <c r="AE10" i="42" s="1"/>
  <c r="I9" i="38"/>
  <c r="U10" i="42" s="1"/>
  <c r="G9" i="38"/>
  <c r="S10" i="42" s="1"/>
  <c r="R9" i="38"/>
  <c r="AD10" i="42" s="1"/>
  <c r="L9" i="38"/>
  <c r="X10" i="42" s="1"/>
  <c r="J9" i="38"/>
  <c r="V10" i="42" s="1"/>
  <c r="U9" i="38"/>
  <c r="AG10" i="42" s="1"/>
  <c r="Q9" i="38"/>
  <c r="AC10" i="42" s="1"/>
  <c r="K9" i="38"/>
  <c r="W10" i="42" s="1"/>
  <c r="M12" i="38"/>
  <c r="Y13" i="42" s="1"/>
  <c r="R12" i="38"/>
  <c r="AD13" i="42" s="1"/>
  <c r="F12" i="38"/>
  <c r="R13" i="42" s="1"/>
  <c r="Q12" i="38"/>
  <c r="AC13" i="42" s="1"/>
  <c r="K12" i="38"/>
  <c r="W13" i="42" s="1"/>
  <c r="U12" i="38"/>
  <c r="AG13" i="42" s="1"/>
  <c r="J12" i="38"/>
  <c r="V13" i="42" s="1"/>
  <c r="I12" i="38"/>
  <c r="U13" i="42" s="1"/>
  <c r="O12" i="38"/>
  <c r="AA13" i="42" s="1"/>
  <c r="L12" i="38"/>
  <c r="X13" i="42" s="1"/>
  <c r="G12" i="38"/>
  <c r="S13" i="42" s="1"/>
  <c r="S12" i="38"/>
  <c r="AE13" i="42" s="1"/>
  <c r="P12" i="38"/>
  <c r="AB13" i="42" s="1"/>
  <c r="I7" i="38"/>
  <c r="U8" i="42" s="1"/>
  <c r="U7" i="38"/>
  <c r="AG8" i="42" s="1"/>
  <c r="P7" i="38"/>
  <c r="AB8" i="42" s="1"/>
  <c r="D15" i="46"/>
  <c r="G7" i="38"/>
  <c r="S8" i="42" s="1"/>
  <c r="R7" i="38"/>
  <c r="AD8" i="42" s="1"/>
  <c r="M7" i="38"/>
  <c r="Y8" i="42" s="1"/>
  <c r="L7" i="38"/>
  <c r="X8" i="42" s="1"/>
  <c r="Q7" i="38"/>
  <c r="AC8" i="42" s="1"/>
  <c r="S7" i="38"/>
  <c r="AE8" i="42" s="1"/>
  <c r="K7" i="38"/>
  <c r="W8" i="42" s="1"/>
  <c r="J7" i="38"/>
  <c r="V8" i="42" s="1"/>
  <c r="H7" i="38"/>
  <c r="T8" i="42" s="1"/>
  <c r="O7" i="38"/>
  <c r="AA8" i="42" s="1"/>
  <c r="F7" i="38"/>
  <c r="R8" i="42" s="1"/>
  <c r="J10" i="38"/>
  <c r="V11" i="42" s="1"/>
  <c r="M10" i="38"/>
  <c r="Y11" i="42" s="1"/>
  <c r="G10" i="38"/>
  <c r="S11" i="42" s="1"/>
  <c r="P10" i="38"/>
  <c r="AB11" i="42" s="1"/>
  <c r="O10" i="38"/>
  <c r="AA11" i="42" s="1"/>
  <c r="Q10" i="38"/>
  <c r="AC11" i="42" s="1"/>
  <c r="R10" i="38"/>
  <c r="AD11" i="42" s="1"/>
  <c r="F10" i="38"/>
  <c r="R11" i="42" s="1"/>
  <c r="H10" i="38"/>
  <c r="T11" i="42" s="1"/>
  <c r="K10" i="38"/>
  <c r="W11" i="42" s="1"/>
  <c r="U10" i="38"/>
  <c r="AG11" i="42" s="1"/>
  <c r="S10" i="38"/>
  <c r="AE11" i="42" s="1"/>
  <c r="I10" i="38"/>
  <c r="U11" i="42" s="1"/>
  <c r="L10" i="38"/>
  <c r="X11" i="42" s="1"/>
  <c r="L11" i="38"/>
  <c r="X12" i="42" s="1"/>
  <c r="K11" i="38"/>
  <c r="W12" i="42" s="1"/>
  <c r="I11" i="38"/>
  <c r="U12" i="42" s="1"/>
  <c r="F11" i="38"/>
  <c r="R12" i="42" s="1"/>
  <c r="M11" i="38"/>
  <c r="Y12" i="42" s="1"/>
  <c r="P11" i="38"/>
  <c r="AB12" i="42" s="1"/>
  <c r="O11" i="38"/>
  <c r="AA12" i="42" s="1"/>
  <c r="Q11" i="38"/>
  <c r="AC12" i="42" s="1"/>
  <c r="J11" i="38"/>
  <c r="V12" i="42" s="1"/>
  <c r="H11" i="38"/>
  <c r="T12" i="42" s="1"/>
  <c r="U11" i="38"/>
  <c r="AG12" i="42" s="1"/>
  <c r="S11" i="38"/>
  <c r="AE12" i="42" s="1"/>
  <c r="R11" i="38"/>
  <c r="AD12" i="42" s="1"/>
  <c r="G11" i="38"/>
  <c r="S12" i="42" s="1"/>
  <c r="M6" i="38"/>
  <c r="Y7" i="42" s="1"/>
  <c r="G6" i="38"/>
  <c r="S7" i="42" s="1"/>
  <c r="P6" i="38"/>
  <c r="AB7" i="42" s="1"/>
  <c r="O6" i="38"/>
  <c r="AA7" i="42" s="1"/>
  <c r="Q6" i="38"/>
  <c r="AC7" i="42" s="1"/>
  <c r="S6" i="38"/>
  <c r="AE7" i="42" s="1"/>
  <c r="U6" i="38"/>
  <c r="AG7" i="42" s="1"/>
  <c r="H6" i="38"/>
  <c r="T7" i="42" s="1"/>
  <c r="F6" i="38"/>
  <c r="R7" i="42" s="1"/>
  <c r="J6" i="38"/>
  <c r="V7" i="42" s="1"/>
  <c r="I6" i="38"/>
  <c r="U7" i="42" s="1"/>
  <c r="R6" i="38"/>
  <c r="AD7" i="42" s="1"/>
  <c r="L6" i="38"/>
  <c r="X7" i="42" s="1"/>
  <c r="K6" i="38"/>
  <c r="W7" i="42" s="1"/>
  <c r="G66" i="38"/>
  <c r="B67" i="38" l="1" a="1"/>
  <c r="A6" i="42"/>
  <c r="E6" i="42" l="1"/>
  <c r="G65" i="38" l="1"/>
  <c r="H4" i="42"/>
  <c r="H53" i="42" l="1"/>
  <c r="H54" i="42"/>
  <c r="H56" i="42"/>
  <c r="H50" i="42"/>
  <c r="H57" i="42"/>
  <c r="H58" i="42"/>
  <c r="H60" i="42"/>
  <c r="H52" i="42"/>
  <c r="H59" i="42"/>
  <c r="H55" i="42"/>
  <c r="H51" i="42"/>
  <c r="H32" i="42"/>
  <c r="H36" i="42"/>
  <c r="H40" i="42"/>
  <c r="H16" i="42"/>
  <c r="H24" i="42"/>
  <c r="H48" i="42"/>
  <c r="H23" i="42"/>
  <c r="H45" i="42"/>
  <c r="H31" i="42"/>
  <c r="H15" i="42"/>
  <c r="H30" i="42"/>
  <c r="H19" i="42"/>
  <c r="H39" i="42"/>
  <c r="H28" i="42"/>
  <c r="H41" i="42"/>
  <c r="H44" i="42"/>
  <c r="H25" i="42"/>
  <c r="H26" i="42"/>
  <c r="H17" i="42"/>
  <c r="H49" i="42"/>
  <c r="H29" i="42"/>
  <c r="H37" i="42"/>
  <c r="H43" i="42"/>
  <c r="H21" i="42"/>
  <c r="H46" i="42"/>
  <c r="H22" i="42"/>
  <c r="H27" i="42"/>
  <c r="H33" i="42"/>
  <c r="H47" i="42"/>
  <c r="H35" i="42"/>
  <c r="H14" i="42"/>
  <c r="H42" i="42"/>
  <c r="H20" i="42"/>
  <c r="H34" i="42"/>
  <c r="H18" i="42"/>
  <c r="H38" i="42"/>
  <c r="H7" i="42"/>
  <c r="H8" i="42"/>
  <c r="H9" i="42"/>
  <c r="H10" i="42"/>
  <c r="H11" i="42"/>
  <c r="H12" i="42"/>
  <c r="H13" i="42"/>
  <c r="G67" i="38"/>
  <c r="I4" i="42" s="1"/>
  <c r="H6" i="42"/>
  <c r="I5" i="38"/>
  <c r="H5" i="42" l="1"/>
  <c r="F15" i="46" s="1"/>
  <c r="B50" i="46" s="1"/>
  <c r="E4" i="38"/>
  <c r="F19" i="46"/>
  <c r="G68" i="38"/>
  <c r="D19" i="46" s="1"/>
  <c r="U6" i="42"/>
  <c r="U4" i="42" s="1"/>
  <c r="K5" i="38"/>
  <c r="M5" i="38"/>
  <c r="G5" i="38"/>
  <c r="O5" i="38"/>
  <c r="J5" i="38"/>
  <c r="P5" i="38"/>
  <c r="F5" i="38"/>
  <c r="U5" i="38"/>
  <c r="L5" i="38"/>
  <c r="H5" i="38"/>
  <c r="S5" i="38"/>
  <c r="Q5" i="38"/>
  <c r="R5" i="38"/>
  <c r="E33" i="38" l="1"/>
  <c r="I34" i="42" s="1"/>
  <c r="J34" i="42" s="1"/>
  <c r="E44" i="38"/>
  <c r="I45" i="42" s="1"/>
  <c r="J45" i="42" s="1"/>
  <c r="E59" i="38"/>
  <c r="I60" i="42" s="1"/>
  <c r="J60" i="42" s="1"/>
  <c r="E49" i="38"/>
  <c r="I50" i="42" s="1"/>
  <c r="J50" i="42" s="1"/>
  <c r="E43" i="38"/>
  <c r="I44" i="42" s="1"/>
  <c r="J44" i="42" s="1"/>
  <c r="E57" i="38"/>
  <c r="I58" i="42" s="1"/>
  <c r="J58" i="42" s="1"/>
  <c r="E41" i="38"/>
  <c r="I42" i="42" s="1"/>
  <c r="J42" i="42" s="1"/>
  <c r="E45" i="38"/>
  <c r="I46" i="42" s="1"/>
  <c r="J46" i="42" s="1"/>
  <c r="E38" i="38"/>
  <c r="I39" i="42" s="1"/>
  <c r="J39" i="42" s="1"/>
  <c r="E13" i="38"/>
  <c r="I14" i="42" s="1"/>
  <c r="J14" i="42" s="1"/>
  <c r="E55" i="38"/>
  <c r="I56" i="42" s="1"/>
  <c r="J56" i="42" s="1"/>
  <c r="E47" i="38"/>
  <c r="I48" i="42" s="1"/>
  <c r="J48" i="42" s="1"/>
  <c r="E39" i="38"/>
  <c r="I40" i="42" s="1"/>
  <c r="J40" i="42" s="1"/>
  <c r="E31" i="38"/>
  <c r="I32" i="42" s="1"/>
  <c r="J32" i="42" s="1"/>
  <c r="E27" i="38"/>
  <c r="I28" i="42" s="1"/>
  <c r="J28" i="42" s="1"/>
  <c r="E23" i="38"/>
  <c r="I24" i="42" s="1"/>
  <c r="J24" i="42" s="1"/>
  <c r="E19" i="38"/>
  <c r="I20" i="42" s="1"/>
  <c r="J20" i="42" s="1"/>
  <c r="E15" i="38"/>
  <c r="I16" i="42" s="1"/>
  <c r="J16" i="42" s="1"/>
  <c r="E52" i="38"/>
  <c r="I53" i="42" s="1"/>
  <c r="J53" i="42" s="1"/>
  <c r="E36" i="38"/>
  <c r="I37" i="42" s="1"/>
  <c r="J37" i="42" s="1"/>
  <c r="E50" i="38"/>
  <c r="I51" i="42" s="1"/>
  <c r="J51" i="42" s="1"/>
  <c r="E30" i="38"/>
  <c r="I31" i="42" s="1"/>
  <c r="J31" i="42" s="1"/>
  <c r="E22" i="38"/>
  <c r="I23" i="42" s="1"/>
  <c r="J23" i="42" s="1"/>
  <c r="E26" i="38"/>
  <c r="I27" i="42" s="1"/>
  <c r="J27" i="42" s="1"/>
  <c r="E51" i="38"/>
  <c r="I52" i="42" s="1"/>
  <c r="J52" i="42" s="1"/>
  <c r="E35" i="38"/>
  <c r="I36" i="42" s="1"/>
  <c r="J36" i="42" s="1"/>
  <c r="E37" i="38"/>
  <c r="I38" i="42" s="1"/>
  <c r="J38" i="42" s="1"/>
  <c r="E17" i="38"/>
  <c r="I18" i="42" s="1"/>
  <c r="J18" i="42" s="1"/>
  <c r="E56" i="38"/>
  <c r="I57" i="42" s="1"/>
  <c r="J57" i="42" s="1"/>
  <c r="E48" i="38"/>
  <c r="I49" i="42" s="1"/>
  <c r="J49" i="42" s="1"/>
  <c r="E40" i="38"/>
  <c r="I41" i="42" s="1"/>
  <c r="J41" i="42" s="1"/>
  <c r="E28" i="38"/>
  <c r="I29" i="42" s="1"/>
  <c r="J29" i="42" s="1"/>
  <c r="E20" i="38"/>
  <c r="I21" i="42" s="1"/>
  <c r="J21" i="42" s="1"/>
  <c r="E46" i="38"/>
  <c r="I47" i="42" s="1"/>
  <c r="J47" i="42" s="1"/>
  <c r="E34" i="38"/>
  <c r="I35" i="42" s="1"/>
  <c r="J35" i="42" s="1"/>
  <c r="E18" i="38"/>
  <c r="I19" i="42" s="1"/>
  <c r="J19" i="42" s="1"/>
  <c r="E29" i="38"/>
  <c r="I30" i="42" s="1"/>
  <c r="J30" i="42" s="1"/>
  <c r="E21" i="38"/>
  <c r="I22" i="42" s="1"/>
  <c r="J22" i="42" s="1"/>
  <c r="E54" i="38"/>
  <c r="I55" i="42" s="1"/>
  <c r="J55" i="42" s="1"/>
  <c r="E24" i="38"/>
  <c r="I25" i="42" s="1"/>
  <c r="J25" i="42" s="1"/>
  <c r="E16" i="38"/>
  <c r="I17" i="42" s="1"/>
  <c r="J17" i="42" s="1"/>
  <c r="E58" i="38"/>
  <c r="I59" i="42" s="1"/>
  <c r="J59" i="42" s="1"/>
  <c r="E14" i="38"/>
  <c r="I15" i="42" s="1"/>
  <c r="J15" i="42" s="1"/>
  <c r="E53" i="38"/>
  <c r="I54" i="42" s="1"/>
  <c r="J54" i="42" s="1"/>
  <c r="E25" i="38"/>
  <c r="I26" i="42" s="1"/>
  <c r="J26" i="42" s="1"/>
  <c r="E42" i="38"/>
  <c r="I43" i="42" s="1"/>
  <c r="J43" i="42" s="1"/>
  <c r="E32" i="38"/>
  <c r="I33" i="42" s="1"/>
  <c r="J33" i="42" s="1"/>
  <c r="F20" i="46"/>
  <c r="E10" i="38"/>
  <c r="E5" i="38"/>
  <c r="I6" i="42" s="1"/>
  <c r="E12" i="38"/>
  <c r="E6" i="38"/>
  <c r="I7" i="42" s="1"/>
  <c r="J7" i="42" s="1"/>
  <c r="E9" i="38"/>
  <c r="I10" i="42" s="1"/>
  <c r="J10" i="42" s="1"/>
  <c r="E8" i="38"/>
  <c r="I9" i="42" s="1"/>
  <c r="J9" i="42" s="1"/>
  <c r="E11" i="38"/>
  <c r="I12" i="42" s="1"/>
  <c r="J12" i="42" s="1"/>
  <c r="E7" i="38"/>
  <c r="AA6" i="42"/>
  <c r="AA4" i="42" s="1"/>
  <c r="AC6" i="42"/>
  <c r="AC4" i="42" s="1"/>
  <c r="R6" i="42"/>
  <c r="R4" i="42" s="1"/>
  <c r="S6" i="42"/>
  <c r="S4" i="42" s="1"/>
  <c r="AE6" i="42"/>
  <c r="AE4" i="42" s="1"/>
  <c r="AB6" i="42"/>
  <c r="AB4" i="42" s="1"/>
  <c r="Y6" i="42"/>
  <c r="Y4" i="42" s="1"/>
  <c r="AD6" i="42"/>
  <c r="AD4" i="42" s="1"/>
  <c r="T6" i="42"/>
  <c r="T4" i="42" s="1"/>
  <c r="X6" i="42"/>
  <c r="X4" i="42" s="1"/>
  <c r="V6" i="42"/>
  <c r="V4" i="42" s="1"/>
  <c r="AG6" i="42"/>
  <c r="AG4" i="42" s="1"/>
  <c r="W6" i="42"/>
  <c r="W4" i="42" s="1"/>
  <c r="AH4" i="42" l="1"/>
  <c r="N10" i="38"/>
  <c r="I11" i="42"/>
  <c r="J11" i="42" s="1"/>
  <c r="N12" i="38"/>
  <c r="I13" i="42"/>
  <c r="J13" i="42" s="1"/>
  <c r="N7" i="38"/>
  <c r="I8" i="42"/>
  <c r="J8" i="42" s="1"/>
  <c r="N24" i="38"/>
  <c r="N20" i="38"/>
  <c r="N31" i="38"/>
  <c r="N25" i="38"/>
  <c r="N14" i="38"/>
  <c r="N54" i="38"/>
  <c r="N18" i="38"/>
  <c r="N28" i="38"/>
  <c r="N35" i="38"/>
  <c r="N50" i="38"/>
  <c r="N19" i="38"/>
  <c r="N39" i="38"/>
  <c r="N33" i="38"/>
  <c r="N32" i="38"/>
  <c r="N53" i="38"/>
  <c r="N58" i="38"/>
  <c r="N21" i="38"/>
  <c r="N34" i="38"/>
  <c r="N40" i="38"/>
  <c r="N17" i="38"/>
  <c r="N51" i="38"/>
  <c r="N36" i="38"/>
  <c r="N23" i="38"/>
  <c r="N47" i="38"/>
  <c r="N13" i="38"/>
  <c r="N45" i="38"/>
  <c r="N42" i="38"/>
  <c r="N16" i="38"/>
  <c r="N29" i="38"/>
  <c r="N46" i="38"/>
  <c r="N48" i="38"/>
  <c r="N37" i="38"/>
  <c r="N26" i="38"/>
  <c r="N22" i="38"/>
  <c r="N52" i="38"/>
  <c r="N27" i="38"/>
  <c r="N55" i="38"/>
  <c r="N41" i="38"/>
  <c r="N49" i="38"/>
  <c r="N15" i="38"/>
  <c r="N38" i="38"/>
  <c r="N43" i="38"/>
  <c r="N59" i="38"/>
  <c r="N44" i="38"/>
  <c r="N56" i="38"/>
  <c r="N30" i="38"/>
  <c r="N57" i="38"/>
  <c r="N8" i="38"/>
  <c r="Z9" i="42" s="1"/>
  <c r="AH9" i="42" s="1"/>
  <c r="N6" i="38"/>
  <c r="V6" i="38" s="1"/>
  <c r="N5" i="38"/>
  <c r="N11" i="38"/>
  <c r="Z12" i="42" s="1"/>
  <c r="AH12" i="42" s="1"/>
  <c r="N9" i="38"/>
  <c r="V9" i="38" s="1"/>
  <c r="L10" i="42"/>
  <c r="K10" i="42" s="1"/>
  <c r="L9" i="42"/>
  <c r="K9" i="42" s="1"/>
  <c r="L7" i="42"/>
  <c r="K7" i="42" s="1"/>
  <c r="L12" i="42"/>
  <c r="K12" i="42" s="1"/>
  <c r="J6" i="42"/>
  <c r="Z11" i="42" l="1"/>
  <c r="AH11" i="42" s="1"/>
  <c r="V10" i="38"/>
  <c r="V12" i="38"/>
  <c r="Z13" i="42"/>
  <c r="AH13" i="42" s="1"/>
  <c r="V7" i="38"/>
  <c r="Z8" i="42"/>
  <c r="AH8" i="42" s="1"/>
  <c r="J4" i="42"/>
  <c r="P12" i="42"/>
  <c r="O12" i="42"/>
  <c r="N12" i="42"/>
  <c r="M12" i="42"/>
  <c r="P7" i="42"/>
  <c r="O7" i="42"/>
  <c r="N7" i="42"/>
  <c r="M7" i="42"/>
  <c r="P9" i="42"/>
  <c r="O9" i="42"/>
  <c r="N9" i="42"/>
  <c r="M9" i="42"/>
  <c r="P10" i="42"/>
  <c r="O10" i="42"/>
  <c r="N10" i="42"/>
  <c r="M10" i="42"/>
  <c r="L8" i="42"/>
  <c r="K8" i="42" s="1"/>
  <c r="Z6" i="42"/>
  <c r="AH6" i="42" s="1"/>
  <c r="N2" i="38"/>
  <c r="F38" i="46" s="1"/>
  <c r="L31" i="42"/>
  <c r="K31" i="42" s="1"/>
  <c r="L58" i="42"/>
  <c r="K58" i="42" s="1"/>
  <c r="L57" i="42"/>
  <c r="K57" i="42" s="1"/>
  <c r="L45" i="42"/>
  <c r="K45" i="42" s="1"/>
  <c r="Z44" i="42"/>
  <c r="AH44" i="42" s="1"/>
  <c r="V43" i="38"/>
  <c r="L39" i="42"/>
  <c r="K39" i="42" s="1"/>
  <c r="L16" i="42"/>
  <c r="K16" i="42" s="1"/>
  <c r="L50" i="42"/>
  <c r="K50" i="42" s="1"/>
  <c r="L28" i="42"/>
  <c r="K28" i="42" s="1"/>
  <c r="L53" i="42"/>
  <c r="K53" i="42" s="1"/>
  <c r="L27" i="42"/>
  <c r="K27" i="42" s="1"/>
  <c r="L49" i="42"/>
  <c r="K49" i="42" s="1"/>
  <c r="L30" i="42"/>
  <c r="K30" i="42" s="1"/>
  <c r="L46" i="42"/>
  <c r="K46" i="42" s="1"/>
  <c r="L48" i="42"/>
  <c r="K48" i="42" s="1"/>
  <c r="L18" i="42"/>
  <c r="K18" i="42" s="1"/>
  <c r="L35" i="42"/>
  <c r="K35" i="42" s="1"/>
  <c r="L59" i="42"/>
  <c r="K59" i="42" s="1"/>
  <c r="L33" i="42"/>
  <c r="K33" i="42" s="1"/>
  <c r="L20" i="42"/>
  <c r="K20" i="42" s="1"/>
  <c r="L51" i="42"/>
  <c r="K51" i="42" s="1"/>
  <c r="L36" i="42"/>
  <c r="K36" i="42" s="1"/>
  <c r="L29" i="42"/>
  <c r="K29" i="42" s="1"/>
  <c r="L55" i="42"/>
  <c r="K55" i="42" s="1"/>
  <c r="L26" i="42"/>
  <c r="K26" i="42" s="1"/>
  <c r="L32" i="42"/>
  <c r="K32" i="42" s="1"/>
  <c r="L25" i="42"/>
  <c r="K25" i="42" s="1"/>
  <c r="Z58" i="42"/>
  <c r="AH58" i="42" s="1"/>
  <c r="V57" i="38"/>
  <c r="Z57" i="42"/>
  <c r="AH57" i="42" s="1"/>
  <c r="V56" i="38"/>
  <c r="Z45" i="42"/>
  <c r="AH45" i="42" s="1"/>
  <c r="V44" i="38"/>
  <c r="L44" i="42"/>
  <c r="K44" i="42" s="1"/>
  <c r="Z39" i="42"/>
  <c r="AH39" i="42" s="1"/>
  <c r="V38" i="38"/>
  <c r="Z16" i="42"/>
  <c r="AH16" i="42" s="1"/>
  <c r="V15" i="38"/>
  <c r="Z50" i="42"/>
  <c r="AH50" i="42" s="1"/>
  <c r="V49" i="38"/>
  <c r="Z28" i="42"/>
  <c r="AH28" i="42" s="1"/>
  <c r="V27" i="38"/>
  <c r="Z53" i="42"/>
  <c r="AH53" i="42" s="1"/>
  <c r="V52" i="38"/>
  <c r="Z27" i="42"/>
  <c r="AH27" i="42" s="1"/>
  <c r="V26" i="38"/>
  <c r="Z49" i="42"/>
  <c r="AH49" i="42" s="1"/>
  <c r="V48" i="38"/>
  <c r="Z30" i="42"/>
  <c r="AH30" i="42" s="1"/>
  <c r="V29" i="38"/>
  <c r="Z46" i="42"/>
  <c r="AH46" i="42" s="1"/>
  <c r="V45" i="38"/>
  <c r="Z48" i="42"/>
  <c r="AH48" i="42" s="1"/>
  <c r="V47" i="38"/>
  <c r="Z18" i="42"/>
  <c r="AH18" i="42" s="1"/>
  <c r="V17" i="38"/>
  <c r="Z35" i="42"/>
  <c r="AH35" i="42" s="1"/>
  <c r="V34" i="38"/>
  <c r="Z59" i="42"/>
  <c r="AH59" i="42" s="1"/>
  <c r="V58" i="38"/>
  <c r="Z33" i="42"/>
  <c r="AH33" i="42" s="1"/>
  <c r="V32" i="38"/>
  <c r="Z20" i="42"/>
  <c r="AH20" i="42" s="1"/>
  <c r="V19" i="38"/>
  <c r="Z51" i="42"/>
  <c r="AH51" i="42" s="1"/>
  <c r="V50" i="38"/>
  <c r="Z36" i="42"/>
  <c r="AH36" i="42" s="1"/>
  <c r="V35" i="38"/>
  <c r="Z29" i="42"/>
  <c r="AH29" i="42" s="1"/>
  <c r="V28" i="38"/>
  <c r="Z55" i="42"/>
  <c r="AH55" i="42" s="1"/>
  <c r="V54" i="38"/>
  <c r="Z26" i="42"/>
  <c r="AH26" i="42" s="1"/>
  <c r="V25" i="38"/>
  <c r="Z32" i="42"/>
  <c r="AH32" i="42" s="1"/>
  <c r="V31" i="38"/>
  <c r="Z25" i="42"/>
  <c r="AH25" i="42" s="1"/>
  <c r="V24" i="38"/>
  <c r="Z60" i="42"/>
  <c r="AH60" i="42" s="1"/>
  <c r="V59" i="38"/>
  <c r="L42" i="42"/>
  <c r="K42" i="42" s="1"/>
  <c r="L56" i="42"/>
  <c r="K56" i="42" s="1"/>
  <c r="L23" i="42"/>
  <c r="K23" i="42" s="1"/>
  <c r="L38" i="42"/>
  <c r="K38" i="42" s="1"/>
  <c r="L47" i="42"/>
  <c r="K47" i="42" s="1"/>
  <c r="L17" i="42"/>
  <c r="K17" i="42" s="1"/>
  <c r="L43" i="42"/>
  <c r="K43" i="42" s="1"/>
  <c r="L14" i="42"/>
  <c r="K14" i="42" s="1"/>
  <c r="L24" i="42"/>
  <c r="K24" i="42" s="1"/>
  <c r="L37" i="42"/>
  <c r="K37" i="42" s="1"/>
  <c r="L52" i="42"/>
  <c r="K52" i="42" s="1"/>
  <c r="L41" i="42"/>
  <c r="K41" i="42" s="1"/>
  <c r="L22" i="42"/>
  <c r="K22" i="42" s="1"/>
  <c r="L54" i="42"/>
  <c r="K54" i="42" s="1"/>
  <c r="L34" i="42"/>
  <c r="K34" i="42" s="1"/>
  <c r="L40" i="42"/>
  <c r="K40" i="42" s="1"/>
  <c r="L19" i="42"/>
  <c r="K19" i="42" s="1"/>
  <c r="L15" i="42"/>
  <c r="K15" i="42" s="1"/>
  <c r="L21" i="42"/>
  <c r="K21" i="42" s="1"/>
  <c r="Z31" i="42"/>
  <c r="AH31" i="42" s="1"/>
  <c r="V30" i="38"/>
  <c r="L60" i="42"/>
  <c r="K60" i="42" s="1"/>
  <c r="Z42" i="42"/>
  <c r="AH42" i="42" s="1"/>
  <c r="V41" i="38"/>
  <c r="Z56" i="42"/>
  <c r="AH56" i="42" s="1"/>
  <c r="V55" i="38"/>
  <c r="Z23" i="42"/>
  <c r="AH23" i="42" s="1"/>
  <c r="V22" i="38"/>
  <c r="Z38" i="42"/>
  <c r="AH38" i="42" s="1"/>
  <c r="V37" i="38"/>
  <c r="Z47" i="42"/>
  <c r="AH47" i="42" s="1"/>
  <c r="V46" i="38"/>
  <c r="Z17" i="42"/>
  <c r="AH17" i="42" s="1"/>
  <c r="V16" i="38"/>
  <c r="Z43" i="42"/>
  <c r="AH43" i="42" s="1"/>
  <c r="V42" i="38"/>
  <c r="Z14" i="42"/>
  <c r="AH14" i="42" s="1"/>
  <c r="V13" i="38"/>
  <c r="Z24" i="42"/>
  <c r="AH24" i="42" s="1"/>
  <c r="V23" i="38"/>
  <c r="Z37" i="42"/>
  <c r="AH37" i="42" s="1"/>
  <c r="V36" i="38"/>
  <c r="Z52" i="42"/>
  <c r="AH52" i="42" s="1"/>
  <c r="V51" i="38"/>
  <c r="Z41" i="42"/>
  <c r="AH41" i="42" s="1"/>
  <c r="V40" i="38"/>
  <c r="Z22" i="42"/>
  <c r="AH22" i="42" s="1"/>
  <c r="V21" i="38"/>
  <c r="Z54" i="42"/>
  <c r="AH54" i="42" s="1"/>
  <c r="V53" i="38"/>
  <c r="Z34" i="42"/>
  <c r="AH34" i="42" s="1"/>
  <c r="V33" i="38"/>
  <c r="Z40" i="42"/>
  <c r="AH40" i="42" s="1"/>
  <c r="V39" i="38"/>
  <c r="Z19" i="42"/>
  <c r="AH19" i="42" s="1"/>
  <c r="V18" i="38"/>
  <c r="Z15" i="42"/>
  <c r="AH15" i="42" s="1"/>
  <c r="V14" i="38"/>
  <c r="Z21" i="42"/>
  <c r="AH21" i="42" s="1"/>
  <c r="V20" i="38"/>
  <c r="V8" i="38"/>
  <c r="Z7" i="42"/>
  <c r="AH7" i="42" s="1"/>
  <c r="V11" i="38"/>
  <c r="L11" i="42"/>
  <c r="K11" i="42" s="1"/>
  <c r="V5" i="38"/>
  <c r="Z10" i="42"/>
  <c r="AH10" i="42" s="1"/>
  <c r="L13" i="42"/>
  <c r="K13" i="42" s="1"/>
  <c r="L6" i="42"/>
  <c r="Q7" i="42" l="1"/>
  <c r="AI7" i="42" s="1"/>
  <c r="AJ7" i="42" s="1"/>
  <c r="M5" i="37" s="1"/>
  <c r="Q10" i="42"/>
  <c r="AI10" i="42" s="1"/>
  <c r="AJ10" i="42" s="1"/>
  <c r="M8" i="37" s="1"/>
  <c r="Q9" i="42"/>
  <c r="AI9" i="42" s="1"/>
  <c r="AJ9" i="42" s="1"/>
  <c r="M7" i="37" s="1"/>
  <c r="Q12" i="42"/>
  <c r="AI12" i="42" s="1"/>
  <c r="AJ12" i="42" s="1"/>
  <c r="M10" i="37" s="1"/>
  <c r="K6" i="42"/>
  <c r="L4" i="42"/>
  <c r="F23" i="46" s="1"/>
  <c r="P13" i="42"/>
  <c r="O13" i="42"/>
  <c r="N13" i="42"/>
  <c r="M13" i="42"/>
  <c r="P11" i="42"/>
  <c r="O11" i="42"/>
  <c r="N11" i="42"/>
  <c r="M11" i="42"/>
  <c r="P60" i="42"/>
  <c r="O60" i="42"/>
  <c r="N60" i="42"/>
  <c r="M60" i="42"/>
  <c r="P21" i="42"/>
  <c r="O21" i="42"/>
  <c r="N21" i="42"/>
  <c r="M21" i="42"/>
  <c r="P15" i="42"/>
  <c r="O15" i="42"/>
  <c r="N15" i="42"/>
  <c r="M15" i="42"/>
  <c r="P19" i="42"/>
  <c r="O19" i="42"/>
  <c r="N19" i="42"/>
  <c r="M19" i="42"/>
  <c r="P40" i="42"/>
  <c r="O40" i="42"/>
  <c r="N40" i="42"/>
  <c r="M40" i="42"/>
  <c r="P34" i="42"/>
  <c r="O34" i="42"/>
  <c r="N34" i="42"/>
  <c r="M34" i="42"/>
  <c r="P54" i="42"/>
  <c r="O54" i="42"/>
  <c r="N54" i="42"/>
  <c r="M54" i="42"/>
  <c r="P22" i="42"/>
  <c r="O22" i="42"/>
  <c r="N22" i="42"/>
  <c r="M22" i="42"/>
  <c r="P41" i="42"/>
  <c r="O41" i="42"/>
  <c r="N41" i="42"/>
  <c r="M41" i="42"/>
  <c r="P52" i="42"/>
  <c r="O52" i="42"/>
  <c r="N52" i="42"/>
  <c r="M52" i="42"/>
  <c r="P37" i="42"/>
  <c r="O37" i="42"/>
  <c r="N37" i="42"/>
  <c r="M37" i="42"/>
  <c r="P24" i="42"/>
  <c r="O24" i="42"/>
  <c r="N24" i="42"/>
  <c r="M24" i="42"/>
  <c r="P14" i="42"/>
  <c r="O14" i="42"/>
  <c r="N14" i="42"/>
  <c r="M14" i="42"/>
  <c r="P43" i="42"/>
  <c r="O43" i="42"/>
  <c r="N43" i="42"/>
  <c r="M43" i="42"/>
  <c r="P17" i="42"/>
  <c r="O17" i="42"/>
  <c r="N17" i="42"/>
  <c r="M17" i="42"/>
  <c r="P47" i="42"/>
  <c r="O47" i="42"/>
  <c r="N47" i="42"/>
  <c r="M47" i="42"/>
  <c r="P38" i="42"/>
  <c r="O38" i="42"/>
  <c r="N38" i="42"/>
  <c r="M38" i="42"/>
  <c r="P23" i="42"/>
  <c r="O23" i="42"/>
  <c r="N23" i="42"/>
  <c r="M23" i="42"/>
  <c r="P56" i="42"/>
  <c r="O56" i="42"/>
  <c r="N56" i="42"/>
  <c r="M56" i="42"/>
  <c r="P42" i="42"/>
  <c r="O42" i="42"/>
  <c r="N42" i="42"/>
  <c r="M42" i="42"/>
  <c r="P44" i="42"/>
  <c r="O44" i="42"/>
  <c r="N44" i="42"/>
  <c r="M44" i="42"/>
  <c r="P25" i="42"/>
  <c r="O25" i="42"/>
  <c r="N25" i="42"/>
  <c r="M25" i="42"/>
  <c r="P32" i="42"/>
  <c r="O32" i="42"/>
  <c r="N32" i="42"/>
  <c r="M32" i="42"/>
  <c r="P26" i="42"/>
  <c r="O26" i="42"/>
  <c r="N26" i="42"/>
  <c r="M26" i="42"/>
  <c r="P55" i="42"/>
  <c r="O55" i="42"/>
  <c r="N55" i="42"/>
  <c r="M55" i="42"/>
  <c r="P29" i="42"/>
  <c r="O29" i="42"/>
  <c r="N29" i="42"/>
  <c r="M29" i="42"/>
  <c r="P36" i="42"/>
  <c r="O36" i="42"/>
  <c r="N36" i="42"/>
  <c r="M36" i="42"/>
  <c r="P51" i="42"/>
  <c r="O51" i="42"/>
  <c r="N51" i="42"/>
  <c r="M51" i="42"/>
  <c r="P20" i="42"/>
  <c r="O20" i="42"/>
  <c r="N20" i="42"/>
  <c r="M20" i="42"/>
  <c r="P33" i="42"/>
  <c r="O33" i="42"/>
  <c r="N33" i="42"/>
  <c r="M33" i="42"/>
  <c r="P59" i="42"/>
  <c r="O59" i="42"/>
  <c r="N59" i="42"/>
  <c r="M59" i="42"/>
  <c r="P35" i="42"/>
  <c r="O35" i="42"/>
  <c r="N35" i="42"/>
  <c r="M35" i="42"/>
  <c r="P18" i="42"/>
  <c r="O18" i="42"/>
  <c r="N18" i="42"/>
  <c r="M18" i="42"/>
  <c r="P48" i="42"/>
  <c r="O48" i="42"/>
  <c r="N48" i="42"/>
  <c r="M48" i="42"/>
  <c r="P46" i="42"/>
  <c r="O46" i="42"/>
  <c r="N46" i="42"/>
  <c r="M46" i="42"/>
  <c r="P30" i="42"/>
  <c r="O30" i="42"/>
  <c r="N30" i="42"/>
  <c r="M30" i="42"/>
  <c r="P49" i="42"/>
  <c r="O49" i="42"/>
  <c r="N49" i="42"/>
  <c r="M49" i="42"/>
  <c r="P27" i="42"/>
  <c r="O27" i="42"/>
  <c r="N27" i="42"/>
  <c r="M27" i="42"/>
  <c r="P53" i="42"/>
  <c r="O53" i="42"/>
  <c r="N53" i="42"/>
  <c r="M53" i="42"/>
  <c r="P28" i="42"/>
  <c r="O28" i="42"/>
  <c r="N28" i="42"/>
  <c r="M28" i="42"/>
  <c r="P50" i="42"/>
  <c r="O50" i="42"/>
  <c r="N50" i="42"/>
  <c r="M50" i="42"/>
  <c r="P16" i="42"/>
  <c r="O16" i="42"/>
  <c r="N16" i="42"/>
  <c r="M16" i="42"/>
  <c r="P39" i="42"/>
  <c r="O39" i="42"/>
  <c r="N39" i="42"/>
  <c r="M39" i="42"/>
  <c r="P45" i="42"/>
  <c r="O45" i="42"/>
  <c r="N45" i="42"/>
  <c r="M45" i="42"/>
  <c r="P57" i="42"/>
  <c r="O57" i="42"/>
  <c r="N57" i="42"/>
  <c r="M57" i="42"/>
  <c r="P58" i="42"/>
  <c r="O58" i="42"/>
  <c r="N58" i="42"/>
  <c r="M58" i="42"/>
  <c r="P31" i="42"/>
  <c r="O31" i="42"/>
  <c r="N31" i="42"/>
  <c r="M31" i="42"/>
  <c r="P8" i="42"/>
  <c r="O8" i="42"/>
  <c r="N8" i="42"/>
  <c r="M8" i="42"/>
  <c r="F46" i="46"/>
  <c r="N6" i="42" l="1"/>
  <c r="N4" i="42" s="1"/>
  <c r="F24" i="46" s="1"/>
  <c r="O6" i="42"/>
  <c r="O4" i="42" s="1"/>
  <c r="F25" i="46" s="1"/>
  <c r="Q8" i="42"/>
  <c r="AI8" i="42" s="1"/>
  <c r="AJ8" i="42" s="1"/>
  <c r="M6" i="37" s="1"/>
  <c r="Q31" i="42"/>
  <c r="AI31" i="42" s="1"/>
  <c r="AJ31" i="42" s="1"/>
  <c r="M29" i="37" s="1"/>
  <c r="Q57" i="42"/>
  <c r="AI57" i="42" s="1"/>
  <c r="AJ57" i="42" s="1"/>
  <c r="M55" i="37" s="1"/>
  <c r="Q44" i="42"/>
  <c r="AI44" i="42" s="1"/>
  <c r="AJ44" i="42" s="1"/>
  <c r="M42" i="37" s="1"/>
  <c r="Q52" i="42"/>
  <c r="AI52" i="42" s="1"/>
  <c r="AJ52" i="42" s="1"/>
  <c r="M50" i="37" s="1"/>
  <c r="Q53" i="42"/>
  <c r="AI53" i="42" s="1"/>
  <c r="AJ53" i="42" s="1"/>
  <c r="M51" i="37" s="1"/>
  <c r="Q35" i="42"/>
  <c r="AI35" i="42" s="1"/>
  <c r="AJ35" i="42" s="1"/>
  <c r="M33" i="37" s="1"/>
  <c r="Q59" i="42"/>
  <c r="AI59" i="42" s="1"/>
  <c r="AJ59" i="42" s="1"/>
  <c r="M57" i="37" s="1"/>
  <c r="Q38" i="42"/>
  <c r="AI38" i="42" s="1"/>
  <c r="AJ38" i="42" s="1"/>
  <c r="M36" i="37" s="1"/>
  <c r="Q24" i="42"/>
  <c r="AI24" i="42" s="1"/>
  <c r="AJ24" i="42" s="1"/>
  <c r="M22" i="37" s="1"/>
  <c r="Q41" i="42"/>
  <c r="AI41" i="42" s="1"/>
  <c r="AJ41" i="42" s="1"/>
  <c r="M39" i="37" s="1"/>
  <c r="Q54" i="42"/>
  <c r="AI54" i="42" s="1"/>
  <c r="AJ54" i="42" s="1"/>
  <c r="M52" i="37" s="1"/>
  <c r="Q13" i="42"/>
  <c r="AI13" i="42" s="1"/>
  <c r="AJ13" i="42" s="1"/>
  <c r="M11" i="37" s="1"/>
  <c r="P6" i="42"/>
  <c r="P4" i="42" s="1"/>
  <c r="F27" i="46" s="1"/>
  <c r="M6" i="42"/>
  <c r="M4" i="42" s="1"/>
  <c r="F26" i="46" s="1"/>
  <c r="Q58" i="42"/>
  <c r="AI58" i="42" s="1"/>
  <c r="AJ58" i="42" s="1"/>
  <c r="M56" i="37" s="1"/>
  <c r="Q45" i="42"/>
  <c r="AI45" i="42" s="1"/>
  <c r="AJ45" i="42" s="1"/>
  <c r="M43" i="37" s="1"/>
  <c r="Q39" i="42"/>
  <c r="AI39" i="42" s="1"/>
  <c r="AJ39" i="42" s="1"/>
  <c r="M37" i="37" s="1"/>
  <c r="Q16" i="42"/>
  <c r="AI16" i="42" s="1"/>
  <c r="AJ16" i="42" s="1"/>
  <c r="M14" i="37" s="1"/>
  <c r="Q50" i="42"/>
  <c r="AI50" i="42" s="1"/>
  <c r="AJ50" i="42" s="1"/>
  <c r="M48" i="37" s="1"/>
  <c r="Q28" i="42"/>
  <c r="AI28" i="42" s="1"/>
  <c r="AJ28" i="42" s="1"/>
  <c r="M26" i="37" s="1"/>
  <c r="Q27" i="42"/>
  <c r="AI27" i="42" s="1"/>
  <c r="AJ27" i="42" s="1"/>
  <c r="M25" i="37" s="1"/>
  <c r="Q49" i="42"/>
  <c r="AI49" i="42" s="1"/>
  <c r="AJ49" i="42" s="1"/>
  <c r="M47" i="37" s="1"/>
  <c r="Q30" i="42"/>
  <c r="AI30" i="42" s="1"/>
  <c r="AJ30" i="42" s="1"/>
  <c r="M28" i="37" s="1"/>
  <c r="Q46" i="42"/>
  <c r="AI46" i="42" s="1"/>
  <c r="AJ46" i="42" s="1"/>
  <c r="M44" i="37" s="1"/>
  <c r="Q48" i="42"/>
  <c r="AI48" i="42" s="1"/>
  <c r="AJ48" i="42" s="1"/>
  <c r="M46" i="37" s="1"/>
  <c r="Q18" i="42"/>
  <c r="AI18" i="42" s="1"/>
  <c r="AJ18" i="42" s="1"/>
  <c r="M16" i="37" s="1"/>
  <c r="Q33" i="42"/>
  <c r="AI33" i="42" s="1"/>
  <c r="AJ33" i="42" s="1"/>
  <c r="M31" i="37" s="1"/>
  <c r="Q20" i="42"/>
  <c r="AI20" i="42" s="1"/>
  <c r="AJ20" i="42" s="1"/>
  <c r="M18" i="37" s="1"/>
  <c r="Q51" i="42"/>
  <c r="AI51" i="42" s="1"/>
  <c r="AJ51" i="42" s="1"/>
  <c r="M49" i="37" s="1"/>
  <c r="Q36" i="42"/>
  <c r="AI36" i="42" s="1"/>
  <c r="AJ36" i="42" s="1"/>
  <c r="M34" i="37" s="1"/>
  <c r="Q29" i="42"/>
  <c r="AI29" i="42" s="1"/>
  <c r="AJ29" i="42" s="1"/>
  <c r="M27" i="37" s="1"/>
  <c r="Q55" i="42"/>
  <c r="AI55" i="42" s="1"/>
  <c r="AJ55" i="42" s="1"/>
  <c r="M53" i="37" s="1"/>
  <c r="Q26" i="42"/>
  <c r="AI26" i="42" s="1"/>
  <c r="AJ26" i="42" s="1"/>
  <c r="M24" i="37" s="1"/>
  <c r="Q32" i="42"/>
  <c r="AI32" i="42" s="1"/>
  <c r="AJ32" i="42" s="1"/>
  <c r="M30" i="37" s="1"/>
  <c r="Q25" i="42"/>
  <c r="AI25" i="42" s="1"/>
  <c r="AJ25" i="42" s="1"/>
  <c r="M23" i="37" s="1"/>
  <c r="Q42" i="42"/>
  <c r="AI42" i="42" s="1"/>
  <c r="AJ42" i="42" s="1"/>
  <c r="M40" i="37" s="1"/>
  <c r="Q56" i="42"/>
  <c r="AI56" i="42" s="1"/>
  <c r="AJ56" i="42" s="1"/>
  <c r="M54" i="37" s="1"/>
  <c r="Q23" i="42"/>
  <c r="AI23" i="42" s="1"/>
  <c r="AJ23" i="42" s="1"/>
  <c r="M21" i="37" s="1"/>
  <c r="Q47" i="42"/>
  <c r="AI47" i="42" s="1"/>
  <c r="AJ47" i="42" s="1"/>
  <c r="M45" i="37" s="1"/>
  <c r="Q17" i="42"/>
  <c r="AI17" i="42" s="1"/>
  <c r="AJ17" i="42" s="1"/>
  <c r="M15" i="37" s="1"/>
  <c r="Q43" i="42"/>
  <c r="AI43" i="42" s="1"/>
  <c r="AJ43" i="42" s="1"/>
  <c r="M41" i="37" s="1"/>
  <c r="Q14" i="42"/>
  <c r="AI14" i="42" s="1"/>
  <c r="AJ14" i="42" s="1"/>
  <c r="M12" i="37" s="1"/>
  <c r="Q37" i="42"/>
  <c r="AI37" i="42" s="1"/>
  <c r="AJ37" i="42" s="1"/>
  <c r="M35" i="37" s="1"/>
  <c r="Q22" i="42"/>
  <c r="AI22" i="42" s="1"/>
  <c r="AJ22" i="42" s="1"/>
  <c r="M20" i="37" s="1"/>
  <c r="Q34" i="42"/>
  <c r="AI34" i="42" s="1"/>
  <c r="AJ34" i="42" s="1"/>
  <c r="M32" i="37" s="1"/>
  <c r="Q40" i="42"/>
  <c r="AI40" i="42" s="1"/>
  <c r="AJ40" i="42" s="1"/>
  <c r="M38" i="37" s="1"/>
  <c r="Q19" i="42"/>
  <c r="AI19" i="42" s="1"/>
  <c r="AJ19" i="42" s="1"/>
  <c r="M17" i="37" s="1"/>
  <c r="Q15" i="42"/>
  <c r="AI15" i="42" s="1"/>
  <c r="AJ15" i="42" s="1"/>
  <c r="M13" i="37" s="1"/>
  <c r="Q21" i="42"/>
  <c r="AI21" i="42" s="1"/>
  <c r="AJ21" i="42" s="1"/>
  <c r="M19" i="37" s="1"/>
  <c r="Q60" i="42"/>
  <c r="AI60" i="42" s="1"/>
  <c r="AJ60" i="42" s="1"/>
  <c r="M58" i="37" s="1"/>
  <c r="Q11" i="42"/>
  <c r="AI11" i="42" s="1"/>
  <c r="AJ11" i="42" s="1"/>
  <c r="M9" i="37" s="1"/>
  <c r="Q6" i="42" l="1"/>
  <c r="AI6" i="42" s="1"/>
  <c r="AJ6" i="42" s="1"/>
  <c r="M4" i="37" s="1"/>
  <c r="Q4" i="42"/>
  <c r="F49" i="46"/>
  <c r="F28" i="46" l="1"/>
  <c r="F47" i="46" s="1"/>
  <c r="B52" i="46" s="1"/>
  <c r="B51" i="46" s="1"/>
  <c r="B53" i="4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tc={9F46799C-8588-4CED-A57B-C06D4CA81E6F}</author>
  </authors>
  <commentList>
    <comment ref="D8" authorId="0" shapeId="0" xr:uid="{9F46799C-8588-4CED-A57B-C06D4CA81E6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Notar que regime tributário é o Simples Nacional, portanto a função não impacta no cálculo de impostos.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1"/>
        </ext>
      </extLst>
    </bk>
    <bk>
      <extLst>
        <ext uri="{3e2802c4-a4d2-4d8b-9148-e3be6c30e623}">
          <xlrd:rvb i="3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<sst xmlns="http://schemas.openxmlformats.org/spreadsheetml/2006/main" count="275" uniqueCount="238">
  <si>
    <t>Estimativa de Custo 100%</t>
  </si>
  <si>
    <t>CLIENTE: SECAMAQ</t>
  </si>
  <si>
    <t>REGIME TRIBUTÁRIO: LUCRO REAL</t>
  </si>
  <si>
    <t>USO: INDUSTRIALIZAÇÃO</t>
  </si>
  <si>
    <t>CONSIDERAR ICMS 6%</t>
  </si>
  <si>
    <t>PRODUTO: FLANGES</t>
  </si>
  <si>
    <t>PORTO SAÍDA: SHANGHAI</t>
  </si>
  <si>
    <t>FRETE: 1x40HC</t>
  </si>
  <si>
    <t>PORTO ENTRADA: NAVEGANTES</t>
  </si>
  <si>
    <t>SIMULAÇÃO 100%</t>
  </si>
  <si>
    <t xml:space="preserve">REFERÊNCIA CÁLCULO BASE </t>
  </si>
  <si>
    <t>NCM:</t>
  </si>
  <si>
    <t>VALORES ADUANEIROS</t>
  </si>
  <si>
    <t>DISCRIMINAÇÃO</t>
  </si>
  <si>
    <t>Qtd</t>
  </si>
  <si>
    <t>PREÇO TOTAL USD</t>
  </si>
  <si>
    <t>R$</t>
  </si>
  <si>
    <t>TOTAL FOB</t>
  </si>
  <si>
    <t>PRODUTO + FRETE</t>
  </si>
  <si>
    <t xml:space="preserve">SEGURO </t>
  </si>
  <si>
    <t>FRETE</t>
  </si>
  <si>
    <t>TOTAL VALOR ADUANEIRO</t>
  </si>
  <si>
    <t>IMPOSTOS</t>
  </si>
  <si>
    <t>PERCENTUAL</t>
  </si>
  <si>
    <t>VALOR (R$)</t>
  </si>
  <si>
    <t xml:space="preserve">IMPOSTO. IMPORTAÇÃO  </t>
  </si>
  <si>
    <t xml:space="preserve">PIS </t>
  </si>
  <si>
    <t xml:space="preserve">COFINS </t>
  </si>
  <si>
    <t xml:space="preserve">IPI </t>
  </si>
  <si>
    <t>ICMS</t>
  </si>
  <si>
    <t>TOTAL VALOR IMPOSTOS</t>
  </si>
  <si>
    <t>DESPESAS PORTUÁRIAS E LOGÍSTICAS</t>
  </si>
  <si>
    <t>Armazenagem 5 dias</t>
  </si>
  <si>
    <t>TOTAL VALOR DESEMBARAÇO ADUANEIRO</t>
  </si>
  <si>
    <t>TOTAL   (PARTE 1 + PARTE 2 + PARTE 3) ........................................................:</t>
  </si>
  <si>
    <t>TOTAL</t>
  </si>
  <si>
    <t>PREÇO FOB</t>
  </si>
  <si>
    <t>DESPESAS</t>
  </si>
  <si>
    <t>% DESPESAS/FOB</t>
  </si>
  <si>
    <t>Item</t>
  </si>
  <si>
    <t>Produto</t>
  </si>
  <si>
    <t>NCM</t>
  </si>
  <si>
    <t>II</t>
  </si>
  <si>
    <t>IPI</t>
  </si>
  <si>
    <t>PIS</t>
  </si>
  <si>
    <t>COFINS</t>
  </si>
  <si>
    <t>Quantidade</t>
  </si>
  <si>
    <t>Preço</t>
  </si>
  <si>
    <t>% Rateio Quantidade</t>
  </si>
  <si>
    <t>% Rateio Preço</t>
  </si>
  <si>
    <t>Preço Final</t>
  </si>
  <si>
    <t>7307.93.00</t>
  </si>
  <si>
    <t>CURVA SOLD RL 90° ASTM A-234 ASME B16.9 SCH 80 - 2"</t>
  </si>
  <si>
    <t>DETALHES DO PRODUTO</t>
  </si>
  <si>
    <t>VALOR ADUANEIRO</t>
  </si>
  <si>
    <t>TAXAS PORTUÁRIAS</t>
  </si>
  <si>
    <t>ITEM</t>
  </si>
  <si>
    <t>QTD</t>
  </si>
  <si>
    <t>Participação %</t>
  </si>
  <si>
    <t>Preço unitário (USD)</t>
  </si>
  <si>
    <t>Preço x QTD (Valor em USD)</t>
  </si>
  <si>
    <t>Preço x QTD (valor em BRL)</t>
  </si>
  <si>
    <t>Valor do frete (Valor em BRL)</t>
  </si>
  <si>
    <t>VALOR TOTAL + I.I</t>
  </si>
  <si>
    <t>IMPOSTO DE IMPORTAÇÃO</t>
  </si>
  <si>
    <t>TOTAL IMPOSTOS</t>
  </si>
  <si>
    <t>TAXA SISCOMEX</t>
  </si>
  <si>
    <t>B/L</t>
  </si>
  <si>
    <t>T.H.C|  CAPATAZIA</t>
  </si>
  <si>
    <t>ISPS</t>
  </si>
  <si>
    <t>DAMAGE PROTECTION</t>
  </si>
  <si>
    <t>DESCONSOLIDAÇÃO</t>
  </si>
  <si>
    <t>SERVIÇO DE ENTREGA DE CONTAINER</t>
  </si>
  <si>
    <t>Delivery order</t>
  </si>
  <si>
    <t>AFRMM</t>
  </si>
  <si>
    <t xml:space="preserve">ARMAZENAGEM </t>
  </si>
  <si>
    <t>Import logistic fee</t>
  </si>
  <si>
    <t>Drop off</t>
  </si>
  <si>
    <t>TAXA</t>
  </si>
  <si>
    <t>FRETE RODOVIÁRIO</t>
  </si>
  <si>
    <t>DESEMBARAÇO ADUANEIRO</t>
  </si>
  <si>
    <t>TOTAL DESEMBARAÇO ADUANEIRO</t>
  </si>
  <si>
    <t>TOTAL POR CATEGORIA</t>
  </si>
  <si>
    <t>VALOR UNITÁRIO</t>
  </si>
  <si>
    <t>Nº</t>
  </si>
  <si>
    <t>AAA</t>
  </si>
  <si>
    <t>CURVA SOLD RL 45° ASTM A-234 ASME B16.9 SCH 80 - 6"</t>
  </si>
  <si>
    <t>CURVA SOLD RL 45° ASTM A-234 ASME B16.9 SCH 80 - 8"</t>
  </si>
  <si>
    <t>DELIVERY ORDER</t>
  </si>
  <si>
    <t>IMPORT LOGIST FREE</t>
  </si>
  <si>
    <t>DROP OFF</t>
  </si>
  <si>
    <t>CÂMBIO</t>
  </si>
  <si>
    <t>INFORMAÇÕES PARA CÁLCULO DE ESTIMATIVA DE CUSTO DE NACIONALIZAÇÃO</t>
  </si>
  <si>
    <t>NOME EMPRESA IMPORTADORA</t>
  </si>
  <si>
    <t>SECAMAQ</t>
  </si>
  <si>
    <t>NOME FORNECEDOR</t>
  </si>
  <si>
    <t>Flanges e conexões soldaveis</t>
  </si>
  <si>
    <t>REGIME TRIBUTÁRIO</t>
  </si>
  <si>
    <t>Lucro Real</t>
  </si>
  <si>
    <t>FUNÇÃO</t>
  </si>
  <si>
    <t>Revenda</t>
  </si>
  <si>
    <t>40 HC</t>
  </si>
  <si>
    <t>PORTO SAÍDA</t>
  </si>
  <si>
    <t>Tianjin</t>
  </si>
  <si>
    <t>PORTO ENTRADA</t>
  </si>
  <si>
    <t>Paranagua</t>
  </si>
  <si>
    <t xml:space="preserve">QUANTIDADE DE PRODUTO </t>
  </si>
  <si>
    <t>PRODUTO</t>
  </si>
  <si>
    <t>PREÇO UNITÁRIO</t>
  </si>
  <si>
    <t>7307.91.00</t>
  </si>
  <si>
    <t>NOME SOLICITANTE</t>
  </si>
  <si>
    <t>Fernando Takiuti</t>
  </si>
  <si>
    <t>NOME SOLICITADA</t>
  </si>
  <si>
    <t>Mariane</t>
  </si>
  <si>
    <t>NOME REVISORA</t>
  </si>
  <si>
    <t>Juliana</t>
  </si>
  <si>
    <t>DATA SOLICITAÇÃO</t>
  </si>
  <si>
    <t>8/28/2023</t>
  </si>
  <si>
    <t>DATA DE ENTREGA</t>
  </si>
  <si>
    <t>DATA DE REVISÃO</t>
  </si>
  <si>
    <t>-</t>
  </si>
  <si>
    <t>TEVE REVISÃO?</t>
  </si>
  <si>
    <t>SIM</t>
  </si>
  <si>
    <t>NÃO</t>
  </si>
  <si>
    <t>JUSTIFICATIVA CASO NÃO TEVE REVISÃO</t>
  </si>
  <si>
    <t>OBSERVAÇÃO</t>
  </si>
  <si>
    <t>QUAL FOI SUA IMPRESSÃO AO APRESENTAR O CÁLCULO AO CLIENTE?</t>
  </si>
  <si>
    <t>RELATÓRIO AVALIAÇÃO CLIENTE</t>
  </si>
  <si>
    <t>FLANGE 1" 150LBS LISO ASTM A105 GR WPB B16.5 RF</t>
  </si>
  <si>
    <t>FLANGE 1" 300LBS LISO ASTM A105 GR WPB B16.5 RF</t>
  </si>
  <si>
    <t>FLANGE 1.1/2" 150LBS LISO ASTM A105 GR WPB B16.5</t>
  </si>
  <si>
    <t>FLANGE 1.1/2" 300LBS LISO ASTM A105 GR WPB B16.5 RF</t>
  </si>
  <si>
    <t>FLANGE 1.1/4" 150LBS LISO ASTM A105 GR WPB B16.5 RF</t>
  </si>
  <si>
    <t>FLANGE 2" 150LBS LISO ASTM A105 GR WPB B16.5 RF</t>
  </si>
  <si>
    <t>FLANGE 2" 300LBS LISO ASTM A105 GR WPB B16.5 RF</t>
  </si>
  <si>
    <t>FLANGE 2.1/2" 150LBS LISO ASTM A105 GR WPB B16.5 RF</t>
  </si>
  <si>
    <t>FLANGE 2.1/2" 300LBS LISO ASTM A105 GR WPB B16.5 RF</t>
  </si>
  <si>
    <t>FLANGE 3" 150LBS LISO ASTM A105 GR WPB B16.5 RF</t>
  </si>
  <si>
    <t>FLANGE 4" 150LBS LISO ASTM A105 GR WPB B16.5 RF</t>
  </si>
  <si>
    <t>FLANGE 5" 150LBS LISO ASTM A105 GR WPB B16.5 RF</t>
  </si>
  <si>
    <t>FLANGE 6" 150LBS LISO ASTM A105 GR WPB B16.5 RF</t>
  </si>
  <si>
    <t>FLANGE 8" 150LBS LISO ASTM A105 GR WPB B16.5 RF</t>
  </si>
  <si>
    <t>FLANGE 8" 300LBS LISO ASTM A105 GR WPB B16.5 RF</t>
  </si>
  <si>
    <t>FLANGE 6" 300LBS LISO ASTM A105 GR WPB B16.5 RF</t>
  </si>
  <si>
    <t>FLANGE 5" 300LBS LISO ASTM A105 GR WPB B16.5 RF</t>
  </si>
  <si>
    <t>FLANGE 4" 300LBS LISO ASTM A105 GR WPB B16.5 RF</t>
  </si>
  <si>
    <t>CURVA 1.1/2" SCH40 RL 90° ASTM A-234 ASME B16.9</t>
  </si>
  <si>
    <t>CURVA 2" SCH40 RL 90° ASTM A-234 ASME B16.9</t>
  </si>
  <si>
    <t>CURVA 4" SCH40 RL 90° ASTM A-234 ASME B16.9</t>
  </si>
  <si>
    <t>CURVA 5" SCH40 RL 90° ASTM A-234 ASME B16.9</t>
  </si>
  <si>
    <t>CURVA 6" SCH40 RL 90° ASTM A-234 ASME B16.9</t>
  </si>
  <si>
    <t>FLANGE 5" 150LBS WN ASTM A105 GR WPB B16.5</t>
  </si>
  <si>
    <t>FLANGE 6" 150LBS WN ASTM A105 GR WPB B16.5</t>
  </si>
  <si>
    <t>FLANGE 8" 150LBS WN ASTM A105 GR WPB B16.5</t>
  </si>
  <si>
    <t>FLANGE 8" 300LBS WN ASTM A105 GR WPB B16.5</t>
  </si>
  <si>
    <t>FLANGE 6" 300LBS WN ASTM A105 GR WPB B16.5</t>
  </si>
  <si>
    <t>FLANGE 5" 300LBS WN ASTM A105 GR WPB B16.5</t>
  </si>
  <si>
    <t>CURVA SOLD RL 90° ASTM A-234 ASME B16.9 SCH 80 - 6"</t>
  </si>
  <si>
    <t>CURVA SOLD RL 45° ASTM A-234 ASME B16.9 SCH 40 - 4"</t>
  </si>
  <si>
    <t>CURVA SOLD RL 45° ASTM A-234 ASME B16.9 SCH 40 - 2"</t>
  </si>
  <si>
    <t>REDUÇÃO CONCENTRICA ASTM A-234 ASME B16.9 SCH 40 8" X 6"</t>
  </si>
  <si>
    <t>REDUÇÃO CONCENTRICA ASTM A-234 ASME B16.9 SCH 80 8" X 6"</t>
  </si>
  <si>
    <t>REDUÇÃO CONCENTRICA ASTM A-234 ASME B16.9 SCH 40 2" X 1.1/2"</t>
  </si>
  <si>
    <t>TEE 6" SCH-40 ASTM A-234 ASME B16.9</t>
  </si>
  <si>
    <t>TEE 3" SCH-40 ASTM A-234 ASME B16.9</t>
  </si>
  <si>
    <t>TEE 2" SCH-40 ASTM A-234 ASME B16.9</t>
  </si>
  <si>
    <t>TEE 1.1/2" SCH-40 ASTM A-234 ASME B16.9</t>
  </si>
  <si>
    <t>FLANGE CEGO ASTM A105 GR WPB B16.5 150 LBS 5"</t>
  </si>
  <si>
    <t>FLANGE CEGO ASTM A105 GR WPB B16.5 150 LBS 6"</t>
  </si>
  <si>
    <t>FLANGE CEGO ASTM A105 GR WPB B16.5 150 LBS 8"</t>
  </si>
  <si>
    <t>CURVA SOLD RL 90° ASTM A-234 ASME B16.9 SCH 40 - 1"</t>
  </si>
  <si>
    <t>FLANGE CEGO ASTM A105 GR WPB B16.5 150 LBS 3"</t>
  </si>
  <si>
    <t>FLANGE CEGO ASTM A105 GR WPB B16.5 300 LBS 1/2"</t>
  </si>
  <si>
    <t>FLANGE CEGO ASTM A105 GR WPB B16.5 300 LBS 4"</t>
  </si>
  <si>
    <t>FLANGE CEGO ASTM A105 GR WPB B16.5 300 LBS 6"</t>
  </si>
  <si>
    <t>FLANGE CEGO ASTM A105 GR WPB B16.5 300 LBS 8"</t>
  </si>
  <si>
    <t>FLANGE LISO ASTM A105 GR WPB B16.5 300 LBS 3/4"</t>
  </si>
  <si>
    <t>FLANGE LISO ASTM A105 GR WPB B16.5 300 LBS 1/2"</t>
  </si>
  <si>
    <t>CURVA SOLD RL 45° ASTM A-234 ASME B16.9 SCH 40 - 8''</t>
  </si>
  <si>
    <t>CURVA SOLD RL 45° ASTM A-234 ASME B16.9 SCH 40 - 6''</t>
  </si>
  <si>
    <t>COMISSÃO</t>
  </si>
  <si>
    <t>Comissão</t>
  </si>
  <si>
    <t xml:space="preserve">COMISSÃO </t>
  </si>
  <si>
    <t xml:space="preserve">7307.93.00 </t>
  </si>
  <si>
    <t>7307.93.01</t>
  </si>
  <si>
    <t>7307.93.02</t>
  </si>
  <si>
    <t>7307.93.03</t>
  </si>
  <si>
    <t>7307.93.04</t>
  </si>
  <si>
    <t>7307.93.05</t>
  </si>
  <si>
    <t>7307.93.06</t>
  </si>
  <si>
    <t>7307.93.07</t>
  </si>
  <si>
    <t>7307.93.08</t>
  </si>
  <si>
    <t>7307.93.09</t>
  </si>
  <si>
    <t>7307.93.10</t>
  </si>
  <si>
    <t>7307.93.11</t>
  </si>
  <si>
    <t>7307.93.12</t>
  </si>
  <si>
    <t>7307.93.13</t>
  </si>
  <si>
    <t>7307.93.14</t>
  </si>
  <si>
    <t>7307.93.15</t>
  </si>
  <si>
    <t>7307.93.16</t>
  </si>
  <si>
    <t>7307.93.17</t>
  </si>
  <si>
    <t>7307.93.18</t>
  </si>
  <si>
    <t>7307.93.19</t>
  </si>
  <si>
    <t>7307.93.20</t>
  </si>
  <si>
    <t>7307.93.21</t>
  </si>
  <si>
    <t>7307.93.22</t>
  </si>
  <si>
    <t>7307.93.23</t>
  </si>
  <si>
    <t>7307.93.24</t>
  </si>
  <si>
    <t>7307.93.25</t>
  </si>
  <si>
    <t>7307.93.26</t>
  </si>
  <si>
    <t>7307.93.27</t>
  </si>
  <si>
    <t>7307.93.28</t>
  </si>
  <si>
    <t>7307.93.29</t>
  </si>
  <si>
    <t>7307.93.30</t>
  </si>
  <si>
    <t>7307.93.31</t>
  </si>
  <si>
    <t>7307.93.32</t>
  </si>
  <si>
    <t>7307.93.33</t>
  </si>
  <si>
    <t>7307.93.34</t>
  </si>
  <si>
    <t>7307.93.35</t>
  </si>
  <si>
    <t>7307.93.36</t>
  </si>
  <si>
    <t>7307.93.37</t>
  </si>
  <si>
    <t>7307.93.38</t>
  </si>
  <si>
    <t>7307.93.39</t>
  </si>
  <si>
    <t>7307.93.40</t>
  </si>
  <si>
    <t>7307.93.41</t>
  </si>
  <si>
    <t>7307.93.42</t>
  </si>
  <si>
    <t>7307.93.43</t>
  </si>
  <si>
    <t>7307.93.44</t>
  </si>
  <si>
    <t>7307.93.45</t>
  </si>
  <si>
    <t>7307.93.46</t>
  </si>
  <si>
    <t>7307.93.47</t>
  </si>
  <si>
    <t>7307.93.48</t>
  </si>
  <si>
    <t>7307.93.49</t>
  </si>
  <si>
    <t>7307.93.50</t>
  </si>
  <si>
    <t>7307.93.51</t>
  </si>
  <si>
    <t>7307.93.52</t>
  </si>
  <si>
    <t>7307.93.53</t>
  </si>
  <si>
    <t>7307.93.54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</si>
</sst>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%"/>
    <numFmt numFmtId="165" formatCode="0.0000%"/>
    <numFmt numFmtId="166" formatCode="_-[$R$-416]\ * #,##0.00_-;\-[$R$-416]\ * #,##0.00_-;_-[$R$-416]\ * &quot;-&quot;??_-;_-@_-"/>
    <numFmt numFmtId="167" formatCode="_-[$R$-416]\ * #,##0.0000_-;\-[$R$-416]\ * #,##0.0000_-;_-[$R$-416]\ * &quot;-&quot;????_-;_-@_-"/>
    <numFmt numFmtId="168" formatCode="_-[$$-409]* #,##0.00_ ;_-[$$-409]* \-#,##0.00\ ;_-[$$-409]* &quot;-&quot;??_ ;_-@_ "/>
    <numFmt numFmtId="169" formatCode="&quot;R$&quot;\ #,##0.00"/>
    <numFmt numFmtId="170" formatCode="0.0"/>
    <numFmt numFmtId="171" formatCode="_(&quot;$&quot;* #,##0.00_);_(&quot;$&quot;* \(#,##0.00\);_(&quot;$&quot;* &quot;-&quot;??_);_(@_)"/>
    <numFmt numFmtId="172" formatCode="[$USD]\ #,##0.00"/>
    <numFmt numFmtId="173" formatCode="[$R$-416]\ #,##0.00;\-[$R$-416]\ #,##0.00"/>
    <numFmt numFmtId="174" formatCode="[$R$-416]\ #,##0.00"/>
    <numFmt numFmtId="175" formatCode="[$USD]\ #,##0"/>
    <numFmt numFmtId="176" formatCode="_-[$R$-416]\ * #,##0.00_-;\-[$R$-416]\ * #,##0.00_-;_-[$R$-416]\ * &quot;-&quot;????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0"/>
      <color indexed="8"/>
      <name val="Arial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color theme="4"/>
      <name val="Calibri"/>
      <family val="2"/>
      <scheme val="minor"/>
    </font>
    <font>
      <b/>
      <sz val="8"/>
      <color theme="4"/>
      <name val="Calibri"/>
      <family val="2"/>
      <scheme val="minor"/>
    </font>
    <font>
      <b/>
      <sz val="8"/>
      <color rgb="FF4472C4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  <xf numFmtId="17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</cellStyleXfs>
  <cellXfs count="20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9" fontId="0" fillId="0" borderId="0" xfId="1" applyFont="1"/>
    <xf numFmtId="0" fontId="0" fillId="4" borderId="0" xfId="0" applyFill="1" applyAlignment="1">
      <alignment horizontal="center" vertical="center" wrapText="1"/>
    </xf>
    <xf numFmtId="166" fontId="0" fillId="5" borderId="0" xfId="0" applyNumberFormat="1" applyFill="1" applyAlignment="1">
      <alignment horizontal="center" vertical="center"/>
    </xf>
    <xf numFmtId="167" fontId="0" fillId="0" borderId="0" xfId="0" applyNumberFormat="1"/>
    <xf numFmtId="168" fontId="0" fillId="0" borderId="0" xfId="0" applyNumberFormat="1"/>
    <xf numFmtId="166" fontId="0" fillId="0" borderId="0" xfId="0" applyNumberForma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2" xfId="0" applyFont="1" applyBorder="1"/>
    <xf numFmtId="0" fontId="2" fillId="6" borderId="2" xfId="0" applyFont="1" applyFill="1" applyBorder="1" applyAlignment="1">
      <alignment horizontal="centerContinuous"/>
    </xf>
    <xf numFmtId="0" fontId="2" fillId="7" borderId="2" xfId="0" applyFont="1" applyFill="1" applyBorder="1" applyAlignment="1">
      <alignment horizontal="centerContinuous"/>
    </xf>
    <xf numFmtId="0" fontId="2" fillId="7" borderId="2" xfId="0" applyFont="1" applyFill="1" applyBorder="1" applyAlignment="1">
      <alignment horizontal="centerContinuous" wrapText="1"/>
    </xf>
    <xf numFmtId="0" fontId="2" fillId="2" borderId="2" xfId="0" applyFont="1" applyFill="1" applyBorder="1" applyAlignment="1">
      <alignment horizontal="centerContinuous" wrapText="1"/>
    </xf>
    <xf numFmtId="0" fontId="2" fillId="2" borderId="2" xfId="0" applyFont="1" applyFill="1" applyBorder="1" applyAlignment="1">
      <alignment horizontal="centerContinuous"/>
    </xf>
    <xf numFmtId="0" fontId="2" fillId="8" borderId="2" xfId="0" applyFont="1" applyFill="1" applyBorder="1" applyAlignment="1">
      <alignment horizontal="centerContinuous"/>
    </xf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9" fontId="6" fillId="6" borderId="1" xfId="0" applyNumberFormat="1" applyFont="1" applyFill="1" applyBorder="1" applyAlignment="1">
      <alignment horizontal="center" vertical="center"/>
    </xf>
    <xf numFmtId="49" fontId="6" fillId="6" borderId="1" xfId="0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4" fontId="10" fillId="3" borderId="1" xfId="0" applyNumberFormat="1" applyFont="1" applyFill="1" applyBorder="1" applyAlignment="1">
      <alignment horizontal="center" vertical="center"/>
    </xf>
    <xf numFmtId="10" fontId="2" fillId="8" borderId="1" xfId="0" applyNumberFormat="1" applyFont="1" applyFill="1" applyBorder="1" applyAlignment="1">
      <alignment horizontal="center" vertical="center"/>
    </xf>
    <xf numFmtId="49" fontId="11" fillId="6" borderId="1" xfId="0" applyNumberFormat="1" applyFont="1" applyFill="1" applyBorder="1" applyAlignment="1">
      <alignment horizontal="center" vertical="center"/>
    </xf>
    <xf numFmtId="166" fontId="3" fillId="7" borderId="1" xfId="0" applyNumberFormat="1" applyFont="1" applyFill="1" applyBorder="1" applyAlignment="1">
      <alignment horizontal="center" vertical="center" wrapText="1"/>
    </xf>
    <xf numFmtId="166" fontId="10" fillId="3" borderId="1" xfId="0" applyNumberFormat="1" applyFont="1" applyFill="1" applyBorder="1" applyAlignment="1">
      <alignment horizontal="center" vertical="center" wrapText="1"/>
    </xf>
    <xf numFmtId="166" fontId="3" fillId="8" borderId="1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11" borderId="0" xfId="0" applyFont="1" applyFill="1" applyAlignment="1">
      <alignment horizontal="center" vertical="center"/>
    </xf>
    <xf numFmtId="9" fontId="0" fillId="10" borderId="0" xfId="1" applyFont="1" applyFill="1" applyBorder="1" applyAlignment="1">
      <alignment horizontal="center" vertical="center"/>
    </xf>
    <xf numFmtId="165" fontId="0" fillId="0" borderId="0" xfId="1" applyNumberFormat="1" applyFont="1" applyFill="1"/>
    <xf numFmtId="0" fontId="12" fillId="0" borderId="3" xfId="0" applyFont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9" fontId="0" fillId="0" borderId="0" xfId="1" applyFont="1" applyAlignment="1">
      <alignment horizontal="center" vertical="center" wrapText="1"/>
    </xf>
    <xf numFmtId="9" fontId="0" fillId="5" borderId="0" xfId="1" applyFont="1" applyFill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left"/>
    </xf>
    <xf numFmtId="0" fontId="15" fillId="0" borderId="4" xfId="0" applyFont="1" applyBorder="1" applyAlignment="1">
      <alignment horizontal="centerContinuous" vertical="center"/>
    </xf>
    <xf numFmtId="0" fontId="15" fillId="0" borderId="5" xfId="0" applyFont="1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7" xfId="0" applyBorder="1" applyAlignment="1">
      <alignment horizontal="centerContinuous" vertical="center"/>
    </xf>
    <xf numFmtId="0" fontId="12" fillId="0" borderId="8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 wrapText="1"/>
    </xf>
    <xf numFmtId="0" fontId="12" fillId="0" borderId="8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43" fontId="0" fillId="0" borderId="0" xfId="2" applyFont="1"/>
    <xf numFmtId="166" fontId="0" fillId="0" borderId="0" xfId="0" applyNumberFormat="1" applyAlignment="1">
      <alignment horizontal="center" vertical="center"/>
    </xf>
    <xf numFmtId="3" fontId="12" fillId="0" borderId="3" xfId="0" applyNumberFormat="1" applyFont="1" applyBorder="1" applyAlignment="1">
      <alignment horizontal="center" vertical="center"/>
    </xf>
    <xf numFmtId="10" fontId="0" fillId="0" borderId="0" xfId="1" applyNumberFormat="1" applyFont="1" applyBorder="1" applyAlignment="1">
      <alignment horizontal="center" vertical="center" wrapText="1"/>
    </xf>
    <xf numFmtId="10" fontId="12" fillId="0" borderId="17" xfId="1" applyNumberFormat="1" applyFont="1" applyBorder="1" applyAlignment="1">
      <alignment horizontal="center" vertical="center"/>
    </xf>
    <xf numFmtId="9" fontId="12" fillId="0" borderId="17" xfId="1" applyFont="1" applyBorder="1" applyAlignment="1">
      <alignment horizontal="center" vertical="center"/>
    </xf>
    <xf numFmtId="10" fontId="0" fillId="0" borderId="0" xfId="1" applyNumberFormat="1" applyFont="1"/>
    <xf numFmtId="169" fontId="0" fillId="0" borderId="0" xfId="0" applyNumberFormat="1"/>
    <xf numFmtId="10" fontId="0" fillId="1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" fontId="12" fillId="0" borderId="17" xfId="1" applyNumberFormat="1" applyFont="1" applyBorder="1" applyAlignment="1">
      <alignment horizontal="center" vertical="center"/>
    </xf>
    <xf numFmtId="168" fontId="0" fillId="0" borderId="0" xfId="0" applyNumberFormat="1" applyAlignment="1">
      <alignment horizontal="center" vertical="center" wrapText="1"/>
    </xf>
    <xf numFmtId="168" fontId="13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166" fontId="0" fillId="10" borderId="1" xfId="1" applyNumberFormat="1" applyFont="1" applyFill="1" applyBorder="1" applyAlignment="1">
      <alignment horizontal="center" vertical="center"/>
    </xf>
    <xf numFmtId="166" fontId="5" fillId="10" borderId="1" xfId="1" applyNumberFormat="1" applyFont="1" applyFill="1" applyBorder="1" applyAlignment="1">
      <alignment horizontal="center" vertical="center"/>
    </xf>
    <xf numFmtId="170" fontId="3" fillId="7" borderId="1" xfId="0" applyNumberFormat="1" applyFont="1" applyFill="1" applyBorder="1" applyAlignment="1">
      <alignment horizontal="center" vertical="center" wrapText="1"/>
    </xf>
    <xf numFmtId="173" fontId="0" fillId="0" borderId="0" xfId="0" applyNumberFormat="1"/>
    <xf numFmtId="2" fontId="0" fillId="0" borderId="0" xfId="0" applyNumberFormat="1" applyAlignment="1">
      <alignment horizontal="center"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22" xfId="0" applyFont="1" applyBorder="1" applyAlignment="1">
      <alignment vertical="center"/>
    </xf>
    <xf numFmtId="0" fontId="18" fillId="0" borderId="26" xfId="0" applyFont="1" applyBorder="1" applyAlignment="1">
      <alignment vertical="center"/>
    </xf>
    <xf numFmtId="0" fontId="19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19" fillId="2" borderId="28" xfId="0" applyFont="1" applyFill="1" applyBorder="1" applyAlignment="1">
      <alignment horizontal="left" vertical="center"/>
    </xf>
    <xf numFmtId="0" fontId="20" fillId="0" borderId="29" xfId="0" applyFont="1" applyBorder="1" applyAlignment="1">
      <alignment horizontal="center" vertical="center"/>
    </xf>
    <xf numFmtId="0" fontId="20" fillId="2" borderId="30" xfId="0" applyFont="1" applyFill="1" applyBorder="1" applyAlignment="1">
      <alignment vertical="center"/>
    </xf>
    <xf numFmtId="0" fontId="20" fillId="2" borderId="30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21" fillId="12" borderId="23" xfId="0" applyFont="1" applyFill="1" applyBorder="1" applyAlignment="1">
      <alignment horizontal="center" vertical="center"/>
    </xf>
    <xf numFmtId="0" fontId="21" fillId="12" borderId="0" xfId="0" applyFont="1" applyFill="1" applyAlignment="1">
      <alignment horizontal="right" vertical="center"/>
    </xf>
    <xf numFmtId="169" fontId="21" fillId="12" borderId="0" xfId="0" applyNumberFormat="1" applyFont="1" applyFill="1" applyAlignment="1">
      <alignment horizontal="center" vertical="center"/>
    </xf>
    <xf numFmtId="0" fontId="21" fillId="12" borderId="0" xfId="0" applyFont="1" applyFill="1" applyAlignment="1">
      <alignment horizontal="center" vertical="center"/>
    </xf>
    <xf numFmtId="0" fontId="22" fillId="12" borderId="28" xfId="0" applyFont="1" applyFill="1" applyBorder="1" applyAlignment="1">
      <alignment vertical="center"/>
    </xf>
    <xf numFmtId="0" fontId="17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4" fillId="14" borderId="27" xfId="0" applyFont="1" applyFill="1" applyBorder="1"/>
    <xf numFmtId="0" fontId="14" fillId="14" borderId="0" xfId="4" applyNumberFormat="1" applyFont="1" applyFill="1" applyAlignment="1">
      <alignment horizontal="center" vertical="center"/>
    </xf>
    <xf numFmtId="1" fontId="14" fillId="14" borderId="0" xfId="5" applyNumberFormat="1" applyFont="1" applyFill="1" applyAlignment="1">
      <alignment horizontal="center" vertical="center"/>
    </xf>
    <xf numFmtId="172" fontId="14" fillId="14" borderId="0" xfId="4" applyNumberFormat="1" applyFont="1" applyFill="1" applyAlignment="1">
      <alignment horizontal="center" vertical="center"/>
    </xf>
    <xf numFmtId="175" fontId="14" fillId="0" borderId="0" xfId="4" applyNumberFormat="1" applyFont="1" applyAlignment="1">
      <alignment horizontal="center" vertical="center"/>
    </xf>
    <xf numFmtId="173" fontId="14" fillId="0" borderId="28" xfId="5" applyNumberFormat="1" applyFont="1" applyBorder="1" applyAlignment="1">
      <alignment horizontal="center"/>
    </xf>
    <xf numFmtId="0" fontId="14" fillId="7" borderId="27" xfId="0" applyFont="1" applyFill="1" applyBorder="1"/>
    <xf numFmtId="0" fontId="14" fillId="7" borderId="0" xfId="4" applyNumberFormat="1" applyFont="1" applyFill="1" applyAlignment="1">
      <alignment vertical="center"/>
    </xf>
    <xf numFmtId="1" fontId="14" fillId="7" borderId="0" xfId="5" applyNumberFormat="1" applyFont="1" applyFill="1" applyAlignment="1">
      <alignment horizontal="center" vertical="center"/>
    </xf>
    <xf numFmtId="172" fontId="14" fillId="7" borderId="0" xfId="4" applyNumberFormat="1" applyFont="1" applyFill="1" applyAlignment="1">
      <alignment horizontal="center" vertical="center"/>
    </xf>
    <xf numFmtId="173" fontId="14" fillId="7" borderId="28" xfId="5" applyNumberFormat="1" applyFont="1" applyFill="1" applyBorder="1" applyAlignment="1">
      <alignment horizontal="center"/>
    </xf>
    <xf numFmtId="0" fontId="18" fillId="14" borderId="27" xfId="0" applyFont="1" applyFill="1" applyBorder="1"/>
    <xf numFmtId="0" fontId="18" fillId="14" borderId="0" xfId="4" applyNumberFormat="1" applyFont="1" applyFill="1" applyAlignment="1">
      <alignment vertical="center"/>
    </xf>
    <xf numFmtId="1" fontId="18" fillId="14" borderId="0" xfId="5" applyNumberFormat="1" applyFont="1" applyFill="1" applyAlignment="1">
      <alignment horizontal="center" vertical="center"/>
    </xf>
    <xf numFmtId="172" fontId="18" fillId="14" borderId="0" xfId="4" applyNumberFormat="1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173" fontId="18" fillId="14" borderId="28" xfId="5" applyNumberFormat="1" applyFont="1" applyFill="1" applyBorder="1" applyAlignment="1">
      <alignment horizontal="center"/>
    </xf>
    <xf numFmtId="0" fontId="18" fillId="0" borderId="27" xfId="0" applyFont="1" applyBorder="1" applyAlignment="1">
      <alignment vertical="center"/>
    </xf>
    <xf numFmtId="171" fontId="18" fillId="0" borderId="0" xfId="4" applyFont="1" applyAlignment="1">
      <alignment vertical="center"/>
    </xf>
    <xf numFmtId="172" fontId="18" fillId="0" borderId="0" xfId="4" applyNumberFormat="1" applyFont="1" applyAlignment="1">
      <alignment horizontal="center" vertical="center"/>
    </xf>
    <xf numFmtId="173" fontId="18" fillId="0" borderId="28" xfId="5" applyNumberFormat="1" applyFont="1" applyBorder="1" applyAlignment="1">
      <alignment horizontal="center"/>
    </xf>
    <xf numFmtId="0" fontId="18" fillId="0" borderId="32" xfId="0" applyFont="1" applyBorder="1" applyAlignment="1">
      <alignment vertical="center"/>
    </xf>
    <xf numFmtId="0" fontId="18" fillId="0" borderId="30" xfId="0" applyFont="1" applyBorder="1" applyAlignment="1">
      <alignment vertical="center"/>
    </xf>
    <xf numFmtId="0" fontId="18" fillId="0" borderId="30" xfId="0" applyFont="1" applyBorder="1" applyAlignment="1">
      <alignment horizontal="center" vertical="center"/>
    </xf>
    <xf numFmtId="172" fontId="18" fillId="0" borderId="30" xfId="4" applyNumberFormat="1" applyFont="1" applyBorder="1" applyAlignment="1">
      <alignment horizontal="center" vertical="center"/>
    </xf>
    <xf numFmtId="173" fontId="18" fillId="0" borderId="31" xfId="5" applyNumberFormat="1" applyFont="1" applyBorder="1" applyAlignment="1">
      <alignment horizontal="center"/>
    </xf>
    <xf numFmtId="173" fontId="17" fillId="0" borderId="19" xfId="0" applyNumberFormat="1" applyFont="1" applyBorder="1" applyAlignment="1">
      <alignment vertical="center"/>
    </xf>
    <xf numFmtId="173" fontId="17" fillId="0" borderId="20" xfId="0" applyNumberFormat="1" applyFont="1" applyBorder="1" applyAlignment="1">
      <alignment vertical="center"/>
    </xf>
    <xf numFmtId="173" fontId="17" fillId="0" borderId="21" xfId="0" applyNumberFormat="1" applyFont="1" applyBorder="1" applyAlignment="1">
      <alignment horizontal="center" vertical="center"/>
    </xf>
    <xf numFmtId="0" fontId="17" fillId="14" borderId="27" xfId="0" applyFont="1" applyFill="1" applyBorder="1" applyAlignment="1">
      <alignment horizontal="center" vertical="center"/>
    </xf>
    <xf numFmtId="0" fontId="17" fillId="14" borderId="0" xfId="0" applyFont="1" applyFill="1" applyAlignment="1">
      <alignment horizontal="center" vertical="center"/>
    </xf>
    <xf numFmtId="0" fontId="17" fillId="14" borderId="28" xfId="0" applyFont="1" applyFill="1" applyBorder="1" applyAlignment="1">
      <alignment horizontal="center" vertical="center"/>
    </xf>
    <xf numFmtId="0" fontId="18" fillId="14" borderId="27" xfId="0" applyFont="1" applyFill="1" applyBorder="1" applyAlignment="1">
      <alignment horizontal="left" vertical="center"/>
    </xf>
    <xf numFmtId="10" fontId="23" fillId="14" borderId="0" xfId="0" applyNumberFormat="1" applyFont="1" applyFill="1" applyAlignment="1">
      <alignment horizontal="center" vertical="center"/>
    </xf>
    <xf numFmtId="174" fontId="18" fillId="14" borderId="28" xfId="0" applyNumberFormat="1" applyFont="1" applyFill="1" applyBorder="1" applyAlignment="1">
      <alignment horizontal="center" vertical="center"/>
    </xf>
    <xf numFmtId="164" fontId="23" fillId="14" borderId="0" xfId="0" applyNumberFormat="1" applyFont="1" applyFill="1" applyAlignment="1">
      <alignment horizontal="center" vertical="center"/>
    </xf>
    <xf numFmtId="0" fontId="18" fillId="0" borderId="27" xfId="0" applyFont="1" applyBorder="1"/>
    <xf numFmtId="0" fontId="18" fillId="0" borderId="0" xfId="0" applyFont="1"/>
    <xf numFmtId="169" fontId="18" fillId="0" borderId="28" xfId="0" applyNumberFormat="1" applyFont="1" applyBorder="1" applyAlignment="1">
      <alignment horizontal="center"/>
    </xf>
    <xf numFmtId="9" fontId="18" fillId="0" borderId="0" xfId="6" applyFont="1"/>
    <xf numFmtId="169" fontId="17" fillId="0" borderId="20" xfId="0" applyNumberFormat="1" applyFont="1" applyBorder="1" applyAlignment="1">
      <alignment vertical="center"/>
    </xf>
    <xf numFmtId="169" fontId="17" fillId="0" borderId="21" xfId="0" applyNumberFormat="1" applyFont="1" applyBorder="1" applyAlignment="1">
      <alignment horizontal="center" vertical="center"/>
    </xf>
    <xf numFmtId="0" fontId="21" fillId="12" borderId="32" xfId="0" applyFont="1" applyFill="1" applyBorder="1" applyAlignment="1">
      <alignment horizontal="left" vertical="center"/>
    </xf>
    <xf numFmtId="0" fontId="21" fillId="12" borderId="30" xfId="0" applyFont="1" applyFill="1" applyBorder="1" applyAlignment="1">
      <alignment horizontal="left" vertical="center"/>
    </xf>
    <xf numFmtId="169" fontId="21" fillId="12" borderId="18" xfId="0" applyNumberFormat="1" applyFont="1" applyFill="1" applyBorder="1" applyAlignment="1">
      <alignment horizontal="center"/>
    </xf>
    <xf numFmtId="0" fontId="21" fillId="12" borderId="31" xfId="0" applyFont="1" applyFill="1" applyBorder="1" applyAlignment="1">
      <alignment horizontal="center" vertical="center"/>
    </xf>
    <xf numFmtId="169" fontId="21" fillId="12" borderId="29" xfId="0" applyNumberFormat="1" applyFont="1" applyFill="1" applyBorder="1" applyAlignment="1">
      <alignment horizontal="center"/>
    </xf>
    <xf numFmtId="0" fontId="19" fillId="15" borderId="32" xfId="0" applyFont="1" applyFill="1" applyBorder="1" applyAlignment="1">
      <alignment horizontal="left" vertical="center"/>
    </xf>
    <xf numFmtId="0" fontId="21" fillId="15" borderId="30" xfId="0" applyFont="1" applyFill="1" applyBorder="1" applyAlignment="1">
      <alignment horizontal="left" vertical="center"/>
    </xf>
    <xf numFmtId="174" fontId="19" fillId="15" borderId="29" xfId="0" applyNumberFormat="1" applyFont="1" applyFill="1" applyBorder="1" applyAlignment="1">
      <alignment horizontal="center"/>
    </xf>
    <xf numFmtId="0" fontId="17" fillId="0" borderId="23" xfId="0" applyFont="1" applyBorder="1" applyAlignment="1">
      <alignment vertical="center"/>
    </xf>
    <xf numFmtId="173" fontId="17" fillId="0" borderId="24" xfId="0" applyNumberFormat="1" applyFont="1" applyBorder="1" applyAlignment="1">
      <alignment vertical="center"/>
    </xf>
    <xf numFmtId="0" fontId="18" fillId="0" borderId="24" xfId="0" applyFont="1" applyBorder="1" applyAlignment="1">
      <alignment vertical="center"/>
    </xf>
    <xf numFmtId="0" fontId="18" fillId="0" borderId="25" xfId="0" applyFont="1" applyBorder="1" applyAlignment="1">
      <alignment vertical="center"/>
    </xf>
    <xf numFmtId="0" fontId="17" fillId="0" borderId="27" xfId="0" applyFont="1" applyBorder="1" applyAlignment="1">
      <alignment vertical="center"/>
    </xf>
    <xf numFmtId="174" fontId="17" fillId="0" borderId="0" xfId="0" applyNumberFormat="1" applyFont="1" applyAlignment="1">
      <alignment vertical="center"/>
    </xf>
    <xf numFmtId="0" fontId="18" fillId="0" borderId="28" xfId="0" applyFont="1" applyBorder="1" applyAlignment="1">
      <alignment vertical="center"/>
    </xf>
    <xf numFmtId="0" fontId="17" fillId="0" borderId="32" xfId="0" applyFont="1" applyBorder="1" applyAlignment="1">
      <alignment vertical="center"/>
    </xf>
    <xf numFmtId="9" fontId="17" fillId="0" borderId="30" xfId="6" applyFont="1" applyBorder="1" applyAlignment="1">
      <alignment vertical="center"/>
    </xf>
    <xf numFmtId="0" fontId="18" fillId="0" borderId="31" xfId="0" applyFont="1" applyBorder="1" applyAlignment="1">
      <alignment vertic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24" fillId="0" borderId="10" xfId="0" applyFont="1" applyBorder="1" applyAlignment="1">
      <alignment horizontal="center" vertical="center"/>
    </xf>
    <xf numFmtId="164" fontId="24" fillId="0" borderId="17" xfId="1" applyNumberFormat="1" applyFont="1" applyBorder="1" applyAlignment="1">
      <alignment horizontal="center" vertical="center"/>
    </xf>
    <xf numFmtId="10" fontId="24" fillId="0" borderId="17" xfId="1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4" fontId="19" fillId="2" borderId="28" xfId="0" applyNumberFormat="1" applyFont="1" applyFill="1" applyBorder="1" applyAlignment="1">
      <alignment horizontal="left" vertical="center"/>
    </xf>
    <xf numFmtId="176" fontId="0" fillId="0" borderId="0" xfId="0" applyNumberFormat="1"/>
    <xf numFmtId="0" fontId="24" fillId="0" borderId="10" xfId="0" applyFont="1" applyBorder="1" applyAlignment="1">
      <alignment horizontal="center" vertical="center" wrapText="1"/>
    </xf>
    <xf numFmtId="168" fontId="12" fillId="0" borderId="17" xfId="1" applyNumberFormat="1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1" fillId="12" borderId="32" xfId="0" applyFont="1" applyFill="1" applyBorder="1" applyAlignment="1">
      <alignment horizontal="left" vertical="center"/>
    </xf>
    <xf numFmtId="0" fontId="21" fillId="12" borderId="30" xfId="0" applyFont="1" applyFill="1" applyBorder="1" applyAlignment="1">
      <alignment horizontal="left" vertical="center"/>
    </xf>
    <xf numFmtId="0" fontId="21" fillId="12" borderId="31" xfId="0" applyFont="1" applyFill="1" applyBorder="1" applyAlignment="1">
      <alignment horizontal="left" vertical="center"/>
    </xf>
    <xf numFmtId="0" fontId="19" fillId="2" borderId="23" xfId="0" applyFont="1" applyFill="1" applyBorder="1" applyAlignment="1">
      <alignment horizontal="center" vertical="center"/>
    </xf>
    <xf numFmtId="0" fontId="19" fillId="2" borderId="24" xfId="0" applyFont="1" applyFill="1" applyBorder="1" applyAlignment="1">
      <alignment horizontal="center" vertical="center"/>
    </xf>
    <xf numFmtId="0" fontId="19" fillId="2" borderId="25" xfId="0" applyFont="1" applyFill="1" applyBorder="1" applyAlignment="1">
      <alignment horizontal="center" vertical="center"/>
    </xf>
    <xf numFmtId="0" fontId="19" fillId="2" borderId="27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9" fillId="2" borderId="28" xfId="0" applyFont="1" applyFill="1" applyBorder="1" applyAlignment="1">
      <alignment horizontal="center" vertical="center"/>
    </xf>
    <xf numFmtId="0" fontId="19" fillId="2" borderId="27" xfId="0" applyFont="1" applyFill="1" applyBorder="1" applyAlignment="1">
      <alignment horizontal="left" vertical="top" wrapText="1"/>
    </xf>
    <xf numFmtId="0" fontId="19" fillId="2" borderId="0" xfId="0" applyFont="1" applyFill="1" applyAlignment="1">
      <alignment horizontal="left" vertical="top" wrapText="1"/>
    </xf>
    <xf numFmtId="0" fontId="21" fillId="13" borderId="23" xfId="0" applyFont="1" applyFill="1" applyBorder="1" applyAlignment="1">
      <alignment horizontal="center" vertical="center"/>
    </xf>
    <xf numFmtId="0" fontId="21" fillId="13" borderId="24" xfId="0" applyFont="1" applyFill="1" applyBorder="1" applyAlignment="1">
      <alignment horizontal="center" vertical="center"/>
    </xf>
    <xf numFmtId="0" fontId="21" fillId="13" borderId="25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</cellXfs>
  <cellStyles count="9">
    <cellStyle name="Moeda 2" xfId="4" xr:uid="{8542FF16-74D8-4E6A-9095-1BC41492B17C}"/>
    <cellStyle name="Normal" xfId="0" builtinId="0"/>
    <cellStyle name="Normal 22" xfId="8" xr:uid="{1EA430A0-90E7-458B-B763-E4F5F544FC80}"/>
    <cellStyle name="Normal 25" xfId="7" xr:uid="{67C6CF28-E5C7-4816-A610-50608D6A2F96}"/>
    <cellStyle name="Porcentagem" xfId="1" builtinId="5"/>
    <cellStyle name="Porcentagem 2" xfId="6" xr:uid="{3CC39129-8822-411A-9344-1D9CE9094C46}"/>
    <cellStyle name="Vírgula" xfId="2" builtinId="3"/>
    <cellStyle name="Vírgula 2" xfId="5" xr:uid="{97B084B9-94BF-4C00-8B00-27B737AFC8A0}"/>
    <cellStyle name="常规 4" xfId="3" xr:uid="{0CD213EB-FDA4-47F2-A015-55BCEEA7ED14}"/>
  </cellStyles>
  <dxfs count="9"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8" formatCode="_-[$$-409]* #,##0.00_ ;_-[$$-409]* \-#,##0.00\ ;_-[$$-409]* &quot;-&quot;??_ ;_-@_ 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SupportingPropertyBagStructure" Target="richData/rdsupportingpropertybagstructure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ichStyles" Target="richData/richStyle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microsoft.com/office/2017/06/relationships/rdRichValue" Target="richData/rdrichvalue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17/06/relationships/rdSupportingPropertyBag" Target="richData/rdsupportingpropertybag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809625</xdr:colOff>
      <xdr:row>4</xdr:row>
      <xdr:rowOff>142875</xdr:rowOff>
    </xdr:from>
    <xdr:to>
      <xdr:col>0</xdr:col>
      <xdr:colOff>2190751</xdr:colOff>
      <xdr:row>9</xdr:row>
      <xdr:rowOff>158749</xdr:rowOff>
    </xdr:to>
    <xdr:pic>
      <xdr:nvPicPr>
        <xdr:cNvPr id="11" name="Imagem 10" descr="Avaliações da empresa Seawise: Como é trabalhar nela? | Glassdoor">
          <a:extLst>
            <a:ext uri="{FF2B5EF4-FFF2-40B4-BE49-F238E27FC236}">
              <a16:creationId xmlns:a16="http://schemas.microsoft.com/office/drawing/2014/main" id="{CFD96F7C-7627-4A74-BE24-A615DC685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" y="914400"/>
          <a:ext cx="1381126" cy="9683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144780</xdr:colOff>
          <xdr:row>25</xdr:row>
          <xdr:rowOff>114300</xdr:rowOff>
        </xdr:from>
        <xdr:to>
          <xdr:col>4</xdr:col>
          <xdr:colOff>388620</xdr:colOff>
          <xdr:row>25</xdr:row>
          <xdr:rowOff>297180</xdr:rowOff>
        </xdr:to>
        <xdr:sp macro="" textlink="">
          <xdr:nvSpPr>
            <xdr:cNvPr id="41985" name="Check Box 1" hidden="1">
              <a:extLst>
                <a:ext uri="{63B3BB69-23CF-44E3-9099-C40C66FF867C}">
                  <a14:compatExt spid="_x0000_s41985"/>
                </a:ext>
                <a:ext uri="{FF2B5EF4-FFF2-40B4-BE49-F238E27FC236}">
                  <a16:creationId xmlns:a16="http://schemas.microsoft.com/office/drawing/2014/main" id="{00000000-0008-0000-0400-000001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160020</xdr:colOff>
          <xdr:row>25</xdr:row>
          <xdr:rowOff>114300</xdr:rowOff>
        </xdr:from>
        <xdr:to>
          <xdr:col>8</xdr:col>
          <xdr:colOff>419100</xdr:colOff>
          <xdr:row>25</xdr:row>
          <xdr:rowOff>297180</xdr:rowOff>
        </xdr:to>
        <xdr:sp macro="" textlink="">
          <xdr:nvSpPr>
            <xdr:cNvPr id="41986" name="Check Box 2" hidden="1">
              <a:extLst>
                <a:ext uri="{63B3BB69-23CF-44E3-9099-C40C66FF867C}">
                  <a14:compatExt spid="_x0000_s41986"/>
                </a:ext>
                <a:ext uri="{FF2B5EF4-FFF2-40B4-BE49-F238E27FC236}">
                  <a16:creationId xmlns:a16="http://schemas.microsoft.com/office/drawing/2014/main" id="{00000000-0008-0000-0400-000002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aroline Barbosa" id="{61204D81-0CB9-45B5-B588-3D92D45A75D3}" userId="640303dfd0d430f8" providerId="Windows Live"/>
</personList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DotNotation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4">
  <rv s="0">
    <v>pt-BR</v>
    <v>avylgh</v>
    <v>268435456</v>
    <v>1</v>
    <v>Da plataforma Refinitiv</v>
    <v>0</v>
    <v>1</v>
    <v>USD/BRL</v>
    <v>3</v>
    <v>4</v>
    <v>Finance</v>
    <v>5</v>
    <v>5.6298000000000004</v>
    <v>4.8848000000000003</v>
    <v>5.12</v>
    <v>5.0622999999999996</v>
    <v>USD</v>
    <v>5.1173000000000002</v>
    <v>46233.70548611111</v>
    <v>BRL</v>
    <v>US Dollar/Brazilian Real FX Spot Rate</v>
    <v>5.117</v>
    <v>5.0708000000000002</v>
    <v>USDBRL</v>
    <v>Par de Moedas</v>
    <v>USD/BRL</v>
    <v>-4.65E-2</v>
    <v>-9.0869999999999996E-3</v>
  </rv>
  <rv s="1">
    <v>0</v>
  </rv>
  <rv s="0">
    <v>pt-BR</v>
    <v>av8tf2</v>
    <v>268435456</v>
    <v>1</v>
    <v>Da plataforma Refinitiv</v>
    <v>0</v>
    <v>1</v>
    <v>EUR/BRL</v>
    <v>3</v>
    <v>4</v>
    <v>Finance</v>
    <v>5</v>
    <v>6.6006999999999998</v>
    <v>5.7222999999999997</v>
    <v>5.8784999999999998</v>
    <v>5.8269000000000002</v>
    <v>EUR</v>
    <v>5.867</v>
    <v>46233.70548611111</v>
    <v>BRL</v>
    <v>Euro/Brazilian Real FX Cross Rate</v>
    <v>5.867</v>
    <v>5.8452000000000002</v>
    <v>EURBRL</v>
    <v>Par de Moedas</v>
    <v>EUR/BRL</v>
    <v>-2.18E-2</v>
    <v>-3.7159999999999997E-3</v>
  </rv>
  <rv s="1">
    <v>2</v>
  </rv>
</rvData>
</file>

<file path=xl/richData/rdrichvaluestructure.xml><?xml version="1.0" encoding="utf-8"?>
<rvStructures xmlns="http://schemas.microsoft.com/office/spreadsheetml/2017/richdata" count="2">
  <s t="_linkedentitycore">
    <k n="%EntityCulture" t="s"/>
    <k n="%EntityId" t="s"/>
    <k n="%EntityServiceId"/>
    <k n="%IsRefreshable" t="b"/>
    <k n="%ProviderInfo" t="s"/>
    <k n="_CanonicalPropertyNames" t="spb"/>
    <k n="_Display" t="spb"/>
    <k n="_DisplayString" t="s"/>
    <k n="_Flags" t="spb"/>
    <k n="_Format" t="spb"/>
    <k n="_Icon" t="s"/>
    <k n="_SubLabel" t="spb"/>
    <k n="52 semanas de alta"/>
    <k n="52 semanas de baixa"/>
    <k n="Alto"/>
    <k n="Baixo"/>
    <k n="Da moeda" t="s"/>
    <k n="Fechamento anterior"/>
    <k n="Hora da última transação"/>
    <k n="Moeda" t="s"/>
    <k n="Nome" t="s"/>
    <k n="Pendência"/>
    <k n="Preço"/>
    <k n="Símbolo do ticker" t="s"/>
    <k n="Tipo de instrumento" t="s"/>
    <k n="UniqueName" t="s"/>
    <k n="Variação"/>
    <k n="Variação (%)"/>
  </s>
  <s t="_linkedentity">
    <k n="%cvi" t="r"/>
  </s>
</rvStructures>
</file>

<file path=xl/richData/rdsupportingpropertybag.xml><?xml version="1.0" encoding="utf-8"?>
<supportingPropertyBags xmlns="http://schemas.microsoft.com/office/spreadsheetml/2017/richdata2">
  <spbArrays count="1">
    <a count="28">
      <v t="s">%EntityServiceId</v>
      <v t="s">_Format</v>
      <v t="s">%IsRefreshable</v>
      <v t="s">_CanonicalPropertyNames</v>
      <v t="s">%EntityCulture</v>
      <v t="s">%EntityId</v>
      <v t="s">_Icon</v>
      <v t="s">_Display</v>
      <v t="s">Nome</v>
      <v t="s">Preço</v>
      <v t="s">_SubLabel</v>
      <v t="s">Hora da última transação</v>
      <v t="s">Símbolo do ticker</v>
      <v t="s">Variação</v>
      <v t="s">Variação (%)</v>
      <v t="s">Moeda</v>
      <v t="s">Da moeda</v>
      <v t="s">Fechamento anterior</v>
      <v t="s">Pendência</v>
      <v t="s">Alto</v>
      <v t="s">Baixo</v>
      <v t="s">52 semanas de alta</v>
      <v t="s">52 semanas de baixa</v>
      <v t="s">Tipo de instrumento</v>
      <v t="s">_Flags</v>
      <v t="s">UniqueName</v>
      <v t="s">_DisplayString</v>
      <v t="s">%ProviderInfo</v>
    </a>
  </spbArrays>
  <spbData count="6">
    <spb s="0">
      <v>High</v>
      <v>Name</v>
      <v>Low</v>
      <v>Currency</v>
      <v>Price</v>
      <v>From currency</v>
      <v>Change</v>
      <v>Open</v>
      <v>UniqueName</v>
      <v>Change (%)</v>
      <v>%ProviderInfo</v>
      <v>Ticker symbol</v>
      <v>52 week high</v>
      <v>52 week low</v>
      <v>Previous close</v>
      <v>Instrument type</v>
      <v>Last trade time</v>
    </spb>
    <spb s="1">
      <v>0</v>
      <v>Name</v>
    </spb>
    <spb s="2">
      <v>0</v>
      <v>0</v>
      <v>0</v>
    </spb>
    <spb s="3">
      <v>2</v>
      <v>2</v>
    </spb>
    <spb s="4">
      <v>1</v>
      <v>2</v>
      <v>1</v>
      <v>1</v>
      <v>1</v>
      <v>1</v>
      <v>3</v>
      <v>4</v>
      <v>1</v>
      <v>1</v>
      <v>1</v>
      <v>5</v>
    </spb>
    <spb s="5">
      <v>GMT</v>
    </spb>
  </spbData>
</supportingPropertyBags>
</file>

<file path=xl/richData/rdsupportingpropertybagstructure.xml><?xml version="1.0" encoding="utf-8"?>
<spbStructures xmlns="http://schemas.microsoft.com/office/spreadsheetml/2017/richdata2" count="6">
  <s>
    <k n="Alto" t="s"/>
    <k n="Nome" t="s"/>
    <k n="Baixo" t="s"/>
    <k n="Moeda" t="s"/>
    <k n="Preço" t="s"/>
    <k n="Da moeda" t="s"/>
    <k n="Variação" t="s"/>
    <k n="Pendência" t="s"/>
    <k n="UniqueName" t="s"/>
    <k n="Variação (%)" t="s"/>
    <k n="%ProviderInfo" t="s"/>
    <k n="Símbolo do ticker" t="s"/>
    <k n="52 semanas de alta" t="s"/>
    <k n="52 semanas de baixa" t="s"/>
    <k n="Fechamento anterior" t="s"/>
    <k n="Tipo de instrumento" t="s"/>
    <k n="Hora da última transação" t="s"/>
  </s>
  <s>
    <k n="^Order" t="spba"/>
    <k n="TitleProperty" t="s"/>
  </s>
  <s>
    <k n="ShowInCardView" t="b"/>
    <k n="ShowInDotNotation" t="b"/>
    <k n="ShowInAutoComplete" t="b"/>
  </s>
  <s>
    <k n="UniqueName" t="spb"/>
    <k n="`%ProviderInfo" t="spb"/>
  </s>
  <s>
    <k n="Alto" t="i"/>
    <k n="Nome" t="i"/>
    <k n="Baixo" t="i"/>
    <k n="Preço" t="i"/>
    <k n="Variação" t="i"/>
    <k n="Pendência" t="i"/>
    <k n="Variação (%)" t="i"/>
    <k n="`%EntityServiceId" t="i"/>
    <k n="52 semanas de alta" t="i"/>
    <k n="52 semanas de baixa" t="i"/>
    <k n="Fechamento anterior" t="i"/>
    <k n="Hora da última transação" t="i"/>
  </s>
  <s>
    <k n="Hora da última transação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4">
    <x:dxf>
      <x:numFmt numFmtId="0" formatCode="General"/>
    </x:dxf>
    <x:dxf>
      <x:numFmt numFmtId="14" formatCode="0.00%"/>
    </x:dxf>
    <x:dxf>
      <x:numFmt numFmtId="2" formatCode="0.00"/>
    </x:dxf>
    <x:dxf>
      <x:numFmt numFmtId="27" formatCode="dd/mm/yyyy\ hh:mm"/>
    </x:dxf>
  </dxfs>
  <richProperties>
    <rPr n="NumberFormat" t="s"/>
    <rPr n="IsTitleField" t="b"/>
  </richProperties>
  <richStyles>
    <rSty dxfid="0">
      <rpv i="0">_-[$R$-pt-BR] * #,##0.00_-;-[$R$-pt-BR] * #,##0.00_-;_-[$R$-pt-BR] * "-"??_-;_-@_-</rpv>
    </rSty>
    <rSty>
      <rpv i="1">1</rpv>
    </rSty>
    <rSty dxfid="1"/>
    <rSty dxfid="2">
      <rpv i="0">0.00</rpv>
    </rSty>
    <rSty dxfid="3"/>
  </richStyles>
</richStyleShee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442B4F-1A1B-4D71-8039-5EE9E32612AB}" name="Tabela2" displayName="Tabela2" ref="A2:M58" totalsRowShown="0" headerRowDxfId="8" dataDxfId="7">
  <autoFilter ref="A2:M58" xr:uid="{67442B4F-1A1B-4D71-8039-5EE9E32612AB}"/>
  <tableColumns count="13">
    <tableColumn id="1" xr3:uid="{0A4E83BE-370C-4833-BDF9-204D73FCE2A8}" name="Item" dataDxfId="6"/>
    <tableColumn id="2" xr3:uid="{1BBE856F-F285-4BFA-BB9F-B9454FD0B518}" name="Produto" dataDxfId="5"/>
    <tableColumn id="4" xr3:uid="{16E14788-D19A-4998-83E9-F2310ABBBE3A}" name="NCM"/>
    <tableColumn id="10" xr3:uid="{284E9387-8C2D-4A73-A8C2-9B4DF608DCDB}" name="II"/>
    <tableColumn id="11" xr3:uid="{EF1CF319-749E-48D5-B14C-DFDA01FD5E8E}" name="IPI"/>
    <tableColumn id="12" xr3:uid="{1B0CADEB-1B8B-42A3-BFD4-055DE232AEA3}" name="PIS"/>
    <tableColumn id="13" xr3:uid="{34A0E8AF-87FE-4482-9796-80C98634BF40}" name="COFINS"/>
    <tableColumn id="15" xr3:uid="{AA5B71B5-EEF1-42D6-B603-5C861165C628}" name="ICMS"/>
    <tableColumn id="5" xr3:uid="{74A0D00A-14A7-4F49-9FE3-E80D69063C54}" name="Quantidade" dataDxfId="4"/>
    <tableColumn id="6" xr3:uid="{8CB8003D-84BC-4011-A9CB-9BDE2746671B}" name="Preço" dataDxfId="3"/>
    <tableColumn id="8" xr3:uid="{70CA7388-FC5D-44FF-B796-C9927E4207C2}" name="% Rateio Quantidade" dataDxfId="2"/>
    <tableColumn id="9" xr3:uid="{6B7BE4D8-37CB-4F3F-905D-56EBAAF9E420}" name="% Rateio Preço" dataDxfId="1"/>
    <tableColumn id="14" xr3:uid="{A35B4811-4D1B-42FB-9C26-37CD4A58D49C}" name="Preço Final" dataDxfId="0">
      <calculatedColumnFormula>'Est. Cust. Naci. 100%'!AJ5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8" dT="2023-01-11T19:16:55.26" personId="{61204D81-0CB9-45B5-B588-3D92D45A75D3}" id="{9F46799C-8588-4CED-A57B-C06D4CA81E6F}">
    <text>Notar que regime tributário é o Simples Nacional, portanto a função não impacta no cálculo de impostos.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CFA6E-3E5A-4E89-912D-107CBA4EFCD5}">
  <dimension ref="A1:J87"/>
  <sheetViews>
    <sheetView tabSelected="1" zoomScale="90" zoomScaleNormal="90" zoomScaleSheetLayoutView="80" workbookViewId="0">
      <selection activeCell="J24" sqref="J24"/>
    </sheetView>
  </sheetViews>
  <sheetFormatPr defaultRowHeight="14.4" x14ac:dyDescent="0.3"/>
  <cols>
    <col min="1" max="1" width="40.33203125" customWidth="1"/>
    <col min="2" max="2" width="29.44140625" customWidth="1"/>
    <col min="3" max="3" width="18.109375" customWidth="1"/>
    <col min="4" max="4" width="21.33203125" customWidth="1"/>
    <col min="5" max="5" width="17" bestFit="1" customWidth="1"/>
    <col min="6" max="6" width="23.109375" customWidth="1"/>
    <col min="7" max="7" width="11.6640625" hidden="1" customWidth="1"/>
    <col min="8" max="9" width="0" hidden="1" customWidth="1"/>
    <col min="10" max="10" width="24.109375" customWidth="1"/>
  </cols>
  <sheetData>
    <row r="1" spans="1:10" x14ac:dyDescent="0.3">
      <c r="A1" s="77"/>
      <c r="B1" s="77"/>
      <c r="C1" s="77"/>
      <c r="D1" s="77"/>
      <c r="E1" s="77"/>
      <c r="F1" s="77"/>
    </row>
    <row r="2" spans="1:10" x14ac:dyDescent="0.3">
      <c r="A2" s="77"/>
      <c r="B2" s="77"/>
      <c r="C2" s="77"/>
      <c r="D2" s="77"/>
      <c r="E2" s="77"/>
      <c r="F2" s="77"/>
    </row>
    <row r="3" spans="1:10" x14ac:dyDescent="0.3">
      <c r="A3" s="83" t="s">
        <v>0</v>
      </c>
      <c r="B3" s="84"/>
      <c r="C3" s="84"/>
      <c r="D3" s="84"/>
      <c r="E3" s="84"/>
      <c r="F3" s="84"/>
    </row>
    <row r="4" spans="1:10" ht="15" thickBot="1" x14ac:dyDescent="0.35">
      <c r="A4" s="84"/>
      <c r="B4" s="84"/>
      <c r="C4" s="84"/>
      <c r="D4" s="84"/>
      <c r="E4" s="84"/>
      <c r="F4" s="84"/>
    </row>
    <row r="5" spans="1:10" x14ac:dyDescent="0.3">
      <c r="A5" s="85"/>
      <c r="B5" s="176" t="s">
        <v>1</v>
      </c>
      <c r="C5" s="177"/>
      <c r="D5" s="177"/>
      <c r="E5" s="177"/>
      <c r="F5" s="178"/>
    </row>
    <row r="6" spans="1:10" x14ac:dyDescent="0.3">
      <c r="A6" s="86"/>
      <c r="B6" s="179"/>
      <c r="C6" s="180"/>
      <c r="D6" s="180"/>
      <c r="E6" s="180"/>
      <c r="F6" s="181"/>
    </row>
    <row r="7" spans="1:10" x14ac:dyDescent="0.3">
      <c r="A7" s="86"/>
      <c r="B7" s="179"/>
      <c r="C7" s="180"/>
      <c r="D7" s="180"/>
      <c r="E7" s="180"/>
      <c r="F7" s="181"/>
    </row>
    <row r="8" spans="1:10" x14ac:dyDescent="0.3">
      <c r="A8" s="86"/>
      <c r="B8" s="88" t="s">
        <v>2</v>
      </c>
      <c r="C8" s="88"/>
      <c r="D8" s="88" t="s">
        <v>3</v>
      </c>
      <c r="E8" s="88"/>
      <c r="F8" s="89" t="s">
        <v>4</v>
      </c>
    </row>
    <row r="9" spans="1:10" x14ac:dyDescent="0.3">
      <c r="A9" s="86"/>
      <c r="B9" s="182" t="s">
        <v>5</v>
      </c>
      <c r="C9" s="183"/>
      <c r="D9" s="88" t="s">
        <v>6</v>
      </c>
      <c r="E9" s="88"/>
      <c r="F9" s="168">
        <f ca="1">TODAY()</f>
        <v>46233</v>
      </c>
    </row>
    <row r="10" spans="1:10" x14ac:dyDescent="0.3">
      <c r="A10" s="86"/>
      <c r="B10" s="88" t="s">
        <v>7</v>
      </c>
      <c r="C10" s="87"/>
      <c r="D10" s="88" t="s">
        <v>8</v>
      </c>
      <c r="E10" s="88"/>
      <c r="F10" s="89" t="s">
        <v>9</v>
      </c>
    </row>
    <row r="11" spans="1:10" ht="15" thickBot="1" x14ac:dyDescent="0.35">
      <c r="A11" s="90"/>
      <c r="B11" s="91"/>
      <c r="C11" s="92"/>
      <c r="D11" s="91"/>
      <c r="E11" s="91"/>
      <c r="F11" s="93"/>
    </row>
    <row r="12" spans="1:10" ht="15" thickBot="1" x14ac:dyDescent="0.35">
      <c r="A12" s="94" t="s">
        <v>10</v>
      </c>
      <c r="B12" s="95" t="e" vm="1">
        <v>#VALUE!</v>
      </c>
      <c r="C12" s="96">
        <f>5.14</f>
        <v>5.14</v>
      </c>
      <c r="D12" s="95" t="s">
        <v>11</v>
      </c>
      <c r="E12" s="97" t="str">
        <f>'Lista de Compra'!C4</f>
        <v xml:space="preserve">7307.93.00 </v>
      </c>
      <c r="F12" s="98"/>
      <c r="J12" s="8"/>
    </row>
    <row r="13" spans="1:10" ht="15" thickBot="1" x14ac:dyDescent="0.35">
      <c r="A13" s="184" t="s">
        <v>12</v>
      </c>
      <c r="B13" s="185"/>
      <c r="C13" s="185"/>
      <c r="D13" s="185"/>
      <c r="E13" s="185"/>
      <c r="F13" s="186"/>
    </row>
    <row r="14" spans="1:10" x14ac:dyDescent="0.3">
      <c r="A14" s="99" t="s">
        <v>13</v>
      </c>
      <c r="B14" s="100" t="s">
        <v>14</v>
      </c>
      <c r="C14" s="100"/>
      <c r="D14" s="100" t="s">
        <v>15</v>
      </c>
      <c r="E14" s="100"/>
      <c r="F14" s="101" t="s">
        <v>16</v>
      </c>
    </row>
    <row r="15" spans="1:10" x14ac:dyDescent="0.3">
      <c r="A15" s="102"/>
      <c r="B15" s="103">
        <f>'Est. Cust. Naci. 100%'!D5</f>
        <v>11873</v>
      </c>
      <c r="C15" s="104"/>
      <c r="D15" s="105">
        <f>'Est. Cust. Naci. 100%'!G5</f>
        <v>35053.99</v>
      </c>
      <c r="E15" s="106"/>
      <c r="F15" s="107">
        <f>'Est. Cust. Naci. 100%'!H5</f>
        <v>180177.50860000006</v>
      </c>
    </row>
    <row r="16" spans="1:10" x14ac:dyDescent="0.3">
      <c r="A16" s="108" t="s">
        <v>17</v>
      </c>
      <c r="B16" s="109"/>
      <c r="C16" s="110"/>
      <c r="D16" s="111"/>
      <c r="E16" s="111"/>
      <c r="F16" s="112"/>
    </row>
    <row r="17" spans="1:7" x14ac:dyDescent="0.3">
      <c r="A17" s="113" t="s">
        <v>18</v>
      </c>
      <c r="B17" s="114"/>
      <c r="C17" s="115"/>
      <c r="D17" s="116"/>
      <c r="E17" s="117"/>
      <c r="F17" s="118"/>
    </row>
    <row r="18" spans="1:7" x14ac:dyDescent="0.3">
      <c r="A18" s="119" t="s">
        <v>19</v>
      </c>
      <c r="B18" s="120"/>
      <c r="C18" s="117"/>
      <c r="D18" s="121"/>
      <c r="E18" s="121"/>
      <c r="F18" s="122"/>
    </row>
    <row r="19" spans="1:7" ht="15" thickBot="1" x14ac:dyDescent="0.35">
      <c r="A19" s="123" t="s">
        <v>20</v>
      </c>
      <c r="B19" s="124"/>
      <c r="C19" s="125"/>
      <c r="D19" s="126">
        <f>'Rateio Custos Fixos'!G68</f>
        <v>5119.4494163424124</v>
      </c>
      <c r="E19" s="121"/>
      <c r="F19" s="127">
        <f>'Rateio Custos Fixos'!G67</f>
        <v>26313.969999999998</v>
      </c>
    </row>
    <row r="20" spans="1:7" ht="15" thickBot="1" x14ac:dyDescent="0.35">
      <c r="A20" s="128" t="s">
        <v>21</v>
      </c>
      <c r="B20" s="129"/>
      <c r="C20" s="129"/>
      <c r="D20" s="129"/>
      <c r="E20" s="129"/>
      <c r="F20" s="130">
        <f>SUM(F15+F19)</f>
        <v>206491.47860000006</v>
      </c>
    </row>
    <row r="21" spans="1:7" x14ac:dyDescent="0.3">
      <c r="A21" s="184" t="s">
        <v>22</v>
      </c>
      <c r="B21" s="185"/>
      <c r="C21" s="185"/>
      <c r="D21" s="185"/>
      <c r="E21" s="185"/>
      <c r="F21" s="186"/>
    </row>
    <row r="22" spans="1:7" x14ac:dyDescent="0.3">
      <c r="A22" s="131" t="s">
        <v>22</v>
      </c>
      <c r="B22" s="132" t="s">
        <v>23</v>
      </c>
      <c r="C22" s="132"/>
      <c r="D22" s="132"/>
      <c r="E22" s="132"/>
      <c r="F22" s="133" t="s">
        <v>24</v>
      </c>
    </row>
    <row r="23" spans="1:7" x14ac:dyDescent="0.3">
      <c r="A23" s="134" t="s">
        <v>25</v>
      </c>
      <c r="B23" s="135">
        <f>'Lista de Compra'!D4</f>
        <v>0.126</v>
      </c>
      <c r="C23" s="132"/>
      <c r="D23" s="132"/>
      <c r="E23" s="132"/>
      <c r="F23" s="136">
        <f>'Est. Cust. Naci. 100%'!L4</f>
        <v>26017.926303600001</v>
      </c>
    </row>
    <row r="24" spans="1:7" x14ac:dyDescent="0.3">
      <c r="A24" s="134" t="s">
        <v>26</v>
      </c>
      <c r="B24" s="137">
        <f>'Lista de Compra'!F4</f>
        <v>2.1000000000000001E-2</v>
      </c>
      <c r="C24" s="132"/>
      <c r="D24" s="132"/>
      <c r="E24" s="132"/>
      <c r="F24" s="136">
        <f>'Est. Cust. Naci. 100%'!N4</f>
        <v>4882.6975029756004</v>
      </c>
    </row>
    <row r="25" spans="1:7" x14ac:dyDescent="0.3">
      <c r="A25" s="134" t="s">
        <v>27</v>
      </c>
      <c r="B25" s="135">
        <f>'Lista de Compra'!G4</f>
        <v>9.6500000000000002E-2</v>
      </c>
      <c r="C25" s="132"/>
      <c r="D25" s="132"/>
      <c r="E25" s="132"/>
      <c r="F25" s="136">
        <f>'Est. Cust. Naci. 100%'!O4</f>
        <v>22437.15757319739</v>
      </c>
    </row>
    <row r="26" spans="1:7" x14ac:dyDescent="0.3">
      <c r="A26" s="134" t="s">
        <v>28</v>
      </c>
      <c r="B26" s="135">
        <f>'Lista de Compra'!E4</f>
        <v>3.6499999999999998E-2</v>
      </c>
      <c r="C26" s="132"/>
      <c r="D26" s="132"/>
      <c r="E26" s="132"/>
      <c r="F26" s="136">
        <f>'Est. Cust. Naci. 100%'!M4</f>
        <v>8486.5932789813996</v>
      </c>
    </row>
    <row r="27" spans="1:7" ht="15" thickBot="1" x14ac:dyDescent="0.35">
      <c r="A27" s="134" t="s">
        <v>29</v>
      </c>
      <c r="B27" s="135">
        <f>'Lista de Compra'!H4</f>
        <v>0.06</v>
      </c>
      <c r="C27" s="132"/>
      <c r="D27" s="132"/>
      <c r="E27" s="132"/>
      <c r="F27" s="136">
        <f>'Est. Cust. Naci. 100%'!P4</f>
        <v>13950.564294216001</v>
      </c>
    </row>
    <row r="28" spans="1:7" ht="15" thickBot="1" x14ac:dyDescent="0.35">
      <c r="A28" s="128" t="s">
        <v>30</v>
      </c>
      <c r="B28" s="129"/>
      <c r="C28" s="129"/>
      <c r="D28" s="129"/>
      <c r="E28" s="129"/>
      <c r="F28" s="130">
        <f>SUM(F23:F27)</f>
        <v>75774.938952970391</v>
      </c>
    </row>
    <row r="29" spans="1:7" x14ac:dyDescent="0.3">
      <c r="A29" s="184" t="s">
        <v>31</v>
      </c>
      <c r="B29" s="185"/>
      <c r="C29" s="185"/>
      <c r="D29" s="185"/>
      <c r="E29" s="185"/>
      <c r="F29" s="186"/>
      <c r="G29" s="81"/>
    </row>
    <row r="30" spans="1:7" x14ac:dyDescent="0.3">
      <c r="A30" s="138" t="str">
        <f>'Rateio Custos Fixos'!F3</f>
        <v>TAXA SISCOMEX</v>
      </c>
      <c r="B30" s="139"/>
      <c r="C30" s="139"/>
      <c r="D30" s="139"/>
      <c r="E30" s="139"/>
      <c r="F30" s="140">
        <f>'Rateio Custos Fixos'!F4</f>
        <v>350</v>
      </c>
    </row>
    <row r="31" spans="1:7" x14ac:dyDescent="0.3">
      <c r="A31" s="138" t="str">
        <f>'Rateio Custos Fixos'!G3</f>
        <v>B/L</v>
      </c>
      <c r="B31" s="139"/>
      <c r="C31" s="139"/>
      <c r="D31" s="139"/>
      <c r="E31" s="139"/>
      <c r="F31" s="140">
        <f>'Rateio Custos Fixos'!G4</f>
        <v>1100</v>
      </c>
    </row>
    <row r="32" spans="1:7" x14ac:dyDescent="0.3">
      <c r="A32" s="138" t="str">
        <f>'Rateio Custos Fixos'!H3</f>
        <v>T.H.C|  CAPATAZIA</v>
      </c>
      <c r="B32" s="139"/>
      <c r="C32" s="139"/>
      <c r="D32" s="139"/>
      <c r="E32" s="139"/>
      <c r="F32" s="140">
        <f>'Rateio Custos Fixos'!H4</f>
        <v>1500</v>
      </c>
    </row>
    <row r="33" spans="1:10" x14ac:dyDescent="0.3">
      <c r="A33" s="138" t="str">
        <f>'Rateio Custos Fixos'!I3</f>
        <v>ISPS</v>
      </c>
      <c r="B33" s="139"/>
      <c r="C33" s="139"/>
      <c r="D33" s="139"/>
      <c r="E33" s="139"/>
      <c r="F33" s="140">
        <f>'Rateio Custos Fixos'!I4</f>
        <v>100</v>
      </c>
    </row>
    <row r="34" spans="1:10" x14ac:dyDescent="0.3">
      <c r="A34" s="138" t="str">
        <f>'Rateio Custos Fixos'!J3</f>
        <v>DAMAGE PROTECTION</v>
      </c>
      <c r="B34" s="139"/>
      <c r="C34" s="139"/>
      <c r="D34" s="139"/>
      <c r="E34" s="139"/>
      <c r="F34" s="140">
        <f>'Rateio Custos Fixos'!J4</f>
        <v>180</v>
      </c>
    </row>
    <row r="35" spans="1:10" x14ac:dyDescent="0.3">
      <c r="A35" s="138" t="str">
        <f>'Rateio Custos Fixos'!K3</f>
        <v>DESCONSOLIDAÇÃO</v>
      </c>
      <c r="B35" s="139"/>
      <c r="C35" s="139"/>
      <c r="D35" s="139"/>
      <c r="E35" s="139"/>
      <c r="F35" s="140">
        <f>'Rateio Custos Fixos'!K4</f>
        <v>490</v>
      </c>
    </row>
    <row r="36" spans="1:10" x14ac:dyDescent="0.3">
      <c r="A36" s="138" t="str">
        <f>'Rateio Custos Fixos'!L3</f>
        <v>SERVIÇO DE ENTREGA DE CONTAINER</v>
      </c>
      <c r="B36" s="139"/>
      <c r="C36" s="139"/>
      <c r="D36" s="139"/>
      <c r="E36" s="139"/>
      <c r="F36" s="140">
        <f>'Rateio Custos Fixos'!L4</f>
        <v>1060</v>
      </c>
    </row>
    <row r="37" spans="1:10" x14ac:dyDescent="0.3">
      <c r="A37" s="138" t="str">
        <f>'Rateio Custos Fixos'!M3</f>
        <v>DELIVERY ORDER</v>
      </c>
      <c r="B37" s="139"/>
      <c r="C37" s="139"/>
      <c r="D37" s="139"/>
      <c r="E37" s="139"/>
      <c r="F37" s="140">
        <f>'Rateio Custos Fixos'!M4</f>
        <v>366</v>
      </c>
    </row>
    <row r="38" spans="1:10" x14ac:dyDescent="0.3">
      <c r="A38" s="138" t="str">
        <f>'Rateio Custos Fixos'!N3</f>
        <v>AFRMM</v>
      </c>
      <c r="B38" s="141">
        <v>0.08</v>
      </c>
      <c r="C38" s="139"/>
      <c r="D38" s="139"/>
      <c r="E38" s="139"/>
      <c r="F38" s="140">
        <f>'Rateio Custos Fixos'!N2</f>
        <v>2105.1175999999991</v>
      </c>
    </row>
    <row r="39" spans="1:10" x14ac:dyDescent="0.3">
      <c r="A39" s="138" t="str">
        <f>'Rateio Custos Fixos'!O3</f>
        <v xml:space="preserve">ARMAZENAGEM </v>
      </c>
      <c r="B39" s="139"/>
      <c r="C39" s="139"/>
      <c r="D39" s="139"/>
      <c r="E39" s="139"/>
      <c r="F39" s="140">
        <f>'Rateio Custos Fixos'!O4</f>
        <v>1500</v>
      </c>
      <c r="J39" t="s">
        <v>32</v>
      </c>
    </row>
    <row r="40" spans="1:10" x14ac:dyDescent="0.3">
      <c r="A40" s="138" t="str">
        <f>'Rateio Custos Fixos'!P3</f>
        <v>IMPORT LOGIST FREE</v>
      </c>
      <c r="B40" s="84"/>
      <c r="C40" s="139"/>
      <c r="D40" s="139"/>
      <c r="E40" s="139"/>
      <c r="F40" s="140">
        <f>'Rateio Custos Fixos'!P4</f>
        <v>300</v>
      </c>
    </row>
    <row r="41" spans="1:10" x14ac:dyDescent="0.3">
      <c r="A41" s="138" t="str">
        <f>'Rateio Custos Fixos'!Q3</f>
        <v>DROP OFF</v>
      </c>
      <c r="B41" s="139"/>
      <c r="C41" s="139"/>
      <c r="D41" s="139"/>
      <c r="E41" s="139"/>
      <c r="F41" s="140">
        <f>'Rateio Custos Fixos'!Q4</f>
        <v>320.33</v>
      </c>
    </row>
    <row r="42" spans="1:10" x14ac:dyDescent="0.3">
      <c r="A42" s="138" t="str">
        <f>'Rateio Custos Fixos'!R3</f>
        <v>TAXA</v>
      </c>
      <c r="B42" s="139"/>
      <c r="C42" s="139"/>
      <c r="D42" s="139"/>
      <c r="E42" s="139"/>
      <c r="F42" s="140">
        <f>'Rateio Custos Fixos'!R4</f>
        <v>200</v>
      </c>
    </row>
    <row r="43" spans="1:10" x14ac:dyDescent="0.3">
      <c r="A43" s="138" t="str">
        <f>'Rateio Custos Fixos'!S3</f>
        <v>FRETE RODOVIÁRIO</v>
      </c>
      <c r="B43" s="139"/>
      <c r="C43" s="139"/>
      <c r="D43" s="139"/>
      <c r="E43" s="139"/>
      <c r="F43" s="140">
        <f>'Rateio Custos Fixos'!S4</f>
        <v>4500</v>
      </c>
    </row>
    <row r="44" spans="1:10" x14ac:dyDescent="0.3">
      <c r="A44" s="138" t="s">
        <v>182</v>
      </c>
      <c r="B44" s="139"/>
      <c r="C44" s="139"/>
      <c r="D44" s="139"/>
      <c r="E44" s="139"/>
      <c r="F44" s="140">
        <f>'Rateio Custos Fixos'!T4</f>
        <v>8303.2999999999993</v>
      </c>
    </row>
    <row r="45" spans="1:10" ht="15" thickBot="1" x14ac:dyDescent="0.35">
      <c r="A45" s="138" t="str">
        <f>'Rateio Custos Fixos'!U3</f>
        <v>DESEMBARAÇO ADUANEIRO</v>
      </c>
      <c r="B45" s="139"/>
      <c r="C45" s="139"/>
      <c r="D45" s="139"/>
      <c r="E45" s="139"/>
      <c r="F45" s="140">
        <f>'Rateio Custos Fixos'!U4</f>
        <v>1300</v>
      </c>
    </row>
    <row r="46" spans="1:10" ht="15" thickBot="1" x14ac:dyDescent="0.35">
      <c r="A46" s="128" t="s">
        <v>33</v>
      </c>
      <c r="B46" s="142"/>
      <c r="C46" s="142"/>
      <c r="D46" s="142"/>
      <c r="E46" s="142"/>
      <c r="F46" s="143">
        <f>SUM(F30:F45)</f>
        <v>23674.747599999999</v>
      </c>
    </row>
    <row r="47" spans="1:10" ht="15" thickBot="1" x14ac:dyDescent="0.35">
      <c r="A47" s="173" t="s">
        <v>34</v>
      </c>
      <c r="B47" s="174"/>
      <c r="C47" s="174"/>
      <c r="D47" s="174"/>
      <c r="E47" s="175"/>
      <c r="F47" s="146">
        <f>F20+F28+F46</f>
        <v>305941.16515297047</v>
      </c>
    </row>
    <row r="48" spans="1:10" ht="15" hidden="1" thickBot="1" x14ac:dyDescent="0.35">
      <c r="A48" s="144"/>
      <c r="B48" s="145"/>
      <c r="C48" s="145"/>
      <c r="D48" s="145"/>
      <c r="E48" s="147" t="s">
        <v>35</v>
      </c>
      <c r="F48" s="148" t="s">
        <v>35</v>
      </c>
    </row>
    <row r="49" spans="1:6" ht="15" hidden="1" thickBot="1" x14ac:dyDescent="0.35">
      <c r="A49" s="149">
        <f>A15</f>
        <v>0</v>
      </c>
      <c r="B49" s="150"/>
      <c r="C49" s="150"/>
      <c r="D49" s="150"/>
      <c r="E49" s="151"/>
      <c r="F49" s="151">
        <f t="shared" ref="F49" si="0">E49*15</f>
        <v>0</v>
      </c>
    </row>
    <row r="50" spans="1:6" x14ac:dyDescent="0.3">
      <c r="A50" s="152" t="s">
        <v>36</v>
      </c>
      <c r="B50" s="153">
        <f>F15</f>
        <v>180177.50860000006</v>
      </c>
      <c r="C50" s="154"/>
      <c r="D50" s="154"/>
      <c r="E50" s="154"/>
      <c r="F50" s="155"/>
    </row>
    <row r="51" spans="1:6" x14ac:dyDescent="0.3">
      <c r="A51" s="156" t="s">
        <v>37</v>
      </c>
      <c r="B51" s="157">
        <f>B52-B50</f>
        <v>125763.65655297041</v>
      </c>
      <c r="C51" s="84"/>
      <c r="D51" s="84"/>
      <c r="E51" s="84"/>
      <c r="F51" s="158"/>
    </row>
    <row r="52" spans="1:6" x14ac:dyDescent="0.3">
      <c r="A52" s="156" t="s">
        <v>35</v>
      </c>
      <c r="B52" s="157">
        <f>F47</f>
        <v>305941.16515297047</v>
      </c>
      <c r="C52" s="84"/>
      <c r="D52" s="84"/>
      <c r="E52" s="84"/>
      <c r="F52" s="158"/>
    </row>
    <row r="53" spans="1:6" ht="15" thickBot="1" x14ac:dyDescent="0.35">
      <c r="A53" s="159" t="s">
        <v>38</v>
      </c>
      <c r="B53" s="160">
        <f>B51/B50</f>
        <v>0.69799864328332917</v>
      </c>
      <c r="C53" s="124"/>
      <c r="D53" s="124"/>
      <c r="E53" s="124"/>
      <c r="F53" s="161"/>
    </row>
    <row r="66" ht="29.25" customHeight="1" x14ac:dyDescent="0.3"/>
    <row r="67" ht="28.5" customHeight="1" x14ac:dyDescent="0.3"/>
    <row r="68" ht="30" customHeight="1" x14ac:dyDescent="0.3"/>
    <row r="69" ht="30.75" customHeight="1" x14ac:dyDescent="0.3"/>
    <row r="70" ht="32.25" customHeight="1" x14ac:dyDescent="0.3"/>
    <row r="71" ht="31.5" customHeight="1" x14ac:dyDescent="0.3"/>
    <row r="72" ht="29.25" customHeight="1" x14ac:dyDescent="0.3"/>
    <row r="73" ht="30" customHeight="1" x14ac:dyDescent="0.3"/>
    <row r="74" ht="30" customHeight="1" x14ac:dyDescent="0.3"/>
    <row r="75" ht="28.5" customHeight="1" x14ac:dyDescent="0.3"/>
    <row r="76" ht="30.75" customHeight="1" x14ac:dyDescent="0.3"/>
    <row r="77" ht="30.75" customHeight="1" x14ac:dyDescent="0.3"/>
    <row r="78" ht="31.5" customHeight="1" x14ac:dyDescent="0.3"/>
    <row r="79" ht="29.25" customHeight="1" x14ac:dyDescent="0.3"/>
    <row r="80" ht="29.25" customHeight="1" x14ac:dyDescent="0.3"/>
    <row r="81" ht="30.75" customHeight="1" x14ac:dyDescent="0.3"/>
    <row r="82" ht="30" customHeight="1" x14ac:dyDescent="0.3"/>
    <row r="83" ht="29.25" customHeight="1" x14ac:dyDescent="0.3"/>
    <row r="84" ht="28.5" customHeight="1" x14ac:dyDescent="0.3"/>
    <row r="85" ht="28.5" customHeight="1" x14ac:dyDescent="0.3"/>
    <row r="86" ht="28.5" customHeight="1" x14ac:dyDescent="0.3"/>
    <row r="87" ht="28.5" customHeight="1" x14ac:dyDescent="0.3"/>
  </sheetData>
  <mergeCells count="6">
    <mergeCell ref="A47:E47"/>
    <mergeCell ref="B5:F7"/>
    <mergeCell ref="B9:C9"/>
    <mergeCell ref="A13:F13"/>
    <mergeCell ref="A21:F21"/>
    <mergeCell ref="A29:F29"/>
  </mergeCells>
  <pageMargins left="0.51181102362204722" right="0.51181102362204722" top="0.78740157480314965" bottom="0.78740157480314965" header="0.31496062992125984" footer="0.31496062992125984"/>
  <pageSetup paperSize="9" scale="53" orientation="portrait" horizontalDpi="360" verticalDpi="36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4250C-1558-431E-B4B2-AE9F078FD5B4}">
  <dimension ref="A1:M58"/>
  <sheetViews>
    <sheetView zoomScale="80" zoomScaleNormal="80" zoomScaleSheetLayoutView="80" workbookViewId="0">
      <selection activeCell="I60" sqref="I60"/>
    </sheetView>
  </sheetViews>
  <sheetFormatPr defaultRowHeight="14.4" x14ac:dyDescent="0.3"/>
  <cols>
    <col min="1" max="1" width="13.33203125" style="73" customWidth="1"/>
    <col min="2" max="2" width="71.33203125" style="2" customWidth="1"/>
    <col min="3" max="3" width="15.33203125" customWidth="1"/>
    <col min="4" max="5" width="8" customWidth="1"/>
    <col min="6" max="6" width="14.5546875" customWidth="1"/>
    <col min="7" max="7" width="8" customWidth="1"/>
    <col min="8" max="8" width="17.6640625" customWidth="1"/>
    <col min="9" max="9" width="16.109375" style="1" customWidth="1"/>
    <col min="10" max="10" width="18.33203125" style="46" customWidth="1"/>
    <col min="11" max="11" width="18.33203125" style="2" customWidth="1"/>
    <col min="12" max="12" width="11.44140625" style="2" bestFit="1" customWidth="1"/>
    <col min="13" max="13" width="15.88671875" bestFit="1" customWidth="1"/>
  </cols>
  <sheetData>
    <row r="1" spans="1:13" x14ac:dyDescent="0.3">
      <c r="A1" s="2"/>
      <c r="B1"/>
      <c r="H1" s="1"/>
      <c r="J1" s="75"/>
      <c r="L1"/>
      <c r="M1" s="2"/>
    </row>
    <row r="2" spans="1:13" s="40" customFormat="1" ht="32.25" customHeight="1" x14ac:dyDescent="0.3">
      <c r="A2" s="40" t="s">
        <v>39</v>
      </c>
      <c r="B2" s="41" t="s">
        <v>40</v>
      </c>
      <c r="C2" s="40" t="s">
        <v>41</v>
      </c>
      <c r="D2" s="42" t="s">
        <v>42</v>
      </c>
      <c r="E2" s="42" t="s">
        <v>43</v>
      </c>
      <c r="F2" s="42" t="s">
        <v>44</v>
      </c>
      <c r="G2" s="42" t="s">
        <v>45</v>
      </c>
      <c r="H2" s="42" t="s">
        <v>29</v>
      </c>
      <c r="I2" s="40" t="s">
        <v>46</v>
      </c>
      <c r="J2" s="76" t="s">
        <v>47</v>
      </c>
      <c r="K2" s="41" t="s">
        <v>48</v>
      </c>
      <c r="L2" s="41" t="s">
        <v>49</v>
      </c>
      <c r="M2" s="40" t="s">
        <v>50</v>
      </c>
    </row>
    <row r="3" spans="1:13" x14ac:dyDescent="0.3">
      <c r="A3" s="162"/>
      <c r="B3" s="163"/>
      <c r="C3" s="139"/>
      <c r="D3" s="139"/>
      <c r="E3" s="139"/>
      <c r="I3" s="167">
        <f>SUM(I4:I58)</f>
        <v>11873</v>
      </c>
      <c r="J3" s="46">
        <f>SUM(J4:J58)</f>
        <v>434.21000000000015</v>
      </c>
      <c r="K3" s="49"/>
      <c r="L3" s="49"/>
      <c r="M3" s="1">
        <f>'Est. Cust. Naci. 100%'!AJ5</f>
        <v>0</v>
      </c>
    </row>
    <row r="4" spans="1:13" ht="39.9" customHeight="1" x14ac:dyDescent="0.3">
      <c r="A4" s="117">
        <v>1</v>
      </c>
      <c r="B4" s="164" t="s">
        <v>128</v>
      </c>
      <c r="C4" s="172" t="s">
        <v>183</v>
      </c>
      <c r="D4" s="165">
        <v>0.126</v>
      </c>
      <c r="E4" s="166">
        <v>3.6499999999999998E-2</v>
      </c>
      <c r="F4" s="68">
        <v>2.1000000000000001E-2</v>
      </c>
      <c r="G4" s="68">
        <v>9.6500000000000002E-2</v>
      </c>
      <c r="H4" s="69">
        <v>0.06</v>
      </c>
      <c r="I4" s="74">
        <v>200</v>
      </c>
      <c r="J4" s="171">
        <v>1.04</v>
      </c>
      <c r="K4" s="67">
        <f>I4/$I$3</f>
        <v>1.6844942306072603E-2</v>
      </c>
      <c r="L4" s="67">
        <f>J4/$J$3</f>
        <v>2.3951544183689914E-3</v>
      </c>
      <c r="M4" s="82">
        <f>'Est. Cust. Naci. 100%'!AJ6</f>
        <v>8.0215376523287798</v>
      </c>
    </row>
    <row r="5" spans="1:13" ht="39.9" customHeight="1" x14ac:dyDescent="0.3">
      <c r="A5" s="117">
        <v>2</v>
      </c>
      <c r="B5" s="164" t="s">
        <v>129</v>
      </c>
      <c r="C5" s="172" t="s">
        <v>184</v>
      </c>
      <c r="D5" s="165">
        <v>0.126</v>
      </c>
      <c r="E5" s="166">
        <v>3.6499999999999998E-2</v>
      </c>
      <c r="F5" s="68">
        <v>2.1000000000000001E-2</v>
      </c>
      <c r="G5" s="68">
        <v>9.6500000000000002E-2</v>
      </c>
      <c r="H5" s="69">
        <v>0.06</v>
      </c>
      <c r="I5" s="74">
        <v>50</v>
      </c>
      <c r="J5" s="171">
        <v>1.84</v>
      </c>
      <c r="K5" s="67">
        <f t="shared" ref="K5:K9" si="0">I5/$I$3</f>
        <v>4.2112355765181507E-3</v>
      </c>
      <c r="L5" s="67">
        <f t="shared" ref="L5:L9" si="1">J5/$J$3</f>
        <v>4.237580894037446E-3</v>
      </c>
      <c r="M5" s="82">
        <f>'Est. Cust. Naci. 100%'!AJ7</f>
        <v>17.983208744972909</v>
      </c>
    </row>
    <row r="6" spans="1:13" ht="39.9" customHeight="1" x14ac:dyDescent="0.3">
      <c r="A6" s="117">
        <v>3</v>
      </c>
      <c r="B6" s="164" t="s">
        <v>130</v>
      </c>
      <c r="C6" s="172" t="s">
        <v>185</v>
      </c>
      <c r="D6" s="165">
        <v>0.126</v>
      </c>
      <c r="E6" s="166">
        <v>3.6499999999999998E-2</v>
      </c>
      <c r="F6" s="68">
        <v>2.1000000000000001E-2</v>
      </c>
      <c r="G6" s="68">
        <v>9.6500000000000002E-2</v>
      </c>
      <c r="H6" s="69">
        <v>0.06</v>
      </c>
      <c r="I6" s="74">
        <v>800</v>
      </c>
      <c r="J6" s="171">
        <v>1.57</v>
      </c>
      <c r="K6" s="67">
        <f t="shared" si="0"/>
        <v>6.7379769224290412E-2</v>
      </c>
      <c r="L6" s="67">
        <f t="shared" si="1"/>
        <v>3.6157619584993427E-3</v>
      </c>
      <c r="M6" s="82">
        <f>'Est. Cust. Naci. 100%'!AJ8</f>
        <v>11.300703727456773</v>
      </c>
    </row>
    <row r="7" spans="1:13" ht="39.9" customHeight="1" x14ac:dyDescent="0.3">
      <c r="A7" s="117">
        <v>4</v>
      </c>
      <c r="B7" s="164" t="s">
        <v>131</v>
      </c>
      <c r="C7" s="172" t="s">
        <v>186</v>
      </c>
      <c r="D7" s="165">
        <v>0.126</v>
      </c>
      <c r="E7" s="166">
        <v>3.6499999999999998E-2</v>
      </c>
      <c r="F7" s="68">
        <v>2.1000000000000001E-2</v>
      </c>
      <c r="G7" s="68">
        <v>9.6500000000000002E-2</v>
      </c>
      <c r="H7" s="69">
        <v>0.06</v>
      </c>
      <c r="I7" s="74">
        <v>50</v>
      </c>
      <c r="J7" s="171">
        <v>2.72</v>
      </c>
      <c r="K7" s="67">
        <f t="shared" si="0"/>
        <v>4.2112355765181507E-3</v>
      </c>
      <c r="L7" s="67">
        <f t="shared" si="1"/>
        <v>6.2642500172727465E-3</v>
      </c>
      <c r="M7" s="82">
        <f>'Est. Cust. Naci. 100%'!AJ9</f>
        <v>26.583873796916478</v>
      </c>
    </row>
    <row r="8" spans="1:13" ht="39.9" customHeight="1" x14ac:dyDescent="0.3">
      <c r="A8" s="117">
        <v>5</v>
      </c>
      <c r="B8" s="164" t="s">
        <v>132</v>
      </c>
      <c r="C8" s="172" t="s">
        <v>187</v>
      </c>
      <c r="D8" s="165">
        <v>0.126</v>
      </c>
      <c r="E8" s="166">
        <v>3.6499999999999998E-2</v>
      </c>
      <c r="F8" s="68">
        <v>2.1000000000000001E-2</v>
      </c>
      <c r="G8" s="68">
        <v>9.6500000000000002E-2</v>
      </c>
      <c r="H8" s="69">
        <v>0.06</v>
      </c>
      <c r="I8" s="74">
        <v>30</v>
      </c>
      <c r="J8" s="171">
        <v>1.36</v>
      </c>
      <c r="K8" s="67">
        <f t="shared" si="0"/>
        <v>2.5267413459108901E-3</v>
      </c>
      <c r="L8" s="67">
        <f t="shared" si="1"/>
        <v>3.1321250086363732E-3</v>
      </c>
      <c r="M8" s="82">
        <f>'Est. Cust. Naci. 100%'!AJ10</f>
        <v>15.78281140036373</v>
      </c>
    </row>
    <row r="9" spans="1:13" ht="39.9" customHeight="1" x14ac:dyDescent="0.3">
      <c r="A9" s="117">
        <v>6</v>
      </c>
      <c r="B9" s="164" t="s">
        <v>133</v>
      </c>
      <c r="C9" s="172" t="s">
        <v>188</v>
      </c>
      <c r="D9" s="165">
        <v>0.126</v>
      </c>
      <c r="E9" s="166">
        <v>3.6499999999999998E-2</v>
      </c>
      <c r="F9" s="68">
        <v>2.1000000000000001E-2</v>
      </c>
      <c r="G9" s="68">
        <v>9.6500000000000002E-2</v>
      </c>
      <c r="H9" s="69">
        <v>0.06</v>
      </c>
      <c r="I9" s="74">
        <v>1500</v>
      </c>
      <c r="J9" s="171">
        <v>2.19</v>
      </c>
      <c r="K9" s="67">
        <f t="shared" si="0"/>
        <v>0.1263370672955445</v>
      </c>
      <c r="L9" s="67">
        <f t="shared" si="1"/>
        <v>5.0436424771423943E-3</v>
      </c>
      <c r="M9" s="82">
        <f>'Est. Cust. Naci. 100%'!AJ11</f>
        <v>15.587918990310772</v>
      </c>
    </row>
    <row r="10" spans="1:13" ht="39.9" customHeight="1" x14ac:dyDescent="0.3">
      <c r="A10" s="117">
        <v>7</v>
      </c>
      <c r="B10" s="164" t="s">
        <v>134</v>
      </c>
      <c r="C10" s="172" t="s">
        <v>189</v>
      </c>
      <c r="D10" s="165">
        <v>0.126</v>
      </c>
      <c r="E10" s="166">
        <v>3.6499999999999998E-2</v>
      </c>
      <c r="F10" s="68">
        <v>2.1000000000000001E-2</v>
      </c>
      <c r="G10" s="68">
        <v>9.6500000000000002E-2</v>
      </c>
      <c r="H10" s="69">
        <v>0.06</v>
      </c>
      <c r="I10" s="74">
        <v>400</v>
      </c>
      <c r="J10" s="171">
        <v>3.3</v>
      </c>
      <c r="K10" s="67">
        <f t="shared" ref="K10:K58" si="2">I10/$I$3</f>
        <v>3.3689884612145206E-2</v>
      </c>
      <c r="L10" s="67">
        <f t="shared" ref="L10:L58" si="3">J10/$J$3</f>
        <v>7.6000092121323755E-3</v>
      </c>
      <c r="M10" s="82">
        <f>'Est. Cust. Naci. 100%'!AJ12</f>
        <v>24.319699690098542</v>
      </c>
    </row>
    <row r="11" spans="1:13" ht="39.9" customHeight="1" x14ac:dyDescent="0.3">
      <c r="A11" s="117">
        <v>8</v>
      </c>
      <c r="B11" s="164" t="s">
        <v>135</v>
      </c>
      <c r="C11" s="172" t="s">
        <v>190</v>
      </c>
      <c r="D11" s="165">
        <v>0.126</v>
      </c>
      <c r="E11" s="166">
        <v>3.6499999999999998E-2</v>
      </c>
      <c r="F11" s="68">
        <v>2.1000000000000001E-2</v>
      </c>
      <c r="G11" s="68">
        <v>9.6500000000000002E-2</v>
      </c>
      <c r="H11" s="69">
        <v>0.06</v>
      </c>
      <c r="I11" s="74">
        <v>50</v>
      </c>
      <c r="J11" s="171">
        <v>3.3</v>
      </c>
      <c r="K11" s="67">
        <f t="shared" si="2"/>
        <v>4.2112355765181507E-3</v>
      </c>
      <c r="L11" s="67">
        <f t="shared" si="3"/>
        <v>7.6000092121323755E-3</v>
      </c>
      <c r="M11" s="82">
        <f>'Est. Cust. Naci. 100%'!AJ13</f>
        <v>32.25249394478837</v>
      </c>
    </row>
    <row r="12" spans="1:13" ht="39.9" customHeight="1" x14ac:dyDescent="0.3">
      <c r="A12" s="117">
        <v>9</v>
      </c>
      <c r="B12" s="164" t="s">
        <v>136</v>
      </c>
      <c r="C12" s="172" t="s">
        <v>191</v>
      </c>
      <c r="D12" s="165">
        <v>0.126</v>
      </c>
      <c r="E12" s="166">
        <v>3.6499999999999998E-2</v>
      </c>
      <c r="F12" s="68">
        <v>2.1000000000000001E-2</v>
      </c>
      <c r="G12" s="68">
        <v>9.6500000000000002E-2</v>
      </c>
      <c r="H12" s="69">
        <v>0.06</v>
      </c>
      <c r="I12" s="74">
        <v>30</v>
      </c>
      <c r="J12" s="171">
        <v>5.33</v>
      </c>
      <c r="K12" s="67">
        <f t="shared" si="2"/>
        <v>2.5267413459108901E-3</v>
      </c>
      <c r="L12" s="67">
        <f t="shared" si="3"/>
        <v>1.227516639414108E-2</v>
      </c>
      <c r="M12" s="82">
        <f>'Est. Cust. Naci. 100%'!AJ14</f>
        <v>61.854694679366681</v>
      </c>
    </row>
    <row r="13" spans="1:13" ht="39.9" customHeight="1" x14ac:dyDescent="0.3">
      <c r="A13" s="117">
        <v>10</v>
      </c>
      <c r="B13" s="164" t="s">
        <v>137</v>
      </c>
      <c r="C13" s="172" t="s">
        <v>192</v>
      </c>
      <c r="D13" s="165">
        <v>0.126</v>
      </c>
      <c r="E13" s="166">
        <v>3.6499999999999998E-2</v>
      </c>
      <c r="F13" s="68">
        <v>2.1000000000000001E-2</v>
      </c>
      <c r="G13" s="68">
        <v>9.6500000000000002E-2</v>
      </c>
      <c r="H13" s="69">
        <v>0.06</v>
      </c>
      <c r="I13" s="74">
        <v>150</v>
      </c>
      <c r="J13" s="171">
        <v>3.87</v>
      </c>
      <c r="K13" s="67">
        <f t="shared" si="2"/>
        <v>1.2633706729554451E-2</v>
      </c>
      <c r="L13" s="67">
        <f t="shared" si="3"/>
        <v>8.9127380760461502E-3</v>
      </c>
      <c r="M13" s="82">
        <f>'Est. Cust. Naci. 100%'!AJ15</f>
        <v>30.735376084308179</v>
      </c>
    </row>
    <row r="14" spans="1:13" ht="39.9" customHeight="1" x14ac:dyDescent="0.3">
      <c r="A14" s="117">
        <v>11</v>
      </c>
      <c r="B14" s="164" t="s">
        <v>138</v>
      </c>
      <c r="C14" s="172" t="s">
        <v>193</v>
      </c>
      <c r="D14" s="165">
        <v>0.126</v>
      </c>
      <c r="E14" s="166">
        <v>3.6499999999999998E-2</v>
      </c>
      <c r="F14" s="68">
        <v>2.1000000000000001E-2</v>
      </c>
      <c r="G14" s="68">
        <v>9.6500000000000002E-2</v>
      </c>
      <c r="H14" s="69">
        <v>0.06</v>
      </c>
      <c r="I14" s="74">
        <v>200</v>
      </c>
      <c r="J14" s="171">
        <v>5.43</v>
      </c>
      <c r="K14" s="67">
        <f t="shared" si="2"/>
        <v>1.6844942306072603E-2</v>
      </c>
      <c r="L14" s="67">
        <f t="shared" si="3"/>
        <v>1.2505469703599635E-2</v>
      </c>
      <c r="M14" s="82">
        <f>'Est. Cust. Naci. 100%'!AJ16</f>
        <v>41.88168216552431</v>
      </c>
    </row>
    <row r="15" spans="1:13" ht="39.9" customHeight="1" x14ac:dyDescent="0.3">
      <c r="A15" s="117">
        <v>12</v>
      </c>
      <c r="B15" s="164" t="s">
        <v>145</v>
      </c>
      <c r="C15" s="172" t="s">
        <v>194</v>
      </c>
      <c r="D15" s="165">
        <v>0.126</v>
      </c>
      <c r="E15" s="166">
        <v>3.6499999999999998E-2</v>
      </c>
      <c r="F15" s="68">
        <v>2.1000000000000001E-2</v>
      </c>
      <c r="G15" s="68">
        <v>9.6500000000000002E-2</v>
      </c>
      <c r="H15" s="69">
        <v>0.06</v>
      </c>
      <c r="I15" s="74">
        <v>60</v>
      </c>
      <c r="J15" s="171">
        <v>10.66</v>
      </c>
      <c r="K15" s="67">
        <f t="shared" si="2"/>
        <v>5.0534826918217802E-3</v>
      </c>
      <c r="L15" s="67">
        <f t="shared" si="3"/>
        <v>2.4550332788282159E-2</v>
      </c>
      <c r="M15" s="82">
        <f>'Est. Cust. Naci. 100%'!AJ17</f>
        <v>99.304313816166683</v>
      </c>
    </row>
    <row r="16" spans="1:13" ht="39.9" customHeight="1" x14ac:dyDescent="0.3">
      <c r="A16" s="117">
        <v>13</v>
      </c>
      <c r="B16" s="164" t="s">
        <v>146</v>
      </c>
      <c r="C16" s="172" t="s">
        <v>195</v>
      </c>
      <c r="D16" s="165">
        <v>0.126</v>
      </c>
      <c r="E16" s="166">
        <v>3.6499999999999998E-2</v>
      </c>
      <c r="F16" s="68">
        <v>2.1000000000000001E-2</v>
      </c>
      <c r="G16" s="68">
        <v>9.6500000000000002E-2</v>
      </c>
      <c r="H16" s="69">
        <v>0.06</v>
      </c>
      <c r="I16" s="74">
        <v>1300</v>
      </c>
      <c r="J16" s="171">
        <v>0.4</v>
      </c>
      <c r="K16" s="67">
        <f t="shared" si="2"/>
        <v>0.10949212498947192</v>
      </c>
      <c r="L16" s="67">
        <f t="shared" si="3"/>
        <v>9.212132378342274E-4</v>
      </c>
      <c r="M16" s="82">
        <f>'Est. Cust. Naci. 100%'!AJ18</f>
        <v>2.8527439540549571</v>
      </c>
    </row>
    <row r="17" spans="1:13" ht="39.9" customHeight="1" x14ac:dyDescent="0.3">
      <c r="A17" s="117">
        <v>14</v>
      </c>
      <c r="B17" s="164" t="s">
        <v>147</v>
      </c>
      <c r="C17" s="172" t="s">
        <v>196</v>
      </c>
      <c r="D17" s="165">
        <v>0.126</v>
      </c>
      <c r="E17" s="166">
        <v>3.6499999999999998E-2</v>
      </c>
      <c r="F17" s="68">
        <v>2.1000000000000001E-2</v>
      </c>
      <c r="G17" s="68">
        <v>9.6500000000000002E-2</v>
      </c>
      <c r="H17" s="69">
        <v>0.06</v>
      </c>
      <c r="I17" s="74">
        <v>1700</v>
      </c>
      <c r="J17" s="171">
        <v>0.63</v>
      </c>
      <c r="K17" s="67">
        <f t="shared" si="2"/>
        <v>0.14318200960161712</v>
      </c>
      <c r="L17" s="67">
        <f t="shared" si="3"/>
        <v>1.450910849588908E-3</v>
      </c>
      <c r="M17" s="82">
        <f>'Est. Cust. Naci. 100%'!AJ19</f>
        <v>4.4774084563808971</v>
      </c>
    </row>
    <row r="18" spans="1:13" ht="39.9" customHeight="1" x14ac:dyDescent="0.3">
      <c r="A18" s="117">
        <v>15</v>
      </c>
      <c r="B18" s="164" t="s">
        <v>148</v>
      </c>
      <c r="C18" s="172" t="s">
        <v>197</v>
      </c>
      <c r="D18" s="165">
        <v>0.126</v>
      </c>
      <c r="E18" s="166">
        <v>3.6499999999999998E-2</v>
      </c>
      <c r="F18" s="68">
        <v>2.1000000000000001E-2</v>
      </c>
      <c r="G18" s="68">
        <v>9.6500000000000002E-2</v>
      </c>
      <c r="H18" s="69">
        <v>0.06</v>
      </c>
      <c r="I18" s="74">
        <v>220</v>
      </c>
      <c r="J18" s="171">
        <v>3.03</v>
      </c>
      <c r="K18" s="67">
        <f t="shared" si="2"/>
        <v>1.8529436536679864E-2</v>
      </c>
      <c r="L18" s="67">
        <f t="shared" si="3"/>
        <v>6.9781902765942722E-3</v>
      </c>
      <c r="M18" s="82">
        <f>'Est. Cust. Naci. 100%'!AJ20</f>
        <v>23.181253183873604</v>
      </c>
    </row>
    <row r="19" spans="1:13" ht="39.9" customHeight="1" x14ac:dyDescent="0.3">
      <c r="A19" s="117">
        <v>16</v>
      </c>
      <c r="B19" s="164" t="s">
        <v>149</v>
      </c>
      <c r="C19" s="172" t="s">
        <v>198</v>
      </c>
      <c r="D19" s="165">
        <v>0.126</v>
      </c>
      <c r="E19" s="166">
        <v>3.6499999999999998E-2</v>
      </c>
      <c r="F19" s="68">
        <v>2.1000000000000001E-2</v>
      </c>
      <c r="G19" s="68">
        <v>9.6500000000000002E-2</v>
      </c>
      <c r="H19" s="69">
        <v>0.06</v>
      </c>
      <c r="I19" s="74">
        <v>210</v>
      </c>
      <c r="J19" s="171">
        <v>4.87</v>
      </c>
      <c r="K19" s="67">
        <f t="shared" si="2"/>
        <v>1.7687189421376232E-2</v>
      </c>
      <c r="L19" s="67">
        <f t="shared" si="3"/>
        <v>1.1215771170631718E-2</v>
      </c>
      <c r="M19" s="82">
        <f>'Est. Cust. Naci. 100%'!AJ21</f>
        <v>37.403115364937328</v>
      </c>
    </row>
    <row r="20" spans="1:13" ht="39.9" customHeight="1" x14ac:dyDescent="0.3">
      <c r="A20" s="117">
        <v>17</v>
      </c>
      <c r="B20" s="164" t="s">
        <v>150</v>
      </c>
      <c r="C20" s="172" t="s">
        <v>199</v>
      </c>
      <c r="D20" s="165">
        <v>0.126</v>
      </c>
      <c r="E20" s="166">
        <v>3.6499999999999998E-2</v>
      </c>
      <c r="F20" s="68">
        <v>2.1000000000000001E-2</v>
      </c>
      <c r="G20" s="68">
        <v>9.6500000000000002E-2</v>
      </c>
      <c r="H20" s="69">
        <v>0.06</v>
      </c>
      <c r="I20" s="74">
        <v>200</v>
      </c>
      <c r="J20" s="171">
        <v>7.32</v>
      </c>
      <c r="K20" s="67">
        <f t="shared" si="2"/>
        <v>1.6844942306072603E-2</v>
      </c>
      <c r="L20" s="67">
        <f t="shared" si="3"/>
        <v>1.685820225236636E-2</v>
      </c>
      <c r="M20" s="82">
        <f>'Est. Cust. Naci. 100%'!AJ22</f>
        <v>56.459284245237185</v>
      </c>
    </row>
    <row r="21" spans="1:13" ht="39.9" customHeight="1" x14ac:dyDescent="0.3">
      <c r="A21" s="117">
        <v>18</v>
      </c>
      <c r="B21" s="164" t="s">
        <v>139</v>
      </c>
      <c r="C21" s="172" t="s">
        <v>200</v>
      </c>
      <c r="D21" s="165">
        <v>0.126</v>
      </c>
      <c r="E21" s="166">
        <v>3.6499999999999998E-2</v>
      </c>
      <c r="F21" s="68">
        <v>2.1000000000000001E-2</v>
      </c>
      <c r="G21" s="68">
        <v>9.6500000000000002E-2</v>
      </c>
      <c r="H21" s="69">
        <v>0.06</v>
      </c>
      <c r="I21" s="74">
        <v>10</v>
      </c>
      <c r="J21" s="171">
        <v>7.1</v>
      </c>
      <c r="K21" s="67">
        <f t="shared" si="2"/>
        <v>8.422471153036301E-4</v>
      </c>
      <c r="L21" s="67">
        <f t="shared" si="3"/>
        <v>1.6351534971557533E-2</v>
      </c>
      <c r="M21" s="82">
        <f>'Est. Cust. Naci. 100%'!AJ23</f>
        <v>147.41471011781428</v>
      </c>
    </row>
    <row r="22" spans="1:13" ht="39.9" customHeight="1" x14ac:dyDescent="0.3">
      <c r="A22" s="117">
        <v>19</v>
      </c>
      <c r="B22" s="164" t="s">
        <v>140</v>
      </c>
      <c r="C22" s="172" t="s">
        <v>201</v>
      </c>
      <c r="D22" s="165">
        <v>0.126</v>
      </c>
      <c r="E22" s="166">
        <v>3.6499999999999998E-2</v>
      </c>
      <c r="F22" s="68">
        <v>2.1000000000000001E-2</v>
      </c>
      <c r="G22" s="68">
        <v>9.6500000000000002E-2</v>
      </c>
      <c r="H22" s="69">
        <v>0.06</v>
      </c>
      <c r="I22" s="74">
        <v>20</v>
      </c>
      <c r="J22" s="171">
        <v>7.94</v>
      </c>
      <c r="K22" s="67">
        <f t="shared" si="2"/>
        <v>1.6844942306072602E-3</v>
      </c>
      <c r="L22" s="67">
        <f t="shared" si="3"/>
        <v>1.8286082771009415E-2</v>
      </c>
      <c r="M22" s="82">
        <f>'Est. Cust. Naci. 100%'!AJ24</f>
        <v>110.32165584580885</v>
      </c>
    </row>
    <row r="23" spans="1:13" ht="39.9" customHeight="1" x14ac:dyDescent="0.3">
      <c r="A23" s="117">
        <v>20</v>
      </c>
      <c r="B23" s="164" t="s">
        <v>141</v>
      </c>
      <c r="C23" s="172" t="s">
        <v>202</v>
      </c>
      <c r="D23" s="165">
        <v>0.126</v>
      </c>
      <c r="E23" s="166">
        <v>3.6499999999999998E-2</v>
      </c>
      <c r="F23" s="68">
        <v>2.1000000000000001E-2</v>
      </c>
      <c r="G23" s="68">
        <v>9.6500000000000002E-2</v>
      </c>
      <c r="H23" s="69">
        <v>0.06</v>
      </c>
      <c r="I23" s="74">
        <v>8</v>
      </c>
      <c r="J23" s="171">
        <v>13.58</v>
      </c>
      <c r="K23" s="67">
        <f t="shared" si="2"/>
        <v>6.7379769224290402E-4</v>
      </c>
      <c r="L23" s="67">
        <f t="shared" si="3"/>
        <v>3.1275189424472022E-2</v>
      </c>
      <c r="M23" s="82">
        <f>'Est. Cust. Naci. 100%'!AJ25</f>
        <v>328.59180110374336</v>
      </c>
    </row>
    <row r="24" spans="1:13" ht="39.9" customHeight="1" x14ac:dyDescent="0.3">
      <c r="A24" s="117">
        <v>21</v>
      </c>
      <c r="B24" s="164" t="s">
        <v>142</v>
      </c>
      <c r="C24" s="172" t="s">
        <v>203</v>
      </c>
      <c r="D24" s="165">
        <v>0.126</v>
      </c>
      <c r="E24" s="166">
        <v>3.6499999999999998E-2</v>
      </c>
      <c r="F24" s="68">
        <v>2.1000000000000001E-2</v>
      </c>
      <c r="G24" s="68">
        <v>9.6500000000000002E-2</v>
      </c>
      <c r="H24" s="69">
        <v>0.06</v>
      </c>
      <c r="I24" s="74">
        <v>5</v>
      </c>
      <c r="J24" s="171">
        <v>25.91</v>
      </c>
      <c r="K24" s="67">
        <f t="shared" si="2"/>
        <v>4.2112355765181505E-4</v>
      </c>
      <c r="L24" s="67">
        <f t="shared" si="3"/>
        <v>5.9671587480712079E-2</v>
      </c>
      <c r="M24" s="82">
        <f>'Est. Cust. Naci. 100%'!AJ26</f>
        <v>893.87104609416565</v>
      </c>
    </row>
    <row r="25" spans="1:13" ht="39.9" customHeight="1" x14ac:dyDescent="0.3">
      <c r="A25" s="117">
        <v>22</v>
      </c>
      <c r="B25" s="164" t="s">
        <v>143</v>
      </c>
      <c r="C25" s="172" t="s">
        <v>204</v>
      </c>
      <c r="D25" s="165">
        <v>0.126</v>
      </c>
      <c r="E25" s="166">
        <v>3.6499999999999998E-2</v>
      </c>
      <c r="F25" s="68">
        <v>2.1000000000000001E-2</v>
      </c>
      <c r="G25" s="68">
        <v>9.6500000000000002E-2</v>
      </c>
      <c r="H25" s="69">
        <v>0.06</v>
      </c>
      <c r="I25" s="74">
        <v>10</v>
      </c>
      <c r="J25" s="171">
        <v>18.809999999999999</v>
      </c>
      <c r="K25" s="67">
        <f t="shared" si="2"/>
        <v>8.422471153036301E-4</v>
      </c>
      <c r="L25" s="67">
        <f t="shared" si="3"/>
        <v>4.3320052509154536E-2</v>
      </c>
      <c r="M25" s="82">
        <f>'Est. Cust. Naci. 100%'!AJ27</f>
        <v>390.54516863606852</v>
      </c>
    </row>
    <row r="26" spans="1:13" ht="39.9" customHeight="1" x14ac:dyDescent="0.3">
      <c r="A26" s="117">
        <v>23</v>
      </c>
      <c r="B26" s="164" t="s">
        <v>144</v>
      </c>
      <c r="C26" s="172" t="s">
        <v>205</v>
      </c>
      <c r="D26" s="165">
        <v>0.126</v>
      </c>
      <c r="E26" s="166">
        <v>3.6499999999999998E-2</v>
      </c>
      <c r="F26" s="68">
        <v>2.1000000000000001E-2</v>
      </c>
      <c r="G26" s="68">
        <v>9.6500000000000002E-2</v>
      </c>
      <c r="H26" s="69">
        <v>0.06</v>
      </c>
      <c r="I26" s="74">
        <v>5</v>
      </c>
      <c r="J26" s="171">
        <v>7.1</v>
      </c>
      <c r="K26" s="67">
        <f t="shared" si="2"/>
        <v>4.2112355765181505E-4</v>
      </c>
      <c r="L26" s="67">
        <f t="shared" si="3"/>
        <v>1.6351534971557533E-2</v>
      </c>
      <c r="M26" s="82">
        <f>'Est. Cust. Naci. 100%'!AJ28</f>
        <v>244.94343601962856</v>
      </c>
    </row>
    <row r="27" spans="1:13" ht="39.9" customHeight="1" x14ac:dyDescent="0.3">
      <c r="A27" s="117">
        <v>24</v>
      </c>
      <c r="B27" s="164" t="s">
        <v>151</v>
      </c>
      <c r="C27" s="172" t="s">
        <v>206</v>
      </c>
      <c r="D27" s="165">
        <v>0.126</v>
      </c>
      <c r="E27" s="166">
        <v>3.6499999999999998E-2</v>
      </c>
      <c r="F27" s="68">
        <v>2.1000000000000001E-2</v>
      </c>
      <c r="G27" s="68">
        <v>9.6500000000000002E-2</v>
      </c>
      <c r="H27" s="69">
        <v>0.06</v>
      </c>
      <c r="I27" s="74">
        <v>150</v>
      </c>
      <c r="J27" s="171">
        <v>9.4600000000000009</v>
      </c>
      <c r="K27" s="67">
        <f t="shared" si="2"/>
        <v>1.2633706729554451E-2</v>
      </c>
      <c r="L27" s="67">
        <f t="shared" si="3"/>
        <v>2.1786693074779481E-2</v>
      </c>
      <c r="M27" s="82">
        <f>'Est. Cust. Naci. 100%'!AJ29</f>
        <v>75.13091931719778</v>
      </c>
    </row>
    <row r="28" spans="1:13" ht="39.9" customHeight="1" x14ac:dyDescent="0.3">
      <c r="A28" s="117">
        <v>25</v>
      </c>
      <c r="B28" s="164" t="s">
        <v>152</v>
      </c>
      <c r="C28" s="172" t="s">
        <v>207</v>
      </c>
      <c r="D28" s="165">
        <v>0.126</v>
      </c>
      <c r="E28" s="166">
        <v>3.6499999999999998E-2</v>
      </c>
      <c r="F28" s="68">
        <v>2.1000000000000001E-2</v>
      </c>
      <c r="G28" s="68">
        <v>9.6500000000000002E-2</v>
      </c>
      <c r="H28" s="69">
        <v>0.06</v>
      </c>
      <c r="I28" s="74">
        <v>250</v>
      </c>
      <c r="J28" s="171">
        <v>11.51</v>
      </c>
      <c r="K28" s="67">
        <f t="shared" si="2"/>
        <v>2.1056177882590753E-2</v>
      </c>
      <c r="L28" s="67">
        <f t="shared" si="3"/>
        <v>2.6507910918679892E-2</v>
      </c>
      <c r="M28" s="82">
        <f>'Est. Cust. Naci. 100%'!AJ30</f>
        <v>87.195761088923277</v>
      </c>
    </row>
    <row r="29" spans="1:13" ht="39.9" customHeight="1" x14ac:dyDescent="0.3">
      <c r="A29" s="117">
        <v>26</v>
      </c>
      <c r="B29" s="164" t="s">
        <v>153</v>
      </c>
      <c r="C29" s="172" t="s">
        <v>208</v>
      </c>
      <c r="D29" s="165">
        <v>0.126</v>
      </c>
      <c r="E29" s="166">
        <v>3.6499999999999998E-2</v>
      </c>
      <c r="F29" s="68">
        <v>2.1000000000000001E-2</v>
      </c>
      <c r="G29" s="68">
        <v>9.6500000000000002E-2</v>
      </c>
      <c r="H29" s="69">
        <v>0.06</v>
      </c>
      <c r="I29" s="74">
        <v>50</v>
      </c>
      <c r="J29" s="171">
        <v>18.52</v>
      </c>
      <c r="K29" s="67">
        <f t="shared" si="2"/>
        <v>4.2112355765181507E-3</v>
      </c>
      <c r="L29" s="67">
        <f t="shared" si="3"/>
        <v>4.2652172911724726E-2</v>
      </c>
      <c r="M29" s="82">
        <f>'Est. Cust. Naci. 100%'!AJ31</f>
        <v>181.00490541135775</v>
      </c>
    </row>
    <row r="30" spans="1:13" ht="39.9" customHeight="1" x14ac:dyDescent="0.3">
      <c r="A30" s="117">
        <v>27</v>
      </c>
      <c r="B30" s="164" t="s">
        <v>154</v>
      </c>
      <c r="C30" s="172" t="s">
        <v>209</v>
      </c>
      <c r="D30" s="165">
        <v>0.126</v>
      </c>
      <c r="E30" s="166">
        <v>3.6499999999999998E-2</v>
      </c>
      <c r="F30" s="68">
        <v>2.1000000000000001E-2</v>
      </c>
      <c r="G30" s="68">
        <v>9.6500000000000002E-2</v>
      </c>
      <c r="H30" s="69">
        <v>0.06</v>
      </c>
      <c r="I30" s="74">
        <v>40</v>
      </c>
      <c r="J30" s="171">
        <v>38.42</v>
      </c>
      <c r="K30" s="67">
        <f t="shared" si="2"/>
        <v>3.3689884612145204E-3</v>
      </c>
      <c r="L30" s="67">
        <f t="shared" si="3"/>
        <v>8.8482531493977543E-2</v>
      </c>
      <c r="M30" s="82">
        <f>'Est. Cust. Naci. 100%'!AJ32</f>
        <v>401.88491913600649</v>
      </c>
    </row>
    <row r="31" spans="1:13" ht="39.9" customHeight="1" x14ac:dyDescent="0.3">
      <c r="A31" s="117">
        <v>28</v>
      </c>
      <c r="B31" s="164" t="s">
        <v>155</v>
      </c>
      <c r="C31" s="172" t="s">
        <v>210</v>
      </c>
      <c r="D31" s="165">
        <v>0.126</v>
      </c>
      <c r="E31" s="166">
        <v>3.6499999999999998E-2</v>
      </c>
      <c r="F31" s="68">
        <v>2.1000000000000001E-2</v>
      </c>
      <c r="G31" s="68">
        <v>9.6500000000000002E-2</v>
      </c>
      <c r="H31" s="69">
        <v>0.06</v>
      </c>
      <c r="I31" s="74">
        <v>50</v>
      </c>
      <c r="J31" s="171">
        <v>21.28</v>
      </c>
      <c r="K31" s="67">
        <f t="shared" si="2"/>
        <v>4.2112355765181507E-3</v>
      </c>
      <c r="L31" s="67">
        <f t="shared" si="3"/>
        <v>4.9008544252780901E-2</v>
      </c>
      <c r="M31" s="82">
        <f>'Est. Cust. Naci. 100%'!AJ33</f>
        <v>207.97971852881713</v>
      </c>
    </row>
    <row r="32" spans="1:13" ht="39.9" customHeight="1" x14ac:dyDescent="0.3">
      <c r="A32" s="117">
        <v>29</v>
      </c>
      <c r="B32" s="164" t="s">
        <v>156</v>
      </c>
      <c r="C32" s="172" t="s">
        <v>211</v>
      </c>
      <c r="D32" s="165">
        <v>0.126</v>
      </c>
      <c r="E32" s="166">
        <v>3.6499999999999998E-2</v>
      </c>
      <c r="F32" s="68">
        <v>2.1000000000000001E-2</v>
      </c>
      <c r="G32" s="68">
        <v>9.6500000000000002E-2</v>
      </c>
      <c r="H32" s="69">
        <v>0.06</v>
      </c>
      <c r="I32" s="74">
        <v>15</v>
      </c>
      <c r="J32" s="171">
        <v>20.100000000000001</v>
      </c>
      <c r="K32" s="67">
        <f t="shared" si="2"/>
        <v>1.263370672955445E-3</v>
      </c>
      <c r="L32" s="67">
        <f t="shared" si="3"/>
        <v>4.6290965201169931E-2</v>
      </c>
      <c r="M32" s="82">
        <f>'Est. Cust. Naci. 100%'!AJ34</f>
        <v>325.29481828533966</v>
      </c>
    </row>
    <row r="33" spans="1:13" ht="39.9" customHeight="1" x14ac:dyDescent="0.3">
      <c r="A33" s="117">
        <v>30</v>
      </c>
      <c r="B33" s="164" t="s">
        <v>52</v>
      </c>
      <c r="C33" s="172" t="s">
        <v>212</v>
      </c>
      <c r="D33" s="165">
        <v>0.126</v>
      </c>
      <c r="E33" s="166">
        <v>3.6499999999999998E-2</v>
      </c>
      <c r="F33" s="68">
        <v>2.1000000000000001E-2</v>
      </c>
      <c r="G33" s="68">
        <v>9.6500000000000002E-2</v>
      </c>
      <c r="H33" s="69">
        <v>0.06</v>
      </c>
      <c r="I33" s="74">
        <v>1600</v>
      </c>
      <c r="J33" s="171">
        <v>0.86</v>
      </c>
      <c r="K33" s="67">
        <f t="shared" si="2"/>
        <v>0.13475953844858082</v>
      </c>
      <c r="L33" s="67">
        <f t="shared" si="3"/>
        <v>1.9806084613435888E-3</v>
      </c>
      <c r="M33" s="82">
        <f>'Est. Cust. Naci. 100%'!AJ35</f>
        <v>6.1163610320397526</v>
      </c>
    </row>
    <row r="34" spans="1:13" ht="39.9" customHeight="1" x14ac:dyDescent="0.3">
      <c r="A34" s="117">
        <v>31</v>
      </c>
      <c r="B34" s="164" t="s">
        <v>157</v>
      </c>
      <c r="C34" s="172" t="s">
        <v>213</v>
      </c>
      <c r="D34" s="165">
        <v>0.126</v>
      </c>
      <c r="E34" s="166">
        <v>3.6499999999999998E-2</v>
      </c>
      <c r="F34" s="68">
        <v>2.1000000000000001E-2</v>
      </c>
      <c r="G34" s="68">
        <v>9.6500000000000002E-2</v>
      </c>
      <c r="H34" s="69">
        <v>0.06</v>
      </c>
      <c r="I34" s="74">
        <v>70</v>
      </c>
      <c r="J34" s="171">
        <v>12.47</v>
      </c>
      <c r="K34" s="67">
        <f t="shared" si="2"/>
        <v>5.8957298071254105E-3</v>
      </c>
      <c r="L34" s="67">
        <f t="shared" si="3"/>
        <v>2.8718822689482039E-2</v>
      </c>
      <c r="M34" s="82">
        <f>'Est. Cust. Naci. 100%'!AJ36</f>
        <v>112.08713831408984</v>
      </c>
    </row>
    <row r="35" spans="1:13" ht="39.9" customHeight="1" x14ac:dyDescent="0.3">
      <c r="A35" s="117">
        <v>32</v>
      </c>
      <c r="B35" s="164" t="s">
        <v>87</v>
      </c>
      <c r="C35" s="172" t="s">
        <v>214</v>
      </c>
      <c r="D35" s="165">
        <v>0.126</v>
      </c>
      <c r="E35" s="166">
        <v>3.6499999999999998E-2</v>
      </c>
      <c r="F35" s="68">
        <v>2.1000000000000001E-2</v>
      </c>
      <c r="G35" s="68">
        <v>9.6500000000000002E-2</v>
      </c>
      <c r="H35" s="69">
        <v>0.06</v>
      </c>
      <c r="I35" s="74">
        <v>10</v>
      </c>
      <c r="J35" s="171">
        <v>12.88</v>
      </c>
      <c r="K35" s="67">
        <f t="shared" si="2"/>
        <v>8.422471153036301E-4</v>
      </c>
      <c r="L35" s="67">
        <f t="shared" si="3"/>
        <v>2.9663066258262122E-2</v>
      </c>
      <c r="M35" s="82">
        <f>'Est. Cust. Naci. 100%'!AJ37</f>
        <v>267.42274173485185</v>
      </c>
    </row>
    <row r="36" spans="1:13" ht="39.9" customHeight="1" x14ac:dyDescent="0.3">
      <c r="A36" s="117">
        <v>33</v>
      </c>
      <c r="B36" s="164" t="s">
        <v>86</v>
      </c>
      <c r="C36" s="172" t="s">
        <v>215</v>
      </c>
      <c r="D36" s="165">
        <v>0.126</v>
      </c>
      <c r="E36" s="166">
        <v>3.6499999999999998E-2</v>
      </c>
      <c r="F36" s="68">
        <v>2.1000000000000001E-2</v>
      </c>
      <c r="G36" s="68">
        <v>9.6500000000000002E-2</v>
      </c>
      <c r="H36" s="69">
        <v>0.06</v>
      </c>
      <c r="I36" s="74">
        <v>30</v>
      </c>
      <c r="J36" s="171">
        <v>7.48</v>
      </c>
      <c r="K36" s="67">
        <f t="shared" si="2"/>
        <v>2.5267413459108901E-3</v>
      </c>
      <c r="L36" s="67">
        <f t="shared" si="3"/>
        <v>1.7226687547500053E-2</v>
      </c>
      <c r="M36" s="82">
        <f>'Est. Cust. Naci. 100%'!AJ38</f>
        <v>86.805462702000511</v>
      </c>
    </row>
    <row r="37" spans="1:13" ht="39.9" customHeight="1" x14ac:dyDescent="0.3">
      <c r="A37" s="117">
        <v>34</v>
      </c>
      <c r="B37" s="164" t="s">
        <v>178</v>
      </c>
      <c r="C37" s="172" t="s">
        <v>216</v>
      </c>
      <c r="D37" s="165">
        <v>0.126</v>
      </c>
      <c r="E37" s="166">
        <v>3.6499999999999998E-2</v>
      </c>
      <c r="F37" s="68">
        <v>2.1000000000000001E-2</v>
      </c>
      <c r="G37" s="68">
        <v>9.6500000000000002E-2</v>
      </c>
      <c r="H37" s="69">
        <v>0.06</v>
      </c>
      <c r="I37" s="74">
        <v>70</v>
      </c>
      <c r="J37" s="171">
        <v>7.57</v>
      </c>
      <c r="K37" s="67">
        <f t="shared" si="2"/>
        <v>5.8957298071254105E-3</v>
      </c>
      <c r="L37" s="67">
        <f t="shared" si="3"/>
        <v>1.7433960526012753E-2</v>
      </c>
      <c r="M37" s="82">
        <f>'Est. Cust. Naci. 100%'!AJ39</f>
        <v>68.043274822587009</v>
      </c>
    </row>
    <row r="38" spans="1:13" ht="39.9" customHeight="1" x14ac:dyDescent="0.3">
      <c r="A38" s="117">
        <v>35</v>
      </c>
      <c r="B38" s="164" t="s">
        <v>179</v>
      </c>
      <c r="C38" s="172" t="s">
        <v>217</v>
      </c>
      <c r="D38" s="165">
        <v>0.126</v>
      </c>
      <c r="E38" s="166">
        <v>3.6499999999999998E-2</v>
      </c>
      <c r="F38" s="68">
        <v>2.1000000000000001E-2</v>
      </c>
      <c r="G38" s="68">
        <v>9.6500000000000002E-2</v>
      </c>
      <c r="H38" s="69">
        <v>0.06</v>
      </c>
      <c r="I38" s="74">
        <v>80</v>
      </c>
      <c r="J38" s="171">
        <v>4.4000000000000004</v>
      </c>
      <c r="K38" s="67">
        <f t="shared" si="2"/>
        <v>6.7379769224290408E-3</v>
      </c>
      <c r="L38" s="67">
        <f t="shared" si="3"/>
        <v>1.0133345616176502E-2</v>
      </c>
      <c r="M38" s="82">
        <f>'Est. Cust. Naci. 100%'!AJ40</f>
        <v>38.470299971323641</v>
      </c>
    </row>
    <row r="39" spans="1:13" ht="39.9" customHeight="1" x14ac:dyDescent="0.3">
      <c r="A39" s="117">
        <v>36</v>
      </c>
      <c r="B39" s="164" t="s">
        <v>158</v>
      </c>
      <c r="C39" s="172" t="s">
        <v>218</v>
      </c>
      <c r="D39" s="165">
        <v>0.126</v>
      </c>
      <c r="E39" s="166">
        <v>3.6499999999999998E-2</v>
      </c>
      <c r="F39" s="68">
        <v>2.1000000000000001E-2</v>
      </c>
      <c r="G39" s="68">
        <v>9.6500000000000002E-2</v>
      </c>
      <c r="H39" s="69">
        <v>0.06</v>
      </c>
      <c r="I39" s="74">
        <v>90</v>
      </c>
      <c r="J39" s="171">
        <v>4.4000000000000004</v>
      </c>
      <c r="K39" s="67">
        <f t="shared" si="2"/>
        <v>7.5802240377326711E-3</v>
      </c>
      <c r="L39" s="67">
        <f t="shared" si="3"/>
        <v>1.0133345616176502E-2</v>
      </c>
      <c r="M39" s="82">
        <f>'Est. Cust. Naci. 100%'!AJ41</f>
        <v>37.630850843843248</v>
      </c>
    </row>
    <row r="40" spans="1:13" ht="39.9" customHeight="1" x14ac:dyDescent="0.3">
      <c r="A40" s="117">
        <v>37</v>
      </c>
      <c r="B40" s="164" t="s">
        <v>159</v>
      </c>
      <c r="C40" s="172" t="s">
        <v>219</v>
      </c>
      <c r="D40" s="165">
        <v>0.126</v>
      </c>
      <c r="E40" s="166">
        <v>3.6499999999999998E-2</v>
      </c>
      <c r="F40" s="68">
        <v>2.1000000000000001E-2</v>
      </c>
      <c r="G40" s="68">
        <v>9.6500000000000002E-2</v>
      </c>
      <c r="H40" s="69">
        <v>0.06</v>
      </c>
      <c r="I40" s="74">
        <v>110</v>
      </c>
      <c r="J40" s="171">
        <v>0.42</v>
      </c>
      <c r="K40" s="67">
        <f t="shared" si="2"/>
        <v>9.2647182683399318E-3</v>
      </c>
      <c r="L40" s="67">
        <f t="shared" si="3"/>
        <v>9.6727389972593866E-4</v>
      </c>
      <c r="M40" s="82">
        <f>'Est. Cust. Naci. 100%'!AJ42</f>
        <v>3.4754841479728804</v>
      </c>
    </row>
    <row r="41" spans="1:13" ht="39.9" customHeight="1" x14ac:dyDescent="0.3">
      <c r="A41" s="117">
        <v>38</v>
      </c>
      <c r="B41" s="164" t="s">
        <v>160</v>
      </c>
      <c r="C41" s="172" t="s">
        <v>220</v>
      </c>
      <c r="D41" s="165">
        <v>0.126</v>
      </c>
      <c r="E41" s="166">
        <v>3.6499999999999998E-2</v>
      </c>
      <c r="F41" s="68">
        <v>2.1000000000000001E-2</v>
      </c>
      <c r="G41" s="68">
        <v>9.6500000000000002E-2</v>
      </c>
      <c r="H41" s="69">
        <v>0.06</v>
      </c>
      <c r="I41" s="74">
        <v>60</v>
      </c>
      <c r="J41" s="171">
        <v>5.01</v>
      </c>
      <c r="K41" s="67">
        <f t="shared" si="2"/>
        <v>5.0534826918217802E-3</v>
      </c>
      <c r="L41" s="67">
        <f t="shared" si="3"/>
        <v>1.1538195803873698E-2</v>
      </c>
      <c r="M41" s="82">
        <f>'Est. Cust. Naci. 100%'!AJ43</f>
        <v>46.67116437326407</v>
      </c>
    </row>
    <row r="42" spans="1:13" ht="39.9" customHeight="1" x14ac:dyDescent="0.3">
      <c r="A42" s="117">
        <v>39</v>
      </c>
      <c r="B42" s="164" t="s">
        <v>161</v>
      </c>
      <c r="C42" s="172" t="s">
        <v>221</v>
      </c>
      <c r="D42" s="165">
        <v>0.126</v>
      </c>
      <c r="E42" s="166">
        <v>3.6499999999999998E-2</v>
      </c>
      <c r="F42" s="68">
        <v>2.1000000000000001E-2</v>
      </c>
      <c r="G42" s="68">
        <v>9.6500000000000002E-2</v>
      </c>
      <c r="H42" s="69">
        <v>0.06</v>
      </c>
      <c r="I42" s="74">
        <v>20</v>
      </c>
      <c r="J42" s="171">
        <v>8.3800000000000008</v>
      </c>
      <c r="K42" s="67">
        <f t="shared" si="2"/>
        <v>1.6844942306072602E-3</v>
      </c>
      <c r="L42" s="67">
        <f t="shared" si="3"/>
        <v>1.9299417332627064E-2</v>
      </c>
      <c r="M42" s="82">
        <f>'Est. Cust. Naci. 100%'!AJ44</f>
        <v>116.43519848713831</v>
      </c>
    </row>
    <row r="43" spans="1:13" ht="39.9" customHeight="1" x14ac:dyDescent="0.3">
      <c r="A43" s="117">
        <v>40</v>
      </c>
      <c r="B43" s="170" t="s">
        <v>162</v>
      </c>
      <c r="C43" s="172" t="s">
        <v>222</v>
      </c>
      <c r="D43" s="165">
        <v>0.126</v>
      </c>
      <c r="E43" s="166">
        <v>3.6499999999999998E-2</v>
      </c>
      <c r="F43" s="68">
        <v>2.1000000000000001E-2</v>
      </c>
      <c r="G43" s="68">
        <v>9.6500000000000002E-2</v>
      </c>
      <c r="H43" s="69">
        <v>0.06</v>
      </c>
      <c r="I43" s="74">
        <v>120</v>
      </c>
      <c r="J43" s="171">
        <v>0.47</v>
      </c>
      <c r="K43" s="67">
        <f t="shared" si="2"/>
        <v>1.010696538364356E-2</v>
      </c>
      <c r="L43" s="67">
        <f t="shared" si="3"/>
        <v>1.0824255544552171E-3</v>
      </c>
      <c r="M43" s="82">
        <f>'Est. Cust. Naci. 100%'!AJ45</f>
        <v>3.8403222083578954</v>
      </c>
    </row>
    <row r="44" spans="1:13" ht="39.9" customHeight="1" x14ac:dyDescent="0.3">
      <c r="A44" s="117">
        <v>41</v>
      </c>
      <c r="B44" s="170" t="s">
        <v>163</v>
      </c>
      <c r="C44" s="172" t="s">
        <v>223</v>
      </c>
      <c r="D44" s="165">
        <v>0.126</v>
      </c>
      <c r="E44" s="166">
        <v>3.6499999999999998E-2</v>
      </c>
      <c r="F44" s="68">
        <v>2.1000000000000001E-2</v>
      </c>
      <c r="G44" s="68">
        <v>9.6500000000000002E-2</v>
      </c>
      <c r="H44" s="69">
        <v>0.06</v>
      </c>
      <c r="I44" s="74">
        <v>30</v>
      </c>
      <c r="J44" s="171">
        <v>8.7899999999999991</v>
      </c>
      <c r="K44" s="67">
        <f t="shared" si="2"/>
        <v>2.5267413459108901E-3</v>
      </c>
      <c r="L44" s="67">
        <f t="shared" si="3"/>
        <v>2.0243660901407143E-2</v>
      </c>
      <c r="M44" s="82">
        <f>'Est. Cust. Naci. 100%'!AJ46</f>
        <v>102.00802368323322</v>
      </c>
    </row>
    <row r="45" spans="1:13" ht="39.9" customHeight="1" x14ac:dyDescent="0.3">
      <c r="A45" s="117">
        <v>42</v>
      </c>
      <c r="B45" s="170" t="s">
        <v>164</v>
      </c>
      <c r="C45" s="172" t="s">
        <v>224</v>
      </c>
      <c r="D45" s="165">
        <v>0.126</v>
      </c>
      <c r="E45" s="166">
        <v>3.6499999999999998E-2</v>
      </c>
      <c r="F45" s="68">
        <v>2.1000000000000001E-2</v>
      </c>
      <c r="G45" s="68">
        <v>9.6500000000000002E-2</v>
      </c>
      <c r="H45" s="69">
        <v>0.06</v>
      </c>
      <c r="I45" s="74">
        <v>30</v>
      </c>
      <c r="J45" s="171">
        <v>2.6</v>
      </c>
      <c r="K45" s="67">
        <f t="shared" si="2"/>
        <v>2.5267413459108901E-3</v>
      </c>
      <c r="L45" s="67">
        <f t="shared" si="3"/>
        <v>5.987886045922478E-3</v>
      </c>
      <c r="M45" s="82">
        <f>'Est. Cust. Naci. 100%'!AJ47</f>
        <v>30.173021794813007</v>
      </c>
    </row>
    <row r="46" spans="1:13" ht="39.9" customHeight="1" x14ac:dyDescent="0.3">
      <c r="A46" s="117">
        <v>43</v>
      </c>
      <c r="B46" s="170" t="s">
        <v>165</v>
      </c>
      <c r="C46" s="172" t="s">
        <v>225</v>
      </c>
      <c r="D46" s="165">
        <v>0.126</v>
      </c>
      <c r="E46" s="166">
        <v>3.6499999999999998E-2</v>
      </c>
      <c r="F46" s="68">
        <v>2.1000000000000001E-2</v>
      </c>
      <c r="G46" s="68">
        <v>9.6500000000000002E-2</v>
      </c>
      <c r="H46" s="69">
        <v>0.06</v>
      </c>
      <c r="I46" s="74">
        <v>50</v>
      </c>
      <c r="J46" s="171">
        <v>1.1200000000000001</v>
      </c>
      <c r="K46" s="67">
        <f t="shared" si="2"/>
        <v>4.2112355765181507E-3</v>
      </c>
      <c r="L46" s="67">
        <f t="shared" si="3"/>
        <v>2.5793970659358369E-3</v>
      </c>
      <c r="M46" s="82">
        <f>'Est. Cust. Naci. 100%'!AJ48</f>
        <v>10.946300975200902</v>
      </c>
    </row>
    <row r="47" spans="1:13" ht="39.9" customHeight="1" x14ac:dyDescent="0.3">
      <c r="A47" s="117">
        <v>44</v>
      </c>
      <c r="B47" s="170" t="s">
        <v>166</v>
      </c>
      <c r="C47" s="172" t="s">
        <v>226</v>
      </c>
      <c r="D47" s="165">
        <v>0.126</v>
      </c>
      <c r="E47" s="166">
        <v>3.6499999999999998E-2</v>
      </c>
      <c r="F47" s="68">
        <v>2.1000000000000001E-2</v>
      </c>
      <c r="G47" s="68">
        <v>9.6500000000000002E-2</v>
      </c>
      <c r="H47" s="69">
        <v>0.06</v>
      </c>
      <c r="I47" s="74">
        <v>60</v>
      </c>
      <c r="J47" s="171">
        <v>0.92</v>
      </c>
      <c r="K47" s="67">
        <f t="shared" si="2"/>
        <v>5.0534826918217802E-3</v>
      </c>
      <c r="L47" s="67">
        <f t="shared" si="3"/>
        <v>2.118790447018723E-3</v>
      </c>
      <c r="M47" s="82">
        <f>'Est. Cust. Naci. 100%'!AJ49</f>
        <v>8.5703535376053779</v>
      </c>
    </row>
    <row r="48" spans="1:13" ht="39.9" customHeight="1" x14ac:dyDescent="0.3">
      <c r="A48" s="117">
        <v>45</v>
      </c>
      <c r="B48" s="170" t="s">
        <v>167</v>
      </c>
      <c r="C48" s="172" t="s">
        <v>227</v>
      </c>
      <c r="D48" s="165">
        <v>0.126</v>
      </c>
      <c r="E48" s="166">
        <v>3.6499999999999998E-2</v>
      </c>
      <c r="F48" s="68">
        <v>2.1000000000000001E-2</v>
      </c>
      <c r="G48" s="68">
        <v>9.6500000000000002E-2</v>
      </c>
      <c r="H48" s="69">
        <v>0.06</v>
      </c>
      <c r="I48" s="74">
        <v>145</v>
      </c>
      <c r="J48" s="171">
        <v>7.1</v>
      </c>
      <c r="K48" s="67">
        <f t="shared" si="2"/>
        <v>1.2212583171902637E-2</v>
      </c>
      <c r="L48" s="67">
        <f t="shared" si="3"/>
        <v>1.6351534971557533E-2</v>
      </c>
      <c r="M48" s="82">
        <f>'Est. Cust. Naci. 100%'!AJ50</f>
        <v>56.612103243711331</v>
      </c>
    </row>
    <row r="49" spans="1:13" ht="39.9" customHeight="1" x14ac:dyDescent="0.3">
      <c r="A49" s="117">
        <v>46</v>
      </c>
      <c r="B49" s="170" t="s">
        <v>168</v>
      </c>
      <c r="C49" s="172" t="s">
        <v>228</v>
      </c>
      <c r="D49" s="165">
        <v>0.126</v>
      </c>
      <c r="E49" s="166">
        <v>3.6499999999999998E-2</v>
      </c>
      <c r="F49" s="68">
        <v>2.1000000000000001E-2</v>
      </c>
      <c r="G49" s="68">
        <v>9.6500000000000002E-2</v>
      </c>
      <c r="H49" s="69">
        <v>0.06</v>
      </c>
      <c r="I49" s="74">
        <v>260</v>
      </c>
      <c r="J49" s="171">
        <v>9.5399999999999991</v>
      </c>
      <c r="K49" s="67">
        <f t="shared" si="2"/>
        <v>2.1898424997894381E-2</v>
      </c>
      <c r="L49" s="67">
        <f t="shared" si="3"/>
        <v>2.1970935722346322E-2</v>
      </c>
      <c r="M49" s="82">
        <f>'Est. Cust. Naci. 100%'!AJ51</f>
        <v>72.070116847453676</v>
      </c>
    </row>
    <row r="50" spans="1:13" ht="39.9" customHeight="1" x14ac:dyDescent="0.3">
      <c r="A50" s="117">
        <v>47</v>
      </c>
      <c r="B50" s="170" t="s">
        <v>169</v>
      </c>
      <c r="C50" s="172" t="s">
        <v>229</v>
      </c>
      <c r="D50" s="165">
        <v>0.126</v>
      </c>
      <c r="E50" s="166">
        <v>3.6499999999999998E-2</v>
      </c>
      <c r="F50" s="68">
        <v>2.1000000000000001E-2</v>
      </c>
      <c r="G50" s="68">
        <v>9.6500000000000002E-2</v>
      </c>
      <c r="H50" s="69">
        <v>0.06</v>
      </c>
      <c r="I50" s="74">
        <v>50</v>
      </c>
      <c r="J50" s="171">
        <v>15.63</v>
      </c>
      <c r="K50" s="67">
        <f t="shared" si="2"/>
        <v>4.2112355765181507E-3</v>
      </c>
      <c r="L50" s="67">
        <f t="shared" si="3"/>
        <v>3.5996407268372436E-2</v>
      </c>
      <c r="M50" s="82">
        <f>'Est. Cust. Naci. 100%'!AJ52</f>
        <v>152.759539502134</v>
      </c>
    </row>
    <row r="51" spans="1:13" ht="39.9" customHeight="1" x14ac:dyDescent="0.3">
      <c r="A51" s="117">
        <v>48</v>
      </c>
      <c r="B51" s="170" t="s">
        <v>170</v>
      </c>
      <c r="C51" s="172" t="s">
        <v>230</v>
      </c>
      <c r="D51" s="165">
        <v>0.126</v>
      </c>
      <c r="E51" s="166">
        <v>3.6499999999999998E-2</v>
      </c>
      <c r="F51" s="68">
        <v>2.1000000000000001E-2</v>
      </c>
      <c r="G51" s="68">
        <v>9.6500000000000002E-2</v>
      </c>
      <c r="H51" s="69">
        <v>0.06</v>
      </c>
      <c r="I51" s="74">
        <v>550</v>
      </c>
      <c r="J51" s="171">
        <v>0.2</v>
      </c>
      <c r="K51" s="67">
        <f t="shared" si="2"/>
        <v>4.6323591341699652E-2</v>
      </c>
      <c r="L51" s="67">
        <f t="shared" si="3"/>
        <v>4.606066189171137E-4</v>
      </c>
      <c r="M51" s="82">
        <f>'Est. Cust. Naci. 100%'!AJ53</f>
        <v>1.4551896838831317</v>
      </c>
    </row>
    <row r="52" spans="1:13" ht="39.9" customHeight="1" x14ac:dyDescent="0.3">
      <c r="A52" s="117">
        <v>49</v>
      </c>
      <c r="B52" s="170" t="s">
        <v>171</v>
      </c>
      <c r="C52" s="172" t="s">
        <v>231</v>
      </c>
      <c r="D52" s="165">
        <v>0.126</v>
      </c>
      <c r="E52" s="166">
        <v>3.6499999999999998E-2</v>
      </c>
      <c r="F52" s="68">
        <v>2.1000000000000001E-2</v>
      </c>
      <c r="G52" s="68">
        <v>9.6500000000000002E-2</v>
      </c>
      <c r="H52" s="69">
        <v>0.06</v>
      </c>
      <c r="I52" s="74">
        <v>55</v>
      </c>
      <c r="J52" s="171">
        <v>3.86</v>
      </c>
      <c r="K52" s="67">
        <f t="shared" si="2"/>
        <v>4.6323591341699659E-3</v>
      </c>
      <c r="L52" s="67">
        <f t="shared" si="3"/>
        <v>8.8897077451002941E-3</v>
      </c>
      <c r="M52" s="82">
        <f>'Est. Cust. Naci. 100%'!AJ54</f>
        <v>36.761596079044374</v>
      </c>
    </row>
    <row r="53" spans="1:13" ht="39.9" customHeight="1" x14ac:dyDescent="0.3">
      <c r="A53" s="117">
        <v>50</v>
      </c>
      <c r="B53" s="170" t="s">
        <v>172</v>
      </c>
      <c r="C53" s="172" t="s">
        <v>232</v>
      </c>
      <c r="D53" s="165">
        <v>0.126</v>
      </c>
      <c r="E53" s="166">
        <v>3.6499999999999998E-2</v>
      </c>
      <c r="F53" s="68">
        <v>2.1000000000000001E-2</v>
      </c>
      <c r="G53" s="68">
        <v>9.6500000000000002E-2</v>
      </c>
      <c r="H53" s="69">
        <v>0.06</v>
      </c>
      <c r="I53" s="74">
        <v>140</v>
      </c>
      <c r="J53" s="171">
        <v>1.42</v>
      </c>
      <c r="K53" s="67">
        <f t="shared" si="2"/>
        <v>1.1791459614250821E-2</v>
      </c>
      <c r="L53" s="67">
        <f t="shared" si="3"/>
        <v>3.270306994311507E-3</v>
      </c>
      <c r="M53" s="82">
        <f>'Est. Cust. Naci. 100%'!AJ55</f>
        <v>11.370464356083058</v>
      </c>
    </row>
    <row r="54" spans="1:13" ht="39.9" customHeight="1" x14ac:dyDescent="0.3">
      <c r="A54" s="117">
        <v>51</v>
      </c>
      <c r="B54" s="170" t="s">
        <v>173</v>
      </c>
      <c r="C54" s="172" t="s">
        <v>233</v>
      </c>
      <c r="D54" s="165">
        <v>0.126</v>
      </c>
      <c r="E54" s="166">
        <v>3.6499999999999998E-2</v>
      </c>
      <c r="F54" s="68">
        <v>2.1000000000000001E-2</v>
      </c>
      <c r="G54" s="68">
        <v>9.6500000000000002E-2</v>
      </c>
      <c r="H54" s="69">
        <v>0.06</v>
      </c>
      <c r="I54" s="74">
        <v>40</v>
      </c>
      <c r="J54" s="171">
        <v>9.94</v>
      </c>
      <c r="K54" s="67">
        <f t="shared" si="2"/>
        <v>3.3689884612145204E-3</v>
      </c>
      <c r="L54" s="67">
        <f t="shared" si="3"/>
        <v>2.2892148960180547E-2</v>
      </c>
      <c r="M54" s="82">
        <f>'Est. Cust. Naci. 100%'!AJ56</f>
        <v>103.975431968035</v>
      </c>
    </row>
    <row r="55" spans="1:13" ht="39.9" customHeight="1" x14ac:dyDescent="0.3">
      <c r="A55" s="117">
        <v>52</v>
      </c>
      <c r="B55" s="170" t="s">
        <v>174</v>
      </c>
      <c r="C55" s="172" t="s">
        <v>234</v>
      </c>
      <c r="D55" s="165">
        <v>0.126</v>
      </c>
      <c r="E55" s="166">
        <v>3.6499999999999998E-2</v>
      </c>
      <c r="F55" s="68">
        <v>2.1000000000000001E-2</v>
      </c>
      <c r="G55" s="68">
        <v>9.6500000000000002E-2</v>
      </c>
      <c r="H55" s="69">
        <v>0.06</v>
      </c>
      <c r="I55" s="74">
        <v>60</v>
      </c>
      <c r="J55" s="171">
        <v>17.86</v>
      </c>
      <c r="K55" s="67">
        <f t="shared" si="2"/>
        <v>5.0534826918217802E-3</v>
      </c>
      <c r="L55" s="67">
        <f t="shared" si="3"/>
        <v>4.113217106929825E-2</v>
      </c>
      <c r="M55" s="82">
        <f>'Est. Cust. Naci. 100%'!AJ57</f>
        <v>166.3766458496001</v>
      </c>
    </row>
    <row r="56" spans="1:13" ht="39.9" customHeight="1" x14ac:dyDescent="0.3">
      <c r="A56" s="117">
        <v>53</v>
      </c>
      <c r="B56" s="170" t="s">
        <v>175</v>
      </c>
      <c r="C56" s="172" t="s">
        <v>235</v>
      </c>
      <c r="D56" s="165">
        <v>0.126</v>
      </c>
      <c r="E56" s="166">
        <v>3.6499999999999998E-2</v>
      </c>
      <c r="F56" s="68">
        <v>2.1000000000000001E-2</v>
      </c>
      <c r="G56" s="68">
        <v>9.6500000000000002E-2</v>
      </c>
      <c r="H56" s="69">
        <v>0.06</v>
      </c>
      <c r="I56" s="74">
        <v>30</v>
      </c>
      <c r="J56" s="171">
        <v>29.42</v>
      </c>
      <c r="K56" s="67">
        <f t="shared" si="2"/>
        <v>2.5267413459108901E-3</v>
      </c>
      <c r="L56" s="67">
        <f t="shared" si="3"/>
        <v>6.7755233642707427E-2</v>
      </c>
      <c r="M56" s="82">
        <f>'Est. Cust. Naci. 100%'!AJ58</f>
        <v>341.41934661669183</v>
      </c>
    </row>
    <row r="57" spans="1:13" ht="39.9" customHeight="1" x14ac:dyDescent="0.3">
      <c r="A57" s="117">
        <v>54</v>
      </c>
      <c r="B57" s="170" t="s">
        <v>176</v>
      </c>
      <c r="C57" s="172" t="s">
        <v>236</v>
      </c>
      <c r="D57" s="165">
        <v>0.126</v>
      </c>
      <c r="E57" s="166">
        <v>3.6499999999999998E-2</v>
      </c>
      <c r="F57" s="68">
        <v>2.1000000000000001E-2</v>
      </c>
      <c r="G57" s="68">
        <v>9.6500000000000002E-2</v>
      </c>
      <c r="H57" s="69">
        <v>0.06</v>
      </c>
      <c r="I57" s="74">
        <v>50</v>
      </c>
      <c r="J57" s="171">
        <v>1.63</v>
      </c>
      <c r="K57" s="67">
        <f t="shared" si="2"/>
        <v>4.2112355765181507E-3</v>
      </c>
      <c r="L57" s="67">
        <f t="shared" si="3"/>
        <v>3.7539439441744761E-3</v>
      </c>
      <c r="M57" s="82">
        <f>'Est. Cust. Naci. 100%'!AJ59</f>
        <v>15.930777312122741</v>
      </c>
    </row>
    <row r="58" spans="1:13" ht="39.9" customHeight="1" x14ac:dyDescent="0.3">
      <c r="A58" s="117">
        <v>55</v>
      </c>
      <c r="B58" s="170" t="s">
        <v>177</v>
      </c>
      <c r="C58" s="172" t="s">
        <v>237</v>
      </c>
      <c r="D58" s="165">
        <v>0.126</v>
      </c>
      <c r="E58" s="166">
        <v>3.6499999999999998E-2</v>
      </c>
      <c r="F58" s="68">
        <v>2.1000000000000001E-2</v>
      </c>
      <c r="G58" s="68">
        <v>9.6500000000000002E-2</v>
      </c>
      <c r="H58" s="69">
        <v>0.06</v>
      </c>
      <c r="I58" s="74">
        <v>300</v>
      </c>
      <c r="J58" s="171">
        <v>1.25</v>
      </c>
      <c r="K58" s="67">
        <f t="shared" si="2"/>
        <v>2.5267413459108903E-2</v>
      </c>
      <c r="L58" s="67">
        <f t="shared" si="3"/>
        <v>2.8787913682319605E-3</v>
      </c>
      <c r="M58" s="82">
        <f>'Est. Cust. Naci. 100%'!AJ60</f>
        <v>9.3550953778275474</v>
      </c>
    </row>
  </sheetData>
  <phoneticPr fontId="14" type="noConversion"/>
  <pageMargins left="0.51181102362204722" right="0.51181102362204722" top="0.78740157480314965" bottom="0.78740157480314965" header="0.31496062992125984" footer="0.31496062992125984"/>
  <pageSetup paperSize="9" scale="37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7F730-3338-4C15-B194-26A8EB2D236B}">
  <dimension ref="A1:AL66"/>
  <sheetViews>
    <sheetView topLeftCell="A55" zoomScale="92" zoomScaleNormal="92" workbookViewId="0">
      <pane xSplit="6" topLeftCell="AF1" activePane="topRight" state="frozen"/>
      <selection activeCell="F1" sqref="F1"/>
      <selection pane="topRight" activeCell="B25" sqref="B25"/>
    </sheetView>
  </sheetViews>
  <sheetFormatPr defaultRowHeight="14.4" x14ac:dyDescent="0.3"/>
  <cols>
    <col min="1" max="1" width="9.109375" hidden="1" customWidth="1"/>
    <col min="2" max="2" width="62.88671875" bestFit="1" customWidth="1"/>
    <col min="3" max="3" width="11" bestFit="1" customWidth="1"/>
    <col min="4" max="4" width="20.33203125" customWidth="1"/>
    <col min="5" max="5" width="8.6640625" bestFit="1" customWidth="1"/>
    <col min="6" max="6" width="9.109375" bestFit="1" customWidth="1"/>
    <col min="7" max="7" width="12" bestFit="1" customWidth="1"/>
    <col min="8" max="8" width="16.33203125" bestFit="1" customWidth="1"/>
    <col min="9" max="9" width="17.5546875" customWidth="1"/>
    <col min="10" max="10" width="15.6640625" customWidth="1"/>
    <col min="11" max="11" width="20.109375" customWidth="1"/>
    <col min="12" max="12" width="18.33203125" customWidth="1"/>
    <col min="13" max="13" width="25.6640625" customWidth="1"/>
    <col min="14" max="14" width="20" customWidth="1"/>
    <col min="15" max="15" width="24.5546875" customWidth="1"/>
    <col min="16" max="16" width="17.44140625" customWidth="1"/>
    <col min="17" max="17" width="20.109375" customWidth="1"/>
    <col min="18" max="18" width="21.44140625" customWidth="1"/>
    <col min="19" max="19" width="17.44140625" customWidth="1"/>
    <col min="20" max="20" width="20.33203125" customWidth="1"/>
    <col min="21" max="21" width="18" customWidth="1"/>
    <col min="22" max="22" width="15.5546875" customWidth="1"/>
    <col min="23" max="23" width="18.33203125" customWidth="1"/>
    <col min="24" max="24" width="21.44140625" bestFit="1" customWidth="1"/>
    <col min="25" max="25" width="17.6640625" bestFit="1" customWidth="1"/>
    <col min="26" max="26" width="22.6640625" customWidth="1"/>
    <col min="27" max="27" width="17.6640625" customWidth="1"/>
    <col min="28" max="28" width="19.88671875" customWidth="1"/>
    <col min="29" max="29" width="26.109375" customWidth="1"/>
    <col min="30" max="30" width="20.109375" customWidth="1"/>
    <col min="31" max="32" width="16.6640625" customWidth="1"/>
    <col min="33" max="33" width="17.6640625" customWidth="1"/>
    <col min="34" max="34" width="18.33203125" bestFit="1" customWidth="1"/>
    <col min="35" max="35" width="20" customWidth="1"/>
    <col min="36" max="36" width="24.6640625" customWidth="1"/>
    <col min="37" max="37" width="13.109375" customWidth="1"/>
    <col min="38" max="38" width="15" bestFit="1" customWidth="1"/>
  </cols>
  <sheetData>
    <row r="1" spans="1:38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</row>
    <row r="2" spans="1:38" x14ac:dyDescent="0.3">
      <c r="A2" s="11"/>
      <c r="B2" s="12" t="s">
        <v>53</v>
      </c>
      <c r="C2" s="12"/>
      <c r="D2" s="12"/>
      <c r="E2" s="12"/>
      <c r="F2" s="12"/>
      <c r="G2" s="12"/>
      <c r="H2" s="13" t="s">
        <v>54</v>
      </c>
      <c r="I2" s="13"/>
      <c r="J2" s="14"/>
      <c r="K2" s="14"/>
      <c r="L2" s="15" t="s">
        <v>22</v>
      </c>
      <c r="M2" s="16"/>
      <c r="N2" s="16"/>
      <c r="O2" s="16"/>
      <c r="P2" s="16"/>
      <c r="Q2" s="16"/>
      <c r="R2" s="17" t="s">
        <v>55</v>
      </c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1"/>
    </row>
    <row r="3" spans="1:38" ht="43.2" x14ac:dyDescent="0.3">
      <c r="A3" s="18"/>
      <c r="B3" s="19" t="s">
        <v>56</v>
      </c>
      <c r="C3" s="19" t="s">
        <v>41</v>
      </c>
      <c r="D3" s="20" t="s">
        <v>57</v>
      </c>
      <c r="E3" s="21" t="s">
        <v>58</v>
      </c>
      <c r="F3" s="22" t="s">
        <v>59</v>
      </c>
      <c r="G3" s="23" t="s">
        <v>60</v>
      </c>
      <c r="H3" s="24" t="s">
        <v>61</v>
      </c>
      <c r="I3" s="24" t="s">
        <v>62</v>
      </c>
      <c r="J3" s="24" t="s">
        <v>21</v>
      </c>
      <c r="K3" s="24" t="s">
        <v>63</v>
      </c>
      <c r="L3" s="25" t="s">
        <v>64</v>
      </c>
      <c r="M3" s="26" t="s">
        <v>43</v>
      </c>
      <c r="N3" s="26" t="s">
        <v>44</v>
      </c>
      <c r="O3" s="26" t="s">
        <v>45</v>
      </c>
      <c r="P3" s="26" t="s">
        <v>29</v>
      </c>
      <c r="Q3" s="25" t="s">
        <v>65</v>
      </c>
      <c r="R3" s="27" t="s">
        <v>66</v>
      </c>
      <c r="S3" s="27" t="s">
        <v>67</v>
      </c>
      <c r="T3" s="27" t="s">
        <v>68</v>
      </c>
      <c r="U3" s="27" t="s">
        <v>69</v>
      </c>
      <c r="V3" s="27" t="s">
        <v>70</v>
      </c>
      <c r="W3" s="27" t="s">
        <v>71</v>
      </c>
      <c r="X3" s="27" t="s">
        <v>72</v>
      </c>
      <c r="Y3" s="27" t="s">
        <v>73</v>
      </c>
      <c r="Z3" s="27" t="s">
        <v>74</v>
      </c>
      <c r="AA3" s="27" t="s">
        <v>75</v>
      </c>
      <c r="AB3" s="27" t="s">
        <v>76</v>
      </c>
      <c r="AC3" s="27" t="s">
        <v>77</v>
      </c>
      <c r="AD3" s="27" t="s">
        <v>78</v>
      </c>
      <c r="AE3" s="27" t="s">
        <v>79</v>
      </c>
      <c r="AF3" s="27" t="s">
        <v>180</v>
      </c>
      <c r="AG3" s="27" t="s">
        <v>80</v>
      </c>
      <c r="AH3" s="27" t="s">
        <v>81</v>
      </c>
      <c r="AI3" s="28" t="s">
        <v>82</v>
      </c>
      <c r="AJ3" s="29" t="s">
        <v>83</v>
      </c>
      <c r="AK3" s="2"/>
      <c r="AL3" s="8"/>
    </row>
    <row r="4" spans="1:38" ht="18" x14ac:dyDescent="0.3">
      <c r="A4" s="18" t="s">
        <v>84</v>
      </c>
      <c r="B4" s="30"/>
      <c r="C4" s="30"/>
      <c r="D4" s="36"/>
      <c r="E4" s="31"/>
      <c r="F4" s="32"/>
      <c r="G4" s="33"/>
      <c r="H4" s="37">
        <f>'Rateio Custos Fixos'!B66</f>
        <v>5.14</v>
      </c>
      <c r="I4" s="80">
        <f>'Rateio Custos Fixos'!G67</f>
        <v>26313.969999999998</v>
      </c>
      <c r="J4" s="38">
        <f>SUM(J5:J60)</f>
        <v>206491.47859999994</v>
      </c>
      <c r="K4" s="38"/>
      <c r="L4" s="78">
        <f>SUM(L6:L60)</f>
        <v>26017.926303600001</v>
      </c>
      <c r="M4" s="78">
        <f>SUM(M6:M60)</f>
        <v>8486.5932789813996</v>
      </c>
      <c r="N4" s="78">
        <f>SUM(N6:N60)</f>
        <v>4882.6975029756004</v>
      </c>
      <c r="O4" s="78">
        <f>SUM(O6:O60)</f>
        <v>22437.15757319739</v>
      </c>
      <c r="P4" s="79">
        <f>SUM(P6:P60)</f>
        <v>13950.564294216001</v>
      </c>
      <c r="Q4" s="34">
        <f>SUM(L4:P4)</f>
        <v>75774.938952970391</v>
      </c>
      <c r="R4" s="39">
        <f t="shared" ref="R4:Y4" si="0">SUM(R6:R60)</f>
        <v>349.99999999999989</v>
      </c>
      <c r="S4" s="39">
        <f t="shared" si="0"/>
        <v>1099.9999999999995</v>
      </c>
      <c r="T4" s="39">
        <f t="shared" si="0"/>
        <v>1499.9999999999995</v>
      </c>
      <c r="U4" s="39">
        <f t="shared" si="0"/>
        <v>99.999999999999972</v>
      </c>
      <c r="V4" s="39">
        <f t="shared" si="0"/>
        <v>179.99999999999991</v>
      </c>
      <c r="W4" s="39">
        <f t="shared" si="0"/>
        <v>489.99999999999983</v>
      </c>
      <c r="X4" s="39">
        <f t="shared" si="0"/>
        <v>1059.9999999999995</v>
      </c>
      <c r="Y4" s="39">
        <f t="shared" si="0"/>
        <v>365.99999999999983</v>
      </c>
      <c r="Z4" s="35">
        <v>0.08</v>
      </c>
      <c r="AA4" s="39">
        <f t="shared" ref="AA4:AG4" si="1">SUM(AA6:AA60)</f>
        <v>1499.9999999999995</v>
      </c>
      <c r="AB4" s="39">
        <f t="shared" si="1"/>
        <v>300</v>
      </c>
      <c r="AC4" s="39">
        <f t="shared" si="1"/>
        <v>320.32999999999987</v>
      </c>
      <c r="AD4" s="39">
        <f t="shared" si="1"/>
        <v>199.99999999999994</v>
      </c>
      <c r="AE4" s="39">
        <f t="shared" si="1"/>
        <v>4499.9999999999982</v>
      </c>
      <c r="AF4" s="39">
        <f>SUM(AF6:AF60)</f>
        <v>8303.2999999999975</v>
      </c>
      <c r="AG4" s="39">
        <f t="shared" si="1"/>
        <v>1300</v>
      </c>
      <c r="AH4" s="39">
        <f>SUM(R4:AG4)</f>
        <v>21569.709999999992</v>
      </c>
      <c r="AI4" s="39"/>
    </row>
    <row r="5" spans="1:38" x14ac:dyDescent="0.3">
      <c r="A5" t="s">
        <v>85</v>
      </c>
      <c r="B5" s="51"/>
      <c r="D5" s="1">
        <f>SUM(D6:D60)</f>
        <v>11873</v>
      </c>
      <c r="F5" s="7">
        <f>SUM(F6:F60)</f>
        <v>434.21000000000015</v>
      </c>
      <c r="G5" s="7">
        <f>SUM(G6:G60)</f>
        <v>35053.99</v>
      </c>
      <c r="H5" s="8">
        <f>SUM(H6:H60)</f>
        <v>180177.50860000006</v>
      </c>
      <c r="J5" s="8"/>
      <c r="K5" s="8"/>
      <c r="L5" s="72">
        <f>'Lista de Compra'!D4</f>
        <v>0.126</v>
      </c>
      <c r="M5" s="72">
        <f>'Lista de Compra'!E4</f>
        <v>3.6499999999999998E-2</v>
      </c>
      <c r="N5" s="72">
        <f>'Lista de Compra'!F4</f>
        <v>2.1000000000000001E-2</v>
      </c>
      <c r="O5" s="72">
        <f>'Lista de Compra'!G4</f>
        <v>9.6500000000000002E-2</v>
      </c>
      <c r="P5" s="43">
        <f>'Lista de Compra'!H4</f>
        <v>0.06</v>
      </c>
      <c r="Q5" s="8"/>
      <c r="AA5" s="8"/>
      <c r="AH5" s="8"/>
    </row>
    <row r="6" spans="1:38" x14ac:dyDescent="0.3">
      <c r="A6">
        <f>'Lista de Compra'!A7</f>
        <v>4</v>
      </c>
      <c r="B6" t="str">
        <f>'Lista de Compra'!B4</f>
        <v>FLANGE 1" 150LBS LISO ASTM A105 GR WPB B16.5 RF</v>
      </c>
      <c r="C6" t="str">
        <f>'Lista de Compra'!C4</f>
        <v xml:space="preserve">7307.93.00 </v>
      </c>
      <c r="D6" s="1">
        <f>'Lista de Compra'!I4</f>
        <v>200</v>
      </c>
      <c r="E6" s="70">
        <f>'Lista de Compra'!L4</f>
        <v>2.3951544183689914E-3</v>
      </c>
      <c r="F6" s="7">
        <f>'Lista de Compra'!J4</f>
        <v>1.04</v>
      </c>
      <c r="G6" s="7">
        <f>D6*F6</f>
        <v>208</v>
      </c>
      <c r="H6" s="8">
        <f t="shared" ref="H6:H13" si="2">G6*$H$4</f>
        <v>1069.1199999999999</v>
      </c>
      <c r="I6" s="71">
        <f>'Rateio Custos Fixos'!E5</f>
        <v>63.02602151032908</v>
      </c>
      <c r="J6" s="8">
        <f t="shared" ref="J6:J60" si="3">SUM(H6:I6)</f>
        <v>1132.1460215103289</v>
      </c>
      <c r="K6" s="8">
        <f t="shared" ref="K6:K60" si="4">J6+L6</f>
        <v>1274.7964202206304</v>
      </c>
      <c r="L6" s="8">
        <f t="shared" ref="L6:L21" si="5">L$5*$J6</f>
        <v>142.65039871030143</v>
      </c>
      <c r="M6" s="8">
        <f t="shared" ref="M6:P25" si="6">M$5*$K6</f>
        <v>46.530069338053003</v>
      </c>
      <c r="N6" s="8">
        <f t="shared" si="6"/>
        <v>26.770724824633238</v>
      </c>
      <c r="O6" s="8">
        <f t="shared" si="6"/>
        <v>123.01785455129084</v>
      </c>
      <c r="P6" s="8">
        <f t="shared" si="6"/>
        <v>76.487785213237814</v>
      </c>
      <c r="Q6" s="8">
        <f>SUM(L6:P6)</f>
        <v>415.45683263751636</v>
      </c>
      <c r="R6" s="8">
        <f>'Rateio Custos Fixos'!F5</f>
        <v>0.83830404642914702</v>
      </c>
      <c r="S6" s="8">
        <f>'Rateio Custos Fixos'!G5</f>
        <v>2.6346698602058907</v>
      </c>
      <c r="T6" s="8">
        <f>'Rateio Custos Fixos'!H5</f>
        <v>3.5927316275534871</v>
      </c>
      <c r="U6" s="8">
        <f>'Rateio Custos Fixos'!I5</f>
        <v>0.23951544183689913</v>
      </c>
      <c r="V6" s="8">
        <f>'Rateio Custos Fixos'!J5</f>
        <v>0.43112779530641843</v>
      </c>
      <c r="W6" s="8">
        <f>'Rateio Custos Fixos'!K5</f>
        <v>1.1736256650008057</v>
      </c>
      <c r="X6" s="8">
        <f>'Rateio Custos Fixos'!L5</f>
        <v>2.5388636834711309</v>
      </c>
      <c r="Y6" s="8">
        <f>'Rateio Custos Fixos'!M5</f>
        <v>0.87662651712305084</v>
      </c>
      <c r="Z6" s="8">
        <f>'Rateio Custos Fixos'!N5</f>
        <v>5.0420817208263262</v>
      </c>
      <c r="AA6" s="8">
        <f>'Rateio Custos Fixos'!O5</f>
        <v>3.5927316275534871</v>
      </c>
      <c r="AB6" s="8">
        <f>'Rateio Custos Fixos'!P5</f>
        <v>0.71854632551069741</v>
      </c>
      <c r="AC6" s="8">
        <f>'Rateio Custos Fixos'!Q5</f>
        <v>0.76723981483613901</v>
      </c>
      <c r="AD6" s="8">
        <f>'Rateio Custos Fixos'!R5</f>
        <v>0.47903088367379826</v>
      </c>
      <c r="AE6" s="8">
        <f>'Rateio Custos Fixos'!S5</f>
        <v>10.778194882660461</v>
      </c>
      <c r="AF6" s="8">
        <f>'Rateio Custos Fixos'!T5</f>
        <v>19.887685682043244</v>
      </c>
      <c r="AG6" s="8">
        <f>'Rateio Custos Fixos'!U5</f>
        <v>3.1137007438796886</v>
      </c>
      <c r="AH6" s="8">
        <f t="shared" ref="AH6:AH37" si="7">SUM(R6:AG6)</f>
        <v>56.704676317910668</v>
      </c>
      <c r="AI6" s="8">
        <f t="shared" ref="AI6:AI37" si="8">J6+Q6+AH6</f>
        <v>1604.3075304657559</v>
      </c>
      <c r="AJ6" s="8">
        <f t="shared" ref="AJ6:AJ37" si="9">AI6/D6</f>
        <v>8.0215376523287798</v>
      </c>
    </row>
    <row r="7" spans="1:38" x14ac:dyDescent="0.3">
      <c r="B7" t="str">
        <f>'Lista de Compra'!B5</f>
        <v>FLANGE 1" 300LBS LISO ASTM A105 GR WPB B16.5 RF</v>
      </c>
      <c r="C7" t="str">
        <f>'Lista de Compra'!C5</f>
        <v>7307.93.01</v>
      </c>
      <c r="D7" s="1">
        <f>'Lista de Compra'!I5</f>
        <v>50</v>
      </c>
      <c r="E7" s="70">
        <f>'Lista de Compra'!L5</f>
        <v>4.237580894037446E-3</v>
      </c>
      <c r="F7" s="7">
        <f>'Lista de Compra'!J5</f>
        <v>1.84</v>
      </c>
      <c r="G7" s="7">
        <f>D7*F7</f>
        <v>92</v>
      </c>
      <c r="H7" s="8">
        <f t="shared" si="2"/>
        <v>472.88</v>
      </c>
      <c r="I7" s="71">
        <f>'Rateio Custos Fixos'!E6</f>
        <v>111.50757651827452</v>
      </c>
      <c r="J7" s="8">
        <f t="shared" si="3"/>
        <v>584.3875765182745</v>
      </c>
      <c r="K7" s="8">
        <f t="shared" si="4"/>
        <v>658.02041115957707</v>
      </c>
      <c r="L7" s="8">
        <f t="shared" si="5"/>
        <v>73.632834641302594</v>
      </c>
      <c r="M7" s="8">
        <f t="shared" si="6"/>
        <v>24.01774500732456</v>
      </c>
      <c r="N7" s="8">
        <f t="shared" si="6"/>
        <v>13.81842863435112</v>
      </c>
      <c r="O7" s="8">
        <f t="shared" si="6"/>
        <v>63.498969676899186</v>
      </c>
      <c r="P7" s="8">
        <f t="shared" si="6"/>
        <v>39.481224669574623</v>
      </c>
      <c r="Q7" s="8">
        <f t="shared" ref="Q7:Q14" si="10">SUM(L7:P7)</f>
        <v>214.44920262945209</v>
      </c>
      <c r="R7" s="8">
        <f>'Rateio Custos Fixos'!F6</f>
        <v>1.483153312913106</v>
      </c>
      <c r="S7" s="8">
        <f>'Rateio Custos Fixos'!G6</f>
        <v>4.6613389834411905</v>
      </c>
      <c r="T7" s="8">
        <f>'Rateio Custos Fixos'!H6</f>
        <v>6.3563713410561693</v>
      </c>
      <c r="U7" s="8">
        <f>'Rateio Custos Fixos'!I6</f>
        <v>0.4237580894037446</v>
      </c>
      <c r="V7" s="8">
        <f>'Rateio Custos Fixos'!J6</f>
        <v>0.76276456092674028</v>
      </c>
      <c r="W7" s="8">
        <f>'Rateio Custos Fixos'!K6</f>
        <v>2.0764146380783486</v>
      </c>
      <c r="X7" s="8">
        <f>'Rateio Custos Fixos'!L6</f>
        <v>4.4918357476796924</v>
      </c>
      <c r="Y7" s="8">
        <f>'Rateio Custos Fixos'!M6</f>
        <v>1.5509546072177052</v>
      </c>
      <c r="Z7" s="8">
        <f>'Rateio Custos Fixos'!N6</f>
        <v>8.9206061214619616</v>
      </c>
      <c r="AA7" s="8">
        <f>'Rateio Custos Fixos'!O6</f>
        <v>6.3563713410561693</v>
      </c>
      <c r="AB7" s="8">
        <f>'Rateio Custos Fixos'!P6</f>
        <v>1.2712742682112337</v>
      </c>
      <c r="AC7" s="8">
        <f>'Rateio Custos Fixos'!Q6</f>
        <v>1.3574242877870151</v>
      </c>
      <c r="AD7" s="8">
        <f>'Rateio Custos Fixos'!R6</f>
        <v>0.8475161788074892</v>
      </c>
      <c r="AE7" s="8">
        <f>'Rateio Custos Fixos'!S6</f>
        <v>19.069114023168506</v>
      </c>
      <c r="AF7" s="8">
        <f>'Rateio Custos Fixos'!T6</f>
        <v>35.185905437461123</v>
      </c>
      <c r="AG7" s="8">
        <f>'Rateio Custos Fixos'!U6</f>
        <v>5.5088551622486799</v>
      </c>
      <c r="AH7" s="8">
        <f t="shared" si="7"/>
        <v>100.32365810091888</v>
      </c>
      <c r="AI7" s="8">
        <f t="shared" si="8"/>
        <v>899.16043724864551</v>
      </c>
      <c r="AJ7" s="8">
        <f t="shared" si="9"/>
        <v>17.983208744972909</v>
      </c>
    </row>
    <row r="8" spans="1:38" x14ac:dyDescent="0.3">
      <c r="B8" t="str">
        <f>'Lista de Compra'!B6</f>
        <v>FLANGE 1.1/2" 150LBS LISO ASTM A105 GR WPB B16.5</v>
      </c>
      <c r="C8" t="str">
        <f>'Lista de Compra'!C6</f>
        <v>7307.93.02</v>
      </c>
      <c r="D8" s="1">
        <f>'Lista de Compra'!I6</f>
        <v>800</v>
      </c>
      <c r="E8" s="70">
        <f>'Lista de Compra'!L6</f>
        <v>3.6157619584993427E-3</v>
      </c>
      <c r="F8" s="7">
        <f>'Lista de Compra'!J6</f>
        <v>1.57</v>
      </c>
      <c r="G8" s="7">
        <f t="shared" ref="G8:G15" si="11">D8*F8</f>
        <v>1256</v>
      </c>
      <c r="H8" s="8">
        <f t="shared" si="2"/>
        <v>6455.8399999999992</v>
      </c>
      <c r="I8" s="71">
        <f>'Rateio Custos Fixos'!E7</f>
        <v>95.145051703092946</v>
      </c>
      <c r="J8" s="8">
        <f t="shared" si="3"/>
        <v>6550.9850517030918</v>
      </c>
      <c r="K8" s="8">
        <f t="shared" si="4"/>
        <v>7376.4091682176813</v>
      </c>
      <c r="L8" s="8">
        <f t="shared" si="5"/>
        <v>825.42411651458963</v>
      </c>
      <c r="M8" s="8">
        <f t="shared" si="6"/>
        <v>269.23893463994534</v>
      </c>
      <c r="N8" s="8">
        <f t="shared" si="6"/>
        <v>154.90459253257131</v>
      </c>
      <c r="O8" s="8">
        <f t="shared" si="6"/>
        <v>711.82348473300624</v>
      </c>
      <c r="P8" s="8">
        <f t="shared" si="6"/>
        <v>442.58455009306084</v>
      </c>
      <c r="Q8" s="8">
        <f t="shared" si="10"/>
        <v>2403.9756785131735</v>
      </c>
      <c r="R8" s="8">
        <f>'Rateio Custos Fixos'!F7</f>
        <v>1.2655166854747699</v>
      </c>
      <c r="S8" s="8">
        <f>'Rateio Custos Fixos'!G7</f>
        <v>3.977338154349277</v>
      </c>
      <c r="T8" s="8">
        <f>'Rateio Custos Fixos'!H7</f>
        <v>5.4236429377490145</v>
      </c>
      <c r="U8" s="8">
        <f>'Rateio Custos Fixos'!I7</f>
        <v>0.36157619584993428</v>
      </c>
      <c r="V8" s="8">
        <f>'Rateio Custos Fixos'!J7</f>
        <v>0.65083715252988172</v>
      </c>
      <c r="W8" s="8">
        <f>'Rateio Custos Fixos'!K7</f>
        <v>1.771723359664678</v>
      </c>
      <c r="X8" s="8">
        <f>'Rateio Custos Fixos'!L7</f>
        <v>3.8327076760093033</v>
      </c>
      <c r="Y8" s="8">
        <f>'Rateio Custos Fixos'!M7</f>
        <v>1.3233688768107594</v>
      </c>
      <c r="Z8" s="8">
        <f>'Rateio Custos Fixos'!N7</f>
        <v>7.6116041362474363</v>
      </c>
      <c r="AA8" s="8">
        <f>'Rateio Custos Fixos'!O7</f>
        <v>5.4236429377490145</v>
      </c>
      <c r="AB8" s="8">
        <f>'Rateio Custos Fixos'!P7</f>
        <v>1.0847285875498027</v>
      </c>
      <c r="AC8" s="8">
        <f>'Rateio Custos Fixos'!Q7</f>
        <v>1.1582370281660943</v>
      </c>
      <c r="AD8" s="8">
        <f>'Rateio Custos Fixos'!R7</f>
        <v>0.72315239169986856</v>
      </c>
      <c r="AE8" s="8">
        <f>'Rateio Custos Fixos'!S7</f>
        <v>16.270928813247043</v>
      </c>
      <c r="AF8" s="8">
        <f>'Rateio Custos Fixos'!T7</f>
        <v>30.022756270007591</v>
      </c>
      <c r="AG8" s="8">
        <f>'Rateio Custos Fixos'!U7</f>
        <v>4.7004905460491457</v>
      </c>
      <c r="AH8" s="8">
        <f t="shared" si="7"/>
        <v>85.602251749153623</v>
      </c>
      <c r="AI8" s="8">
        <f t="shared" si="8"/>
        <v>9040.5629819654187</v>
      </c>
      <c r="AJ8" s="8">
        <f t="shared" si="9"/>
        <v>11.300703727456773</v>
      </c>
    </row>
    <row r="9" spans="1:38" x14ac:dyDescent="0.3">
      <c r="B9" t="str">
        <f>'Lista de Compra'!B7</f>
        <v>FLANGE 1.1/2" 300LBS LISO ASTM A105 GR WPB B16.5 RF</v>
      </c>
      <c r="C9" t="str">
        <f>'Lista de Compra'!C7</f>
        <v>7307.93.03</v>
      </c>
      <c r="D9" s="1">
        <f>'Lista de Compra'!I7</f>
        <v>50</v>
      </c>
      <c r="E9" s="70">
        <f>'Lista de Compra'!L7</f>
        <v>6.2642500172727465E-3</v>
      </c>
      <c r="F9" s="7">
        <f>'Lista de Compra'!J7</f>
        <v>2.72</v>
      </c>
      <c r="G9" s="7">
        <f t="shared" si="11"/>
        <v>136</v>
      </c>
      <c r="H9" s="8">
        <f t="shared" si="2"/>
        <v>699.04</v>
      </c>
      <c r="I9" s="71">
        <f>'Rateio Custos Fixos'!E8</f>
        <v>164.83728702701453</v>
      </c>
      <c r="J9" s="8">
        <f t="shared" si="3"/>
        <v>863.87728702701452</v>
      </c>
      <c r="K9" s="8">
        <f t="shared" si="4"/>
        <v>972.72582519241837</v>
      </c>
      <c r="L9" s="8">
        <f t="shared" si="5"/>
        <v>108.84853816540382</v>
      </c>
      <c r="M9" s="8">
        <f t="shared" si="6"/>
        <v>35.504492619523269</v>
      </c>
      <c r="N9" s="8">
        <f t="shared" si="6"/>
        <v>20.427242329040787</v>
      </c>
      <c r="O9" s="8">
        <f t="shared" si="6"/>
        <v>93.868042131068378</v>
      </c>
      <c r="P9" s="8">
        <f t="shared" si="6"/>
        <v>58.363549511545102</v>
      </c>
      <c r="Q9" s="8">
        <f t="shared" si="10"/>
        <v>317.01186475658136</v>
      </c>
      <c r="R9" s="8">
        <f>'Rateio Custos Fixos'!F8</f>
        <v>2.1924875060454614</v>
      </c>
      <c r="S9" s="8">
        <f>'Rateio Custos Fixos'!G8</f>
        <v>6.890675019000021</v>
      </c>
      <c r="T9" s="8">
        <f>'Rateio Custos Fixos'!H8</f>
        <v>9.3963750259091192</v>
      </c>
      <c r="U9" s="8">
        <f>'Rateio Custos Fixos'!I8</f>
        <v>0.62642500172727467</v>
      </c>
      <c r="V9" s="8">
        <f>'Rateio Custos Fixos'!J8</f>
        <v>1.1275650031090945</v>
      </c>
      <c r="W9" s="8">
        <f>'Rateio Custos Fixos'!K8</f>
        <v>3.0694825084636457</v>
      </c>
      <c r="X9" s="8">
        <f>'Rateio Custos Fixos'!L8</f>
        <v>6.6401050183091108</v>
      </c>
      <c r="Y9" s="8">
        <f>'Rateio Custos Fixos'!M8</f>
        <v>2.2927155063218252</v>
      </c>
      <c r="Z9" s="8">
        <f>'Rateio Custos Fixos'!N8</f>
        <v>13.186982962161162</v>
      </c>
      <c r="AA9" s="8">
        <f>'Rateio Custos Fixos'!O8</f>
        <v>9.3963750259091192</v>
      </c>
      <c r="AB9" s="8">
        <f>'Rateio Custos Fixos'!P8</f>
        <v>1.8792750051818239</v>
      </c>
      <c r="AC9" s="8">
        <f>'Rateio Custos Fixos'!Q8</f>
        <v>2.0066272080329788</v>
      </c>
      <c r="AD9" s="8">
        <f>'Rateio Custos Fixos'!R8</f>
        <v>1.2528500034545493</v>
      </c>
      <c r="AE9" s="8">
        <f>'Rateio Custos Fixos'!S8</f>
        <v>28.189125077727358</v>
      </c>
      <c r="AF9" s="8">
        <f>'Rateio Custos Fixos'!T8</f>
        <v>52.013947168420792</v>
      </c>
      <c r="AG9" s="8">
        <f>'Rateio Custos Fixos'!U8</f>
        <v>8.1435250224545701</v>
      </c>
      <c r="AH9" s="8">
        <f t="shared" si="7"/>
        <v>148.30453806222792</v>
      </c>
      <c r="AI9" s="8">
        <f t="shared" si="8"/>
        <v>1329.1936898458239</v>
      </c>
      <c r="AJ9" s="8">
        <f t="shared" si="9"/>
        <v>26.583873796916478</v>
      </c>
    </row>
    <row r="10" spans="1:38" x14ac:dyDescent="0.3">
      <c r="B10" t="str">
        <f>'Lista de Compra'!B8</f>
        <v>FLANGE 1.1/4" 150LBS LISO ASTM A105 GR WPB B16.5 RF</v>
      </c>
      <c r="C10" t="str">
        <f>'Lista de Compra'!C8</f>
        <v>7307.93.04</v>
      </c>
      <c r="D10" s="1">
        <f>'Lista de Compra'!I8</f>
        <v>30</v>
      </c>
      <c r="E10" s="70">
        <f>'Lista de Compra'!L8</f>
        <v>3.1321250086363732E-3</v>
      </c>
      <c r="F10" s="7">
        <f>'Lista de Compra'!J8</f>
        <v>1.36</v>
      </c>
      <c r="G10" s="7">
        <f t="shared" si="11"/>
        <v>40.800000000000004</v>
      </c>
      <c r="H10" s="8">
        <f t="shared" si="2"/>
        <v>209.71200000000002</v>
      </c>
      <c r="I10" s="71">
        <f>'Rateio Custos Fixos'!E9</f>
        <v>82.418643513507263</v>
      </c>
      <c r="J10" s="8">
        <f t="shared" si="3"/>
        <v>292.13064351350727</v>
      </c>
      <c r="K10" s="8">
        <f t="shared" si="4"/>
        <v>328.93910459620918</v>
      </c>
      <c r="L10" s="8">
        <f t="shared" si="5"/>
        <v>36.808461082701918</v>
      </c>
      <c r="M10" s="8">
        <f t="shared" si="6"/>
        <v>12.006277317761635</v>
      </c>
      <c r="N10" s="8">
        <f t="shared" si="6"/>
        <v>6.9077211965203933</v>
      </c>
      <c r="O10" s="8">
        <f t="shared" si="6"/>
        <v>31.742623593534187</v>
      </c>
      <c r="P10" s="8">
        <f t="shared" si="6"/>
        <v>19.736346275772551</v>
      </c>
      <c r="Q10" s="8">
        <f t="shared" si="10"/>
        <v>107.20142946629068</v>
      </c>
      <c r="R10" s="8">
        <f>'Rateio Custos Fixos'!F9</f>
        <v>1.0962437530227307</v>
      </c>
      <c r="S10" s="8">
        <f>'Rateio Custos Fixos'!G9</f>
        <v>3.4453375095000105</v>
      </c>
      <c r="T10" s="8">
        <f>'Rateio Custos Fixos'!H9</f>
        <v>4.6981875129545596</v>
      </c>
      <c r="U10" s="8">
        <f>'Rateio Custos Fixos'!I9</f>
        <v>0.31321250086363733</v>
      </c>
      <c r="V10" s="8">
        <f>'Rateio Custos Fixos'!J9</f>
        <v>0.56378250155454723</v>
      </c>
      <c r="W10" s="8">
        <f>'Rateio Custos Fixos'!K9</f>
        <v>1.5347412542318228</v>
      </c>
      <c r="X10" s="8">
        <f>'Rateio Custos Fixos'!L9</f>
        <v>3.3200525091545554</v>
      </c>
      <c r="Y10" s="8">
        <f>'Rateio Custos Fixos'!M9</f>
        <v>1.1463577531609126</v>
      </c>
      <c r="Z10" s="8">
        <f>'Rateio Custos Fixos'!N9</f>
        <v>6.5934914810805809</v>
      </c>
      <c r="AA10" s="8">
        <f>'Rateio Custos Fixos'!O9</f>
        <v>4.6981875129545596</v>
      </c>
      <c r="AB10" s="8">
        <f>'Rateio Custos Fixos'!P9</f>
        <v>0.93963750259091194</v>
      </c>
      <c r="AC10" s="8">
        <f>'Rateio Custos Fixos'!Q9</f>
        <v>1.0033136040164894</v>
      </c>
      <c r="AD10" s="8">
        <f>'Rateio Custos Fixos'!R9</f>
        <v>0.62642500172727467</v>
      </c>
      <c r="AE10" s="8">
        <f>'Rateio Custos Fixos'!S9</f>
        <v>14.094562538863679</v>
      </c>
      <c r="AF10" s="8">
        <f>'Rateio Custos Fixos'!T9</f>
        <v>26.006973584210396</v>
      </c>
      <c r="AG10" s="8">
        <f>'Rateio Custos Fixos'!U9</f>
        <v>4.0717625112272851</v>
      </c>
      <c r="AH10" s="8">
        <f t="shared" si="7"/>
        <v>74.15226903111396</v>
      </c>
      <c r="AI10" s="8">
        <f t="shared" si="8"/>
        <v>473.48434201091192</v>
      </c>
      <c r="AJ10" s="8">
        <f t="shared" si="9"/>
        <v>15.78281140036373</v>
      </c>
    </row>
    <row r="11" spans="1:38" x14ac:dyDescent="0.3">
      <c r="B11" t="str">
        <f>'Lista de Compra'!B9</f>
        <v>FLANGE 2" 150LBS LISO ASTM A105 GR WPB B16.5 RF</v>
      </c>
      <c r="C11" t="str">
        <f>'Lista de Compra'!C9</f>
        <v>7307.93.05</v>
      </c>
      <c r="D11" s="1">
        <f>'Lista de Compra'!I9</f>
        <v>1500</v>
      </c>
      <c r="E11" s="70">
        <f>'Lista de Compra'!L9</f>
        <v>5.0436424771423943E-3</v>
      </c>
      <c r="F11" s="7">
        <f>'Lista de Compra'!J9</f>
        <v>2.19</v>
      </c>
      <c r="G11" s="7">
        <f t="shared" si="11"/>
        <v>3285</v>
      </c>
      <c r="H11" s="8">
        <f t="shared" si="2"/>
        <v>16884.899999999998</v>
      </c>
      <c r="I11" s="71">
        <f>'Rateio Custos Fixos'!E10</f>
        <v>132.71825683425064</v>
      </c>
      <c r="J11" s="8">
        <f t="shared" si="3"/>
        <v>17017.618256834248</v>
      </c>
      <c r="K11" s="8">
        <f t="shared" si="4"/>
        <v>19161.838157195365</v>
      </c>
      <c r="L11" s="8">
        <f t="shared" si="5"/>
        <v>2144.2199003611154</v>
      </c>
      <c r="M11" s="8">
        <f t="shared" si="6"/>
        <v>699.40709273763082</v>
      </c>
      <c r="N11" s="8">
        <f t="shared" si="6"/>
        <v>402.3986013011027</v>
      </c>
      <c r="O11" s="8">
        <f t="shared" si="6"/>
        <v>1849.1173821693528</v>
      </c>
      <c r="P11" s="8">
        <f t="shared" si="6"/>
        <v>1149.7102894317218</v>
      </c>
      <c r="Q11" s="8">
        <f t="shared" si="10"/>
        <v>6244.8532660009241</v>
      </c>
      <c r="R11" s="8">
        <f>'Rateio Custos Fixos'!F10</f>
        <v>1.7652748669998379</v>
      </c>
      <c r="S11" s="8">
        <f>'Rateio Custos Fixos'!G10</f>
        <v>5.5480067248566334</v>
      </c>
      <c r="T11" s="8">
        <f>'Rateio Custos Fixos'!H10</f>
        <v>7.5654637157135918</v>
      </c>
      <c r="U11" s="8">
        <f>'Rateio Custos Fixos'!I10</f>
        <v>0.50436424771423938</v>
      </c>
      <c r="V11" s="8">
        <f>'Rateio Custos Fixos'!J10</f>
        <v>0.90785564588563095</v>
      </c>
      <c r="W11" s="8">
        <f>'Rateio Custos Fixos'!K10</f>
        <v>2.4713848137997734</v>
      </c>
      <c r="X11" s="8">
        <f>'Rateio Custos Fixos'!L10</f>
        <v>5.3462610257709375</v>
      </c>
      <c r="Y11" s="8">
        <f>'Rateio Custos Fixos'!M10</f>
        <v>1.8459731466341163</v>
      </c>
      <c r="Z11" s="8">
        <f>'Rateio Custos Fixos'!N10</f>
        <v>10.617460546740052</v>
      </c>
      <c r="AA11" s="8">
        <f>'Rateio Custos Fixos'!O10</f>
        <v>7.5654637157135918</v>
      </c>
      <c r="AB11" s="8">
        <f>'Rateio Custos Fixos'!P10</f>
        <v>1.5130927431427184</v>
      </c>
      <c r="AC11" s="8">
        <f>'Rateio Custos Fixos'!Q10</f>
        <v>1.615629994703023</v>
      </c>
      <c r="AD11" s="8">
        <f>'Rateio Custos Fixos'!R10</f>
        <v>1.0087284954284788</v>
      </c>
      <c r="AE11" s="8">
        <f>'Rateio Custos Fixos'!S10</f>
        <v>22.696391147140773</v>
      </c>
      <c r="AF11" s="8">
        <f>'Rateio Custos Fixos'!T10</f>
        <v>41.878876580456442</v>
      </c>
      <c r="AG11" s="8">
        <f>'Rateio Custos Fixos'!U10</f>
        <v>6.5567352202851126</v>
      </c>
      <c r="AH11" s="8">
        <f t="shared" si="7"/>
        <v>119.40696263098494</v>
      </c>
      <c r="AI11" s="8">
        <f t="shared" si="8"/>
        <v>23381.878485466157</v>
      </c>
      <c r="AJ11" s="8">
        <f t="shared" si="9"/>
        <v>15.587918990310772</v>
      </c>
    </row>
    <row r="12" spans="1:38" x14ac:dyDescent="0.3">
      <c r="B12" t="str">
        <f>'Lista de Compra'!B10</f>
        <v>FLANGE 2" 300LBS LISO ASTM A105 GR WPB B16.5 RF</v>
      </c>
      <c r="C12" t="str">
        <f>'Lista de Compra'!C10</f>
        <v>7307.93.06</v>
      </c>
      <c r="D12" s="1">
        <f>'Lista de Compra'!I10</f>
        <v>400</v>
      </c>
      <c r="E12" s="70">
        <f>'Lista de Compra'!L10</f>
        <v>7.6000092121323755E-3</v>
      </c>
      <c r="F12" s="7">
        <f>'Lista de Compra'!J10</f>
        <v>3.3</v>
      </c>
      <c r="G12" s="7">
        <f t="shared" si="11"/>
        <v>1320</v>
      </c>
      <c r="H12" s="8">
        <f t="shared" si="2"/>
        <v>6784.7999999999993</v>
      </c>
      <c r="I12" s="71">
        <f>'Rateio Custos Fixos'!E11</f>
        <v>199.98641440777496</v>
      </c>
      <c r="J12" s="8">
        <f t="shared" si="3"/>
        <v>6984.7864144077739</v>
      </c>
      <c r="K12" s="8">
        <f t="shared" si="4"/>
        <v>7864.8695026231535</v>
      </c>
      <c r="L12" s="8">
        <f t="shared" si="5"/>
        <v>880.08308821537958</v>
      </c>
      <c r="M12" s="8">
        <f t="shared" si="6"/>
        <v>287.06773684574506</v>
      </c>
      <c r="N12" s="8">
        <f t="shared" si="6"/>
        <v>165.16225955508622</v>
      </c>
      <c r="O12" s="8">
        <f t="shared" si="6"/>
        <v>758.95990700313428</v>
      </c>
      <c r="P12" s="8">
        <f t="shared" si="6"/>
        <v>471.89217015738922</v>
      </c>
      <c r="Q12" s="8">
        <f t="shared" si="10"/>
        <v>2563.1651617767338</v>
      </c>
      <c r="R12" s="8">
        <f>'Rateio Custos Fixos'!F11</f>
        <v>2.6600032242463314</v>
      </c>
      <c r="S12" s="8">
        <f>'Rateio Custos Fixos'!G11</f>
        <v>8.3600101333456127</v>
      </c>
      <c r="T12" s="8">
        <f>'Rateio Custos Fixos'!H11</f>
        <v>11.400013818198563</v>
      </c>
      <c r="U12" s="8">
        <f>'Rateio Custos Fixos'!I11</f>
        <v>0.76000092121323759</v>
      </c>
      <c r="V12" s="8">
        <f>'Rateio Custos Fixos'!J11</f>
        <v>1.3680016581838277</v>
      </c>
      <c r="W12" s="8">
        <f>'Rateio Custos Fixos'!K11</f>
        <v>3.7240045139448639</v>
      </c>
      <c r="X12" s="8">
        <f>'Rateio Custos Fixos'!L11</f>
        <v>8.0560097648603186</v>
      </c>
      <c r="Y12" s="8">
        <f>'Rateio Custos Fixos'!M11</f>
        <v>2.7816033716404496</v>
      </c>
      <c r="Z12" s="8">
        <f>'Rateio Custos Fixos'!N11</f>
        <v>15.998913152621997</v>
      </c>
      <c r="AA12" s="8">
        <f>'Rateio Custos Fixos'!O11</f>
        <v>11.400013818198563</v>
      </c>
      <c r="AB12" s="8">
        <f>'Rateio Custos Fixos'!P11</f>
        <v>2.2800027636397124</v>
      </c>
      <c r="AC12" s="8">
        <f>'Rateio Custos Fixos'!Q11</f>
        <v>2.4345109509223639</v>
      </c>
      <c r="AD12" s="8">
        <f>'Rateio Custos Fixos'!R11</f>
        <v>1.5200018424264752</v>
      </c>
      <c r="AE12" s="8">
        <f>'Rateio Custos Fixos'!S11</f>
        <v>34.200041454595691</v>
      </c>
      <c r="AF12" s="8">
        <f>'Rateio Custos Fixos'!T11</f>
        <v>63.105156491098747</v>
      </c>
      <c r="AG12" s="8">
        <f>'Rateio Custos Fixos'!U11</f>
        <v>9.8800119757720886</v>
      </c>
      <c r="AH12" s="8">
        <f t="shared" si="7"/>
        <v>179.92829985490883</v>
      </c>
      <c r="AI12" s="8">
        <f t="shared" si="8"/>
        <v>9727.8798760394166</v>
      </c>
      <c r="AJ12" s="8">
        <f t="shared" si="9"/>
        <v>24.319699690098542</v>
      </c>
    </row>
    <row r="13" spans="1:38" x14ac:dyDescent="0.3">
      <c r="B13" t="str">
        <f>'Lista de Compra'!B11</f>
        <v>FLANGE 2.1/2" 150LBS LISO ASTM A105 GR WPB B16.5 RF</v>
      </c>
      <c r="C13" t="str">
        <f>'Lista de Compra'!C11</f>
        <v>7307.93.07</v>
      </c>
      <c r="D13" s="1">
        <f>'Lista de Compra'!I11</f>
        <v>50</v>
      </c>
      <c r="E13" s="70">
        <f>'Lista de Compra'!L11</f>
        <v>7.6000092121323755E-3</v>
      </c>
      <c r="F13" s="7">
        <f>'Lista de Compra'!J11</f>
        <v>3.3</v>
      </c>
      <c r="G13" s="7">
        <f t="shared" si="11"/>
        <v>165</v>
      </c>
      <c r="H13" s="8">
        <f t="shared" si="2"/>
        <v>848.09999999999991</v>
      </c>
      <c r="I13" s="71">
        <f>'Rateio Custos Fixos'!E12</f>
        <v>199.98641440777496</v>
      </c>
      <c r="J13" s="8">
        <f t="shared" si="3"/>
        <v>1048.0864144077748</v>
      </c>
      <c r="K13" s="8">
        <f t="shared" si="4"/>
        <v>1180.1453026231543</v>
      </c>
      <c r="L13" s="8">
        <f t="shared" si="5"/>
        <v>132.05888821537962</v>
      </c>
      <c r="M13" s="8">
        <f t="shared" si="6"/>
        <v>43.075303545745129</v>
      </c>
      <c r="N13" s="8">
        <f t="shared" si="6"/>
        <v>24.783051355086243</v>
      </c>
      <c r="O13" s="8">
        <f t="shared" si="6"/>
        <v>113.88402170313439</v>
      </c>
      <c r="P13" s="8">
        <f t="shared" si="6"/>
        <v>70.808718157389251</v>
      </c>
      <c r="Q13" s="8">
        <f t="shared" si="10"/>
        <v>384.60998297673467</v>
      </c>
      <c r="R13" s="8">
        <f>'Rateio Custos Fixos'!F12</f>
        <v>2.6600032242463314</v>
      </c>
      <c r="S13" s="8">
        <f>'Rateio Custos Fixos'!G12</f>
        <v>8.3600101333456127</v>
      </c>
      <c r="T13" s="8">
        <f>'Rateio Custos Fixos'!H12</f>
        <v>11.400013818198563</v>
      </c>
      <c r="U13" s="8">
        <f>'Rateio Custos Fixos'!I12</f>
        <v>0.76000092121323759</v>
      </c>
      <c r="V13" s="8">
        <f>'Rateio Custos Fixos'!J12</f>
        <v>1.3680016581838277</v>
      </c>
      <c r="W13" s="8">
        <f>'Rateio Custos Fixos'!K12</f>
        <v>3.7240045139448639</v>
      </c>
      <c r="X13" s="8">
        <f>'Rateio Custos Fixos'!L12</f>
        <v>8.0560097648603186</v>
      </c>
      <c r="Y13" s="8">
        <f>'Rateio Custos Fixos'!M12</f>
        <v>2.7816033716404496</v>
      </c>
      <c r="Z13" s="8">
        <f>'Rateio Custos Fixos'!N12</f>
        <v>15.998913152621997</v>
      </c>
      <c r="AA13" s="8">
        <f>'Rateio Custos Fixos'!O12</f>
        <v>11.400013818198563</v>
      </c>
      <c r="AB13" s="8">
        <f>'Rateio Custos Fixos'!P12</f>
        <v>2.2800027636397124</v>
      </c>
      <c r="AC13" s="8">
        <f>'Rateio Custos Fixos'!Q12</f>
        <v>2.4345109509223639</v>
      </c>
      <c r="AD13" s="8">
        <f>'Rateio Custos Fixos'!R12</f>
        <v>1.5200018424264752</v>
      </c>
      <c r="AE13" s="8">
        <f>'Rateio Custos Fixos'!S12</f>
        <v>34.200041454595691</v>
      </c>
      <c r="AF13" s="8">
        <f>'Rateio Custos Fixos'!T12</f>
        <v>63.105156491098747</v>
      </c>
      <c r="AG13" s="8">
        <f>'Rateio Custos Fixos'!U12</f>
        <v>9.8800119757720886</v>
      </c>
      <c r="AH13" s="8">
        <f t="shared" si="7"/>
        <v>179.92829985490883</v>
      </c>
      <c r="AI13" s="8">
        <f t="shared" si="8"/>
        <v>1612.6246972394183</v>
      </c>
      <c r="AJ13" s="8">
        <f t="shared" si="9"/>
        <v>32.25249394478837</v>
      </c>
    </row>
    <row r="14" spans="1:38" x14ac:dyDescent="0.3">
      <c r="B14" t="str">
        <f>'Lista de Compra'!B12</f>
        <v>FLANGE 2.1/2" 300LBS LISO ASTM A105 GR WPB B16.5 RF</v>
      </c>
      <c r="C14" t="str">
        <f>'Lista de Compra'!C12</f>
        <v>7307.93.08</v>
      </c>
      <c r="D14" s="1">
        <f>'Lista de Compra'!I12</f>
        <v>30</v>
      </c>
      <c r="E14" s="70">
        <f>'Lista de Compra'!L12</f>
        <v>1.227516639414108E-2</v>
      </c>
      <c r="F14" s="7">
        <f>'Lista de Compra'!J12</f>
        <v>5.33</v>
      </c>
      <c r="G14" s="7">
        <f t="shared" si="11"/>
        <v>159.9</v>
      </c>
      <c r="H14" s="8">
        <f t="shared" ref="H14:H60" si="12">G14*$H$4</f>
        <v>821.88599999999997</v>
      </c>
      <c r="I14" s="71">
        <f>'Rateio Custos Fixos'!E13</f>
        <v>323.0083602404365</v>
      </c>
      <c r="J14" s="8">
        <f t="shared" si="3"/>
        <v>1144.8943602404365</v>
      </c>
      <c r="K14" s="8">
        <f t="shared" si="4"/>
        <v>1289.1510496307314</v>
      </c>
      <c r="L14" s="8">
        <f t="shared" si="5"/>
        <v>144.25668939029501</v>
      </c>
      <c r="M14" s="8">
        <f t="shared" si="6"/>
        <v>47.054013311521693</v>
      </c>
      <c r="N14" s="8">
        <f t="shared" si="6"/>
        <v>27.072172042245363</v>
      </c>
      <c r="O14" s="8">
        <f t="shared" si="6"/>
        <v>124.40307628936559</v>
      </c>
      <c r="P14" s="8">
        <f t="shared" si="6"/>
        <v>77.349062977843886</v>
      </c>
      <c r="Q14" s="8">
        <f t="shared" si="10"/>
        <v>420.13501401127155</v>
      </c>
      <c r="R14" s="8">
        <f>'Rateio Custos Fixos'!F13</f>
        <v>4.2963082379493782</v>
      </c>
      <c r="S14" s="8">
        <f>'Rateio Custos Fixos'!G13</f>
        <v>13.502683033555188</v>
      </c>
      <c r="T14" s="8">
        <f>'Rateio Custos Fixos'!H13</f>
        <v>18.412749591211618</v>
      </c>
      <c r="U14" s="8">
        <f>'Rateio Custos Fixos'!I13</f>
        <v>1.2275166394141079</v>
      </c>
      <c r="V14" s="8">
        <f>'Rateio Custos Fixos'!J13</f>
        <v>2.2095299509453943</v>
      </c>
      <c r="W14" s="8">
        <f>'Rateio Custos Fixos'!K13</f>
        <v>6.0148315331291293</v>
      </c>
      <c r="X14" s="8">
        <f>'Rateio Custos Fixos'!L13</f>
        <v>13.011676377789545</v>
      </c>
      <c r="Y14" s="8">
        <f>'Rateio Custos Fixos'!M13</f>
        <v>4.4927109002556351</v>
      </c>
      <c r="Z14" s="8">
        <f>'Rateio Custos Fixos'!N13</f>
        <v>25.840668819234921</v>
      </c>
      <c r="AA14" s="8">
        <f>'Rateio Custos Fixos'!O13</f>
        <v>18.412749591211618</v>
      </c>
      <c r="AB14" s="8">
        <f>'Rateio Custos Fixos'!P13</f>
        <v>3.6825499182423238</v>
      </c>
      <c r="AC14" s="8">
        <f>'Rateio Custos Fixos'!Q13</f>
        <v>3.9321040510352119</v>
      </c>
      <c r="AD14" s="8">
        <f>'Rateio Custos Fixos'!R13</f>
        <v>2.4550332788282159</v>
      </c>
      <c r="AE14" s="8">
        <f>'Rateio Custos Fixos'!S13</f>
        <v>55.238248773634858</v>
      </c>
      <c r="AF14" s="8">
        <f>'Rateio Custos Fixos'!T13</f>
        <v>101.92438912047162</v>
      </c>
      <c r="AG14" s="8">
        <f>'Rateio Custos Fixos'!U13</f>
        <v>15.957716312383404</v>
      </c>
      <c r="AH14" s="8">
        <f t="shared" si="7"/>
        <v>290.61146612929218</v>
      </c>
      <c r="AI14" s="8">
        <f t="shared" si="8"/>
        <v>1855.6408403810003</v>
      </c>
      <c r="AJ14" s="8">
        <f t="shared" si="9"/>
        <v>61.854694679366681</v>
      </c>
    </row>
    <row r="15" spans="1:38" x14ac:dyDescent="0.3">
      <c r="B15" t="str">
        <f>'Lista de Compra'!B13</f>
        <v>FLANGE 3" 150LBS LISO ASTM A105 GR WPB B16.5 RF</v>
      </c>
      <c r="C15" t="str">
        <f>'Lista de Compra'!C13</f>
        <v>7307.93.09</v>
      </c>
      <c r="D15" s="1">
        <f>'Lista de Compra'!I13</f>
        <v>150</v>
      </c>
      <c r="E15" s="70">
        <f>'Lista de Compra'!L13</f>
        <v>8.9127380760461502E-3</v>
      </c>
      <c r="F15" s="7">
        <f>'Lista de Compra'!J13</f>
        <v>3.87</v>
      </c>
      <c r="G15" s="7">
        <f t="shared" si="11"/>
        <v>580.5</v>
      </c>
      <c r="H15" s="8">
        <f t="shared" si="12"/>
        <v>2983.77</v>
      </c>
      <c r="I15" s="71">
        <f>'Rateio Custos Fixos'!E14</f>
        <v>234.52952235093611</v>
      </c>
      <c r="J15" s="8">
        <f t="shared" si="3"/>
        <v>3218.2995223509361</v>
      </c>
      <c r="K15" s="8">
        <f t="shared" si="4"/>
        <v>3623.8052621671541</v>
      </c>
      <c r="L15" s="8">
        <f t="shared" si="5"/>
        <v>405.50573981621795</v>
      </c>
      <c r="M15" s="8">
        <f t="shared" si="6"/>
        <v>132.26889206910113</v>
      </c>
      <c r="N15" s="8">
        <f t="shared" si="6"/>
        <v>76.099910505510238</v>
      </c>
      <c r="O15" s="8">
        <f t="shared" si="6"/>
        <v>349.69720779913035</v>
      </c>
      <c r="P15" s="8">
        <f t="shared" si="6"/>
        <v>217.42831573002923</v>
      </c>
      <c r="Q15" s="8">
        <f t="shared" ref="Q15:Q60" si="13">SUM(L15:P15)</f>
        <v>1181.0000659199889</v>
      </c>
      <c r="R15" s="8">
        <f>'Rateio Custos Fixos'!F14</f>
        <v>3.1194583266161526</v>
      </c>
      <c r="S15" s="8">
        <f>'Rateio Custos Fixos'!G14</f>
        <v>9.8040118836507659</v>
      </c>
      <c r="T15" s="8">
        <f>'Rateio Custos Fixos'!H14</f>
        <v>13.369107114069225</v>
      </c>
      <c r="U15" s="8">
        <f>'Rateio Custos Fixos'!I14</f>
        <v>0.89127380760461505</v>
      </c>
      <c r="V15" s="8">
        <f>'Rateio Custos Fixos'!J14</f>
        <v>1.604292853688307</v>
      </c>
      <c r="W15" s="8">
        <f>'Rateio Custos Fixos'!K14</f>
        <v>4.3672416572626132</v>
      </c>
      <c r="X15" s="8">
        <f>'Rateio Custos Fixos'!L14</f>
        <v>9.4475023606089188</v>
      </c>
      <c r="Y15" s="8">
        <f>'Rateio Custos Fixos'!M14</f>
        <v>3.262062135832891</v>
      </c>
      <c r="Z15" s="8">
        <f>'Rateio Custos Fixos'!N14</f>
        <v>18.762361788074887</v>
      </c>
      <c r="AA15" s="8">
        <f>'Rateio Custos Fixos'!O14</f>
        <v>13.369107114069225</v>
      </c>
      <c r="AB15" s="8">
        <f>'Rateio Custos Fixos'!P14</f>
        <v>2.6738214228138451</v>
      </c>
      <c r="AC15" s="8">
        <f>'Rateio Custos Fixos'!Q14</f>
        <v>2.855017387899863</v>
      </c>
      <c r="AD15" s="8">
        <f>'Rateio Custos Fixos'!R14</f>
        <v>1.7825476152092301</v>
      </c>
      <c r="AE15" s="8">
        <f>'Rateio Custos Fixos'!S14</f>
        <v>40.107321342207676</v>
      </c>
      <c r="AF15" s="8">
        <f>'Rateio Custos Fixos'!T14</f>
        <v>74.005138066833993</v>
      </c>
      <c r="AG15" s="8">
        <f>'Rateio Custos Fixos'!U14</f>
        <v>11.586559498859994</v>
      </c>
      <c r="AH15" s="8">
        <f t="shared" si="7"/>
        <v>211.00682437530222</v>
      </c>
      <c r="AI15" s="8">
        <f t="shared" si="8"/>
        <v>4610.3064126462268</v>
      </c>
      <c r="AJ15" s="8">
        <f t="shared" si="9"/>
        <v>30.735376084308179</v>
      </c>
    </row>
    <row r="16" spans="1:38" x14ac:dyDescent="0.3">
      <c r="B16" t="str">
        <f>'Lista de Compra'!B14</f>
        <v>FLANGE 4" 150LBS LISO ASTM A105 GR WPB B16.5 RF</v>
      </c>
      <c r="C16" t="str">
        <f>'Lista de Compra'!C14</f>
        <v>7307.93.10</v>
      </c>
      <c r="D16" s="1">
        <f>'Lista de Compra'!I14</f>
        <v>200</v>
      </c>
      <c r="E16" s="70">
        <f>'Lista de Compra'!L14</f>
        <v>1.2505469703599635E-2</v>
      </c>
      <c r="F16" s="7">
        <f>'Lista de Compra'!J14</f>
        <v>5.43</v>
      </c>
      <c r="G16" s="7">
        <f t="shared" ref="G16:G60" si="14">D16*F16</f>
        <v>1086</v>
      </c>
      <c r="H16" s="8">
        <f t="shared" si="12"/>
        <v>5582.04</v>
      </c>
      <c r="I16" s="71">
        <f>'Rateio Custos Fixos'!E15</f>
        <v>329.06855461642965</v>
      </c>
      <c r="J16" s="8">
        <f t="shared" si="3"/>
        <v>5911.1085546164295</v>
      </c>
      <c r="K16" s="8">
        <f t="shared" si="4"/>
        <v>6655.9082324981</v>
      </c>
      <c r="L16" s="8">
        <f t="shared" si="5"/>
        <v>744.79967788167016</v>
      </c>
      <c r="M16" s="8">
        <f t="shared" si="6"/>
        <v>242.94065048618063</v>
      </c>
      <c r="N16" s="8">
        <f t="shared" si="6"/>
        <v>139.7740728824601</v>
      </c>
      <c r="O16" s="8">
        <f t="shared" si="6"/>
        <v>642.29514443606672</v>
      </c>
      <c r="P16" s="8">
        <f t="shared" si="6"/>
        <v>399.35449394988598</v>
      </c>
      <c r="Q16" s="8">
        <f t="shared" si="13"/>
        <v>2169.1640396362636</v>
      </c>
      <c r="R16" s="8">
        <f>'Rateio Custos Fixos'!F15</f>
        <v>4.3769143962598722</v>
      </c>
      <c r="S16" s="8">
        <f>'Rateio Custos Fixos'!G15</f>
        <v>13.756016673959598</v>
      </c>
      <c r="T16" s="8">
        <f>'Rateio Custos Fixos'!H15</f>
        <v>18.758204555399452</v>
      </c>
      <c r="U16" s="8">
        <f>'Rateio Custos Fixos'!I15</f>
        <v>1.2505469703599634</v>
      </c>
      <c r="V16" s="8">
        <f>'Rateio Custos Fixos'!J15</f>
        <v>2.2509845466479343</v>
      </c>
      <c r="W16" s="8">
        <f>'Rateio Custos Fixos'!K15</f>
        <v>6.1276801547638211</v>
      </c>
      <c r="X16" s="8">
        <f>'Rateio Custos Fixos'!L15</f>
        <v>13.255797885815614</v>
      </c>
      <c r="Y16" s="8">
        <f>'Rateio Custos Fixos'!M15</f>
        <v>4.577001911517466</v>
      </c>
      <c r="Z16" s="8">
        <f>'Rateio Custos Fixos'!N15</f>
        <v>26.325484369314374</v>
      </c>
      <c r="AA16" s="8">
        <f>'Rateio Custos Fixos'!O15</f>
        <v>18.758204555399452</v>
      </c>
      <c r="AB16" s="8">
        <f>'Rateio Custos Fixos'!P15</f>
        <v>3.7516409110798907</v>
      </c>
      <c r="AC16" s="8">
        <f>'Rateio Custos Fixos'!Q15</f>
        <v>4.0058771101540707</v>
      </c>
      <c r="AD16" s="8">
        <f>'Rateio Custos Fixos'!R15</f>
        <v>2.5010939407199269</v>
      </c>
      <c r="AE16" s="8">
        <f>'Rateio Custos Fixos'!S15</f>
        <v>56.274613666198356</v>
      </c>
      <c r="AF16" s="8">
        <f>'Rateio Custos Fixos'!T15</f>
        <v>103.83666658989884</v>
      </c>
      <c r="AG16" s="8">
        <f>'Rateio Custos Fixos'!U15</f>
        <v>16.257110614679526</v>
      </c>
      <c r="AH16" s="8">
        <f t="shared" si="7"/>
        <v>296.06383885216815</v>
      </c>
      <c r="AI16" s="8">
        <f t="shared" si="8"/>
        <v>8376.3364331048615</v>
      </c>
      <c r="AJ16" s="8">
        <f t="shared" si="9"/>
        <v>41.88168216552431</v>
      </c>
    </row>
    <row r="17" spans="2:36" x14ac:dyDescent="0.3">
      <c r="B17" t="str">
        <f>'Lista de Compra'!B15</f>
        <v>FLANGE 4" 300LBS LISO ASTM A105 GR WPB B16.5 RF</v>
      </c>
      <c r="C17" t="str">
        <f>'Lista de Compra'!C15</f>
        <v>7307.93.11</v>
      </c>
      <c r="D17" s="1">
        <f>'Lista de Compra'!I15</f>
        <v>60</v>
      </c>
      <c r="E17" s="70">
        <f>'Lista de Compra'!L15</f>
        <v>2.4550332788282159E-2</v>
      </c>
      <c r="F17" s="7">
        <f>'Lista de Compra'!J15</f>
        <v>10.66</v>
      </c>
      <c r="G17" s="7">
        <f t="shared" si="14"/>
        <v>639.6</v>
      </c>
      <c r="H17" s="8">
        <f t="shared" si="12"/>
        <v>3287.5439999999999</v>
      </c>
      <c r="I17" s="71">
        <f>'Rateio Custos Fixos'!E16</f>
        <v>646.016720480873</v>
      </c>
      <c r="J17" s="8">
        <f t="shared" si="3"/>
        <v>3933.560720480873</v>
      </c>
      <c r="K17" s="8">
        <f t="shared" si="4"/>
        <v>4429.1893712614628</v>
      </c>
      <c r="L17" s="8">
        <f t="shared" si="5"/>
        <v>495.62865078059002</v>
      </c>
      <c r="M17" s="8">
        <f t="shared" si="6"/>
        <v>161.66541205104338</v>
      </c>
      <c r="N17" s="8">
        <f t="shared" si="6"/>
        <v>93.012976796490719</v>
      </c>
      <c r="O17" s="8">
        <f t="shared" si="6"/>
        <v>427.41677432673117</v>
      </c>
      <c r="P17" s="8">
        <f t="shared" si="6"/>
        <v>265.75136227568777</v>
      </c>
      <c r="Q17" s="8">
        <f t="shared" si="13"/>
        <v>1443.4751762305432</v>
      </c>
      <c r="R17" s="8">
        <f>'Rateio Custos Fixos'!F16</f>
        <v>8.5926164758987564</v>
      </c>
      <c r="S17" s="8">
        <f>'Rateio Custos Fixos'!G16</f>
        <v>27.005366067110376</v>
      </c>
      <c r="T17" s="8">
        <f>'Rateio Custos Fixos'!H16</f>
        <v>36.825499182423236</v>
      </c>
      <c r="U17" s="8">
        <f>'Rateio Custos Fixos'!I16</f>
        <v>2.4550332788282159</v>
      </c>
      <c r="V17" s="8">
        <f>'Rateio Custos Fixos'!J16</f>
        <v>4.4190599018907886</v>
      </c>
      <c r="W17" s="8">
        <f>'Rateio Custos Fixos'!K16</f>
        <v>12.029663066258259</v>
      </c>
      <c r="X17" s="8">
        <f>'Rateio Custos Fixos'!L16</f>
        <v>26.02335275557909</v>
      </c>
      <c r="Y17" s="8">
        <f>'Rateio Custos Fixos'!M16</f>
        <v>8.9854218005112703</v>
      </c>
      <c r="Z17" s="8">
        <f>'Rateio Custos Fixos'!N16</f>
        <v>51.681337638469842</v>
      </c>
      <c r="AA17" s="8">
        <f>'Rateio Custos Fixos'!O16</f>
        <v>36.825499182423236</v>
      </c>
      <c r="AB17" s="8">
        <f>'Rateio Custos Fixos'!P16</f>
        <v>7.3650998364846476</v>
      </c>
      <c r="AC17" s="8">
        <f>'Rateio Custos Fixos'!Q16</f>
        <v>7.8642081020704238</v>
      </c>
      <c r="AD17" s="8">
        <f>'Rateio Custos Fixos'!R16</f>
        <v>4.9100665576564317</v>
      </c>
      <c r="AE17" s="8">
        <f>'Rateio Custos Fixos'!S16</f>
        <v>110.47649754726972</v>
      </c>
      <c r="AF17" s="8">
        <f>'Rateio Custos Fixos'!T16</f>
        <v>203.84877824094323</v>
      </c>
      <c r="AG17" s="8">
        <f>'Rateio Custos Fixos'!U16</f>
        <v>31.915432624766808</v>
      </c>
      <c r="AH17" s="8">
        <f t="shared" si="7"/>
        <v>581.22293225858436</v>
      </c>
      <c r="AI17" s="8">
        <f t="shared" si="8"/>
        <v>5958.2588289700006</v>
      </c>
      <c r="AJ17" s="8">
        <f t="shared" si="9"/>
        <v>99.304313816166683</v>
      </c>
    </row>
    <row r="18" spans="2:36" x14ac:dyDescent="0.3">
      <c r="B18" t="str">
        <f>'Lista de Compra'!B16</f>
        <v>CURVA 1.1/2" SCH40 RL 90° ASTM A-234 ASME B16.9</v>
      </c>
      <c r="C18" t="str">
        <f>'Lista de Compra'!C16</f>
        <v>7307.93.12</v>
      </c>
      <c r="D18" s="1">
        <f>'Lista de Compra'!I16</f>
        <v>1300</v>
      </c>
      <c r="E18" s="70">
        <f>'Lista de Compra'!L16</f>
        <v>9.212132378342274E-4</v>
      </c>
      <c r="F18" s="7">
        <f>'Lista de Compra'!J16</f>
        <v>0.4</v>
      </c>
      <c r="G18" s="7">
        <f t="shared" si="14"/>
        <v>520</v>
      </c>
      <c r="H18" s="8">
        <f t="shared" si="12"/>
        <v>2672.7999999999997</v>
      </c>
      <c r="I18" s="71">
        <f>'Rateio Custos Fixos'!E17</f>
        <v>24.240777503972723</v>
      </c>
      <c r="J18" s="8">
        <f t="shared" si="3"/>
        <v>2697.0407775039725</v>
      </c>
      <c r="K18" s="8">
        <f t="shared" si="4"/>
        <v>3036.8679154694732</v>
      </c>
      <c r="L18" s="8">
        <f t="shared" si="5"/>
        <v>339.82713796550053</v>
      </c>
      <c r="M18" s="8">
        <f t="shared" si="6"/>
        <v>110.84567891463577</v>
      </c>
      <c r="N18" s="8">
        <f t="shared" si="6"/>
        <v>63.774226224858943</v>
      </c>
      <c r="O18" s="8">
        <f t="shared" si="6"/>
        <v>293.05775384280417</v>
      </c>
      <c r="P18" s="8">
        <f t="shared" si="6"/>
        <v>182.21207492816839</v>
      </c>
      <c r="Q18" s="8">
        <f t="shared" si="13"/>
        <v>989.71687187596774</v>
      </c>
      <c r="R18" s="8">
        <f>'Rateio Custos Fixos'!F17</f>
        <v>0.32242463324197956</v>
      </c>
      <c r="S18" s="8">
        <f>'Rateio Custos Fixos'!G17</f>
        <v>1.0133345616176501</v>
      </c>
      <c r="T18" s="8">
        <f>'Rateio Custos Fixos'!H17</f>
        <v>1.3818198567513411</v>
      </c>
      <c r="U18" s="8">
        <f>'Rateio Custos Fixos'!I17</f>
        <v>9.2121323783422734E-2</v>
      </c>
      <c r="V18" s="8">
        <f>'Rateio Custos Fixos'!J17</f>
        <v>0.16581838281016092</v>
      </c>
      <c r="W18" s="8">
        <f>'Rateio Custos Fixos'!K17</f>
        <v>0.4513944865387714</v>
      </c>
      <c r="X18" s="8">
        <f>'Rateio Custos Fixos'!L17</f>
        <v>0.97648603210428109</v>
      </c>
      <c r="Y18" s="8">
        <f>'Rateio Custos Fixos'!M17</f>
        <v>0.33716404504732722</v>
      </c>
      <c r="Z18" s="8">
        <f>'Rateio Custos Fixos'!N17</f>
        <v>1.9392622003178179</v>
      </c>
      <c r="AA18" s="8">
        <f>'Rateio Custos Fixos'!O17</f>
        <v>1.3818198567513411</v>
      </c>
      <c r="AB18" s="8">
        <f>'Rateio Custos Fixos'!P17</f>
        <v>0.27636397135026824</v>
      </c>
      <c r="AC18" s="8">
        <f>'Rateio Custos Fixos'!Q17</f>
        <v>0.29509223647543803</v>
      </c>
      <c r="AD18" s="8">
        <f>'Rateio Custos Fixos'!R17</f>
        <v>0.18424264756684547</v>
      </c>
      <c r="AE18" s="8">
        <f>'Rateio Custos Fixos'!S17</f>
        <v>4.1454595702540233</v>
      </c>
      <c r="AF18" s="8">
        <f>'Rateio Custos Fixos'!T17</f>
        <v>7.6491098777089395</v>
      </c>
      <c r="AG18" s="8">
        <f>'Rateio Custos Fixos'!U17</f>
        <v>1.1975772091844956</v>
      </c>
      <c r="AH18" s="8">
        <f t="shared" si="7"/>
        <v>21.809490891504105</v>
      </c>
      <c r="AI18" s="8">
        <f t="shared" si="8"/>
        <v>3708.5671402714443</v>
      </c>
      <c r="AJ18" s="8">
        <f t="shared" si="9"/>
        <v>2.8527439540549571</v>
      </c>
    </row>
    <row r="19" spans="2:36" x14ac:dyDescent="0.3">
      <c r="B19" t="str">
        <f>'Lista de Compra'!B17</f>
        <v>CURVA 2" SCH40 RL 90° ASTM A-234 ASME B16.9</v>
      </c>
      <c r="C19" t="str">
        <f>'Lista de Compra'!C17</f>
        <v>7307.93.13</v>
      </c>
      <c r="D19" s="1">
        <f>'Lista de Compra'!I17</f>
        <v>1700</v>
      </c>
      <c r="E19" s="70">
        <f>'Lista de Compra'!L17</f>
        <v>1.450910849588908E-3</v>
      </c>
      <c r="F19" s="7">
        <f>'Lista de Compra'!J17</f>
        <v>0.63</v>
      </c>
      <c r="G19" s="7">
        <f t="shared" si="14"/>
        <v>1071</v>
      </c>
      <c r="H19" s="8">
        <f t="shared" si="12"/>
        <v>5504.94</v>
      </c>
      <c r="I19" s="71">
        <f>'Rateio Custos Fixos'!E18</f>
        <v>38.179224568757036</v>
      </c>
      <c r="J19" s="8">
        <f t="shared" si="3"/>
        <v>5543.1192245687562</v>
      </c>
      <c r="K19" s="8">
        <f t="shared" si="4"/>
        <v>6241.5522468644194</v>
      </c>
      <c r="L19" s="8">
        <f t="shared" si="5"/>
        <v>698.43302229566325</v>
      </c>
      <c r="M19" s="8">
        <f t="shared" si="6"/>
        <v>227.8166570105513</v>
      </c>
      <c r="N19" s="8">
        <f t="shared" si="6"/>
        <v>131.07259718415281</v>
      </c>
      <c r="O19" s="8">
        <f t="shared" si="6"/>
        <v>602.30979182241651</v>
      </c>
      <c r="P19" s="8">
        <f t="shared" si="6"/>
        <v>374.49313481186516</v>
      </c>
      <c r="Q19" s="8">
        <f t="shared" si="13"/>
        <v>2034.125203124649</v>
      </c>
      <c r="R19" s="8">
        <f>'Rateio Custos Fixos'!F18</f>
        <v>0.50781879735611779</v>
      </c>
      <c r="S19" s="8">
        <f>'Rateio Custos Fixos'!G18</f>
        <v>1.5960019345477989</v>
      </c>
      <c r="T19" s="8">
        <f>'Rateio Custos Fixos'!H18</f>
        <v>2.1763662743833621</v>
      </c>
      <c r="U19" s="8">
        <f>'Rateio Custos Fixos'!I18</f>
        <v>0.14509108495889081</v>
      </c>
      <c r="V19" s="8">
        <f>'Rateio Custos Fixos'!J18</f>
        <v>0.26116395292600347</v>
      </c>
      <c r="W19" s="8">
        <f>'Rateio Custos Fixos'!K18</f>
        <v>0.71094631629856497</v>
      </c>
      <c r="X19" s="8">
        <f>'Rateio Custos Fixos'!L18</f>
        <v>1.5379655005642425</v>
      </c>
      <c r="Y19" s="8">
        <f>'Rateio Custos Fixos'!M18</f>
        <v>0.5310333709495404</v>
      </c>
      <c r="Z19" s="8">
        <f>'Rateio Custos Fixos'!N18</f>
        <v>3.0543379655005629</v>
      </c>
      <c r="AA19" s="8">
        <f>'Rateio Custos Fixos'!O18</f>
        <v>2.1763662743833621</v>
      </c>
      <c r="AB19" s="8">
        <f>'Rateio Custos Fixos'!P18</f>
        <v>0.4352732548766724</v>
      </c>
      <c r="AC19" s="8">
        <f>'Rateio Custos Fixos'!Q18</f>
        <v>0.46477027244881491</v>
      </c>
      <c r="AD19" s="8">
        <f>'Rateio Custos Fixos'!R18</f>
        <v>0.29018216991778162</v>
      </c>
      <c r="AE19" s="8">
        <f>'Rateio Custos Fixos'!S18</f>
        <v>6.5290988231500862</v>
      </c>
      <c r="AF19" s="8">
        <f>'Rateio Custos Fixos'!T18</f>
        <v>12.047348057391579</v>
      </c>
      <c r="AG19" s="8">
        <f>'Rateio Custos Fixos'!U18</f>
        <v>1.8861841044655805</v>
      </c>
      <c r="AH19" s="8">
        <f t="shared" si="7"/>
        <v>34.349948154118955</v>
      </c>
      <c r="AI19" s="8">
        <f t="shared" si="8"/>
        <v>7611.594375847525</v>
      </c>
      <c r="AJ19" s="8">
        <f t="shared" si="9"/>
        <v>4.4774084563808971</v>
      </c>
    </row>
    <row r="20" spans="2:36" x14ac:dyDescent="0.3">
      <c r="B20" t="str">
        <f>'Lista de Compra'!B18</f>
        <v>CURVA 4" SCH40 RL 90° ASTM A-234 ASME B16.9</v>
      </c>
      <c r="C20" t="str">
        <f>'Lista de Compra'!C18</f>
        <v>7307.93.14</v>
      </c>
      <c r="D20" s="1">
        <f>'Lista de Compra'!I18</f>
        <v>220</v>
      </c>
      <c r="E20" s="70">
        <f>'Lista de Compra'!L18</f>
        <v>6.9781902765942722E-3</v>
      </c>
      <c r="F20" s="7">
        <f>'Lista de Compra'!J18</f>
        <v>3.03</v>
      </c>
      <c r="G20" s="7">
        <f t="shared" si="14"/>
        <v>666.59999999999991</v>
      </c>
      <c r="H20" s="8">
        <f t="shared" si="12"/>
        <v>3426.3239999999992</v>
      </c>
      <c r="I20" s="71">
        <f>'Rateio Custos Fixos'!E19</f>
        <v>183.62388959259337</v>
      </c>
      <c r="J20" s="8">
        <f t="shared" si="3"/>
        <v>3609.9478895925927</v>
      </c>
      <c r="K20" s="8">
        <f t="shared" si="4"/>
        <v>4064.8013236812594</v>
      </c>
      <c r="L20" s="8">
        <f t="shared" si="5"/>
        <v>454.85343408866669</v>
      </c>
      <c r="M20" s="8">
        <f t="shared" si="6"/>
        <v>148.36524831436597</v>
      </c>
      <c r="N20" s="8">
        <f t="shared" si="6"/>
        <v>85.360827797306456</v>
      </c>
      <c r="O20" s="8">
        <f t="shared" si="6"/>
        <v>392.25332773524156</v>
      </c>
      <c r="P20" s="8">
        <f t="shared" si="6"/>
        <v>243.88807942087556</v>
      </c>
      <c r="Q20" s="8">
        <f t="shared" si="13"/>
        <v>1324.7209173564563</v>
      </c>
      <c r="R20" s="8">
        <f>'Rateio Custos Fixos'!F19</f>
        <v>2.4423665968079953</v>
      </c>
      <c r="S20" s="8">
        <f>'Rateio Custos Fixos'!G19</f>
        <v>7.6760093042536992</v>
      </c>
      <c r="T20" s="8">
        <f>'Rateio Custos Fixos'!H19</f>
        <v>10.467285414891409</v>
      </c>
      <c r="U20" s="8">
        <f>'Rateio Custos Fixos'!I19</f>
        <v>0.69781902765942727</v>
      </c>
      <c r="V20" s="8">
        <f>'Rateio Custos Fixos'!J19</f>
        <v>1.256074249786969</v>
      </c>
      <c r="W20" s="8">
        <f>'Rateio Custos Fixos'!K19</f>
        <v>3.4193132355311935</v>
      </c>
      <c r="X20" s="8">
        <f>'Rateio Custos Fixos'!L19</f>
        <v>7.3968816931899282</v>
      </c>
      <c r="Y20" s="8">
        <f>'Rateio Custos Fixos'!M19</f>
        <v>2.5540176412335036</v>
      </c>
      <c r="Z20" s="8">
        <f>'Rateio Custos Fixos'!N19</f>
        <v>14.68991116740747</v>
      </c>
      <c r="AA20" s="8">
        <f>'Rateio Custos Fixos'!O19</f>
        <v>10.467285414891409</v>
      </c>
      <c r="AB20" s="8">
        <f>'Rateio Custos Fixos'!P19</f>
        <v>2.0934570829782815</v>
      </c>
      <c r="AC20" s="8">
        <f>'Rateio Custos Fixos'!Q19</f>
        <v>2.2353236913014429</v>
      </c>
      <c r="AD20" s="8">
        <f>'Rateio Custos Fixos'!R19</f>
        <v>1.3956380553188545</v>
      </c>
      <c r="AE20" s="8">
        <f>'Rateio Custos Fixos'!S19</f>
        <v>31.401856244674224</v>
      </c>
      <c r="AF20" s="8">
        <f>'Rateio Custos Fixos'!T19</f>
        <v>57.942007323645214</v>
      </c>
      <c r="AG20" s="8">
        <f>'Rateio Custos Fixos'!U19</f>
        <v>9.0716473595725535</v>
      </c>
      <c r="AH20" s="8">
        <f t="shared" si="7"/>
        <v>165.20689350314356</v>
      </c>
      <c r="AI20" s="8">
        <f t="shared" si="8"/>
        <v>5099.8757004521931</v>
      </c>
      <c r="AJ20" s="8">
        <f t="shared" si="9"/>
        <v>23.181253183873604</v>
      </c>
    </row>
    <row r="21" spans="2:36" x14ac:dyDescent="0.3">
      <c r="B21" t="str">
        <f>'Lista de Compra'!B19</f>
        <v>CURVA 5" SCH40 RL 90° ASTM A-234 ASME B16.9</v>
      </c>
      <c r="C21" t="str">
        <f>'Lista de Compra'!C19</f>
        <v>7307.93.15</v>
      </c>
      <c r="D21" s="1">
        <f>'Lista de Compra'!I19</f>
        <v>210</v>
      </c>
      <c r="E21" s="70">
        <f>'Lista de Compra'!L19</f>
        <v>1.1215771170631718E-2</v>
      </c>
      <c r="F21" s="7">
        <f>'Lista de Compra'!J19</f>
        <v>4.87</v>
      </c>
      <c r="G21" s="7">
        <f t="shared" si="14"/>
        <v>1022.7</v>
      </c>
      <c r="H21" s="8">
        <f t="shared" si="12"/>
        <v>5256.6779999999999</v>
      </c>
      <c r="I21" s="71">
        <f>'Rateio Custos Fixos'!E20</f>
        <v>295.1314661108679</v>
      </c>
      <c r="J21" s="8">
        <f t="shared" si="3"/>
        <v>5551.809466110868</v>
      </c>
      <c r="K21" s="8">
        <f t="shared" si="4"/>
        <v>6251.3374588408369</v>
      </c>
      <c r="L21" s="8">
        <f t="shared" si="5"/>
        <v>699.52799272996936</v>
      </c>
      <c r="M21" s="8">
        <f t="shared" si="6"/>
        <v>228.17381724769052</v>
      </c>
      <c r="N21" s="8">
        <f t="shared" si="6"/>
        <v>131.27808663565759</v>
      </c>
      <c r="O21" s="8">
        <f t="shared" si="6"/>
        <v>603.25406477814079</v>
      </c>
      <c r="P21" s="8">
        <f t="shared" si="6"/>
        <v>375.08024753045021</v>
      </c>
      <c r="Q21" s="8">
        <f t="shared" si="13"/>
        <v>2037.3142089219084</v>
      </c>
      <c r="R21" s="8">
        <f>'Rateio Custos Fixos'!F20</f>
        <v>3.9255199097211015</v>
      </c>
      <c r="S21" s="8">
        <f>'Rateio Custos Fixos'!G20</f>
        <v>12.337348287694891</v>
      </c>
      <c r="T21" s="8">
        <f>'Rateio Custos Fixos'!H20</f>
        <v>16.823656755947578</v>
      </c>
      <c r="U21" s="8">
        <f>'Rateio Custos Fixos'!I20</f>
        <v>1.1215771170631719</v>
      </c>
      <c r="V21" s="8">
        <f>'Rateio Custos Fixos'!J20</f>
        <v>2.0188388107137092</v>
      </c>
      <c r="W21" s="8">
        <f>'Rateio Custos Fixos'!K20</f>
        <v>5.4957278736095416</v>
      </c>
      <c r="X21" s="8">
        <f>'Rateio Custos Fixos'!L20</f>
        <v>11.888717440869621</v>
      </c>
      <c r="Y21" s="8">
        <f>'Rateio Custos Fixos'!M20</f>
        <v>4.104972248451209</v>
      </c>
      <c r="Z21" s="8">
        <f>'Rateio Custos Fixos'!N20</f>
        <v>23.610517288869431</v>
      </c>
      <c r="AA21" s="8">
        <f>'Rateio Custos Fixos'!O20</f>
        <v>16.823656755947578</v>
      </c>
      <c r="AB21" s="8">
        <f>'Rateio Custos Fixos'!P20</f>
        <v>3.3647313511895156</v>
      </c>
      <c r="AC21" s="8">
        <f>'Rateio Custos Fixos'!Q20</f>
        <v>3.592747979088458</v>
      </c>
      <c r="AD21" s="8">
        <f>'Rateio Custos Fixos'!R20</f>
        <v>2.2431542341263437</v>
      </c>
      <c r="AE21" s="8">
        <f>'Rateio Custos Fixos'!S20</f>
        <v>50.470970267842731</v>
      </c>
      <c r="AF21" s="8">
        <f>'Rateio Custos Fixos'!T20</f>
        <v>93.127912761106344</v>
      </c>
      <c r="AG21" s="8">
        <f>'Rateio Custos Fixos'!U20</f>
        <v>14.580502521821234</v>
      </c>
      <c r="AH21" s="8">
        <f t="shared" si="7"/>
        <v>265.53055160406245</v>
      </c>
      <c r="AI21" s="8">
        <f t="shared" si="8"/>
        <v>7854.6542266368388</v>
      </c>
      <c r="AJ21" s="8">
        <f t="shared" si="9"/>
        <v>37.403115364937328</v>
      </c>
    </row>
    <row r="22" spans="2:36" x14ac:dyDescent="0.3">
      <c r="B22" t="str">
        <f>'Lista de Compra'!B20</f>
        <v>CURVA 6" SCH40 RL 90° ASTM A-234 ASME B16.9</v>
      </c>
      <c r="C22" t="str">
        <f>'Lista de Compra'!C20</f>
        <v>7307.93.16</v>
      </c>
      <c r="D22" s="1">
        <f>'Lista de Compra'!I20</f>
        <v>200</v>
      </c>
      <c r="E22" s="70">
        <f>'Lista de Compra'!L20</f>
        <v>1.685820225236636E-2</v>
      </c>
      <c r="F22" s="7">
        <f>'Lista de Compra'!J20</f>
        <v>7.32</v>
      </c>
      <c r="G22" s="7">
        <f t="shared" si="14"/>
        <v>1464</v>
      </c>
      <c r="H22" s="8">
        <f t="shared" si="12"/>
        <v>7524.9599999999991</v>
      </c>
      <c r="I22" s="71">
        <f>'Rateio Custos Fixos'!E21</f>
        <v>443.60622832270076</v>
      </c>
      <c r="J22" s="8">
        <f t="shared" si="3"/>
        <v>7968.5662283227002</v>
      </c>
      <c r="K22" s="8">
        <f t="shared" si="4"/>
        <v>8972.6055730913613</v>
      </c>
      <c r="L22" s="8">
        <f t="shared" ref="L22:L60" si="15">L$5*$J22</f>
        <v>1004.0393447686603</v>
      </c>
      <c r="M22" s="8">
        <f t="shared" si="6"/>
        <v>327.50010341783468</v>
      </c>
      <c r="N22" s="8">
        <f t="shared" si="6"/>
        <v>188.42471703491859</v>
      </c>
      <c r="O22" s="8">
        <f t="shared" si="6"/>
        <v>865.85643780331634</v>
      </c>
      <c r="P22" s="8">
        <f t="shared" si="6"/>
        <v>538.35633438548166</v>
      </c>
      <c r="Q22" s="8">
        <f t="shared" si="13"/>
        <v>2924.1769374102118</v>
      </c>
      <c r="R22" s="8">
        <f>'Rateio Custos Fixos'!F21</f>
        <v>5.9003707883282255</v>
      </c>
      <c r="S22" s="8">
        <f>'Rateio Custos Fixos'!G21</f>
        <v>18.544022477602997</v>
      </c>
      <c r="T22" s="8">
        <f>'Rateio Custos Fixos'!H21</f>
        <v>25.287303378549538</v>
      </c>
      <c r="U22" s="8">
        <f>'Rateio Custos Fixos'!I21</f>
        <v>1.6858202252366359</v>
      </c>
      <c r="V22" s="8">
        <f>'Rateio Custos Fixos'!J21</f>
        <v>3.0344764054259445</v>
      </c>
      <c r="W22" s="8">
        <f>'Rateio Custos Fixos'!K21</f>
        <v>8.2605191036595169</v>
      </c>
      <c r="X22" s="8">
        <f>'Rateio Custos Fixos'!L21</f>
        <v>17.869694387508343</v>
      </c>
      <c r="Y22" s="8">
        <f>'Rateio Custos Fixos'!M21</f>
        <v>6.1701020243660878</v>
      </c>
      <c r="Z22" s="8">
        <f>'Rateio Custos Fixos'!N21</f>
        <v>35.488498265816062</v>
      </c>
      <c r="AA22" s="8">
        <f>'Rateio Custos Fixos'!O21</f>
        <v>25.287303378549538</v>
      </c>
      <c r="AB22" s="8">
        <f>'Rateio Custos Fixos'!P21</f>
        <v>5.0574606757099083</v>
      </c>
      <c r="AC22" s="8">
        <f>'Rateio Custos Fixos'!Q21</f>
        <v>5.4001879275005154</v>
      </c>
      <c r="AD22" s="8">
        <f>'Rateio Custos Fixos'!R21</f>
        <v>3.3716404504732718</v>
      </c>
      <c r="AE22" s="8">
        <f>'Rateio Custos Fixos'!S21</f>
        <v>75.861910135648614</v>
      </c>
      <c r="AF22" s="8">
        <f>'Rateio Custos Fixos'!T21</f>
        <v>139.97871076207358</v>
      </c>
      <c r="AG22" s="8">
        <f>'Rateio Custos Fixos'!U21</f>
        <v>21.915662928076266</v>
      </c>
      <c r="AH22" s="8">
        <f t="shared" si="7"/>
        <v>399.11368331452502</v>
      </c>
      <c r="AI22" s="8">
        <f t="shared" si="8"/>
        <v>11291.856849047437</v>
      </c>
      <c r="AJ22" s="8">
        <f t="shared" si="9"/>
        <v>56.459284245237185</v>
      </c>
    </row>
    <row r="23" spans="2:36" x14ac:dyDescent="0.3">
      <c r="B23" t="str">
        <f>'Lista de Compra'!B21</f>
        <v>FLANGE 5" 150LBS LISO ASTM A105 GR WPB B16.5 RF</v>
      </c>
      <c r="C23" t="str">
        <f>'Lista de Compra'!C21</f>
        <v>7307.93.17</v>
      </c>
      <c r="D23" s="1">
        <f>'Lista de Compra'!I21</f>
        <v>10</v>
      </c>
      <c r="E23" s="70">
        <f>'Lista de Compra'!L21</f>
        <v>1.6351534971557533E-2</v>
      </c>
      <c r="F23" s="7">
        <f>'Lista de Compra'!J21</f>
        <v>7.1</v>
      </c>
      <c r="G23" s="7">
        <f t="shared" si="14"/>
        <v>71</v>
      </c>
      <c r="H23" s="8">
        <f t="shared" si="12"/>
        <v>364.94</v>
      </c>
      <c r="I23" s="71">
        <f>'Rateio Custos Fixos'!E22</f>
        <v>430.27380069551572</v>
      </c>
      <c r="J23" s="8">
        <f t="shared" si="3"/>
        <v>795.21380069551572</v>
      </c>
      <c r="K23" s="8">
        <f t="shared" si="4"/>
        <v>895.41073958315064</v>
      </c>
      <c r="L23" s="8">
        <f t="shared" si="15"/>
        <v>100.19693888763499</v>
      </c>
      <c r="M23" s="8">
        <f t="shared" si="6"/>
        <v>32.682491994784996</v>
      </c>
      <c r="N23" s="8">
        <f t="shared" si="6"/>
        <v>18.803625531246166</v>
      </c>
      <c r="O23" s="8">
        <f t="shared" si="6"/>
        <v>86.407136369774037</v>
      </c>
      <c r="P23" s="8">
        <f t="shared" si="6"/>
        <v>53.724644374989033</v>
      </c>
      <c r="Q23" s="8">
        <f t="shared" si="13"/>
        <v>291.81483715842921</v>
      </c>
      <c r="R23" s="8">
        <f>'Rateio Custos Fixos'!F22</f>
        <v>5.7230372400451364</v>
      </c>
      <c r="S23" s="8">
        <f>'Rateio Custos Fixos'!G22</f>
        <v>17.986688468713286</v>
      </c>
      <c r="T23" s="8">
        <f>'Rateio Custos Fixos'!H22</f>
        <v>24.527302457336301</v>
      </c>
      <c r="U23" s="8">
        <f>'Rateio Custos Fixos'!I22</f>
        <v>1.6351534971557533</v>
      </c>
      <c r="V23" s="8">
        <f>'Rateio Custos Fixos'!J22</f>
        <v>2.9432762948803561</v>
      </c>
      <c r="W23" s="8">
        <f>'Rateio Custos Fixos'!K22</f>
        <v>8.0122521360631911</v>
      </c>
      <c r="X23" s="8">
        <f>'Rateio Custos Fixos'!L22</f>
        <v>17.332627069850986</v>
      </c>
      <c r="Y23" s="8">
        <f>'Rateio Custos Fixos'!M22</f>
        <v>5.9846617995900573</v>
      </c>
      <c r="Z23" s="8">
        <f>'Rateio Custos Fixos'!N22</f>
        <v>34.421904055641257</v>
      </c>
      <c r="AA23" s="8">
        <f>'Rateio Custos Fixos'!O22</f>
        <v>24.527302457336301</v>
      </c>
      <c r="AB23" s="8">
        <f>'Rateio Custos Fixos'!P22</f>
        <v>4.9054604914672604</v>
      </c>
      <c r="AC23" s="8">
        <f>'Rateio Custos Fixos'!Q22</f>
        <v>5.237887197439024</v>
      </c>
      <c r="AD23" s="8">
        <f>'Rateio Custos Fixos'!R22</f>
        <v>3.2703069943115066</v>
      </c>
      <c r="AE23" s="8">
        <f>'Rateio Custos Fixos'!S22</f>
        <v>73.581907372008899</v>
      </c>
      <c r="AF23" s="8">
        <f>'Rateio Custos Fixos'!T22</f>
        <v>135.77170032933364</v>
      </c>
      <c r="AG23" s="8">
        <f>'Rateio Custos Fixos'!U22</f>
        <v>21.256995463024793</v>
      </c>
      <c r="AH23" s="8">
        <f t="shared" si="7"/>
        <v>387.11846332419776</v>
      </c>
      <c r="AI23" s="8">
        <f t="shared" si="8"/>
        <v>1474.1471011781427</v>
      </c>
      <c r="AJ23" s="8">
        <f t="shared" si="9"/>
        <v>147.41471011781428</v>
      </c>
    </row>
    <row r="24" spans="2:36" x14ac:dyDescent="0.3">
      <c r="B24" t="str">
        <f>'Lista de Compra'!B22</f>
        <v>FLANGE 6" 150LBS LISO ASTM A105 GR WPB B16.5 RF</v>
      </c>
      <c r="C24" t="str">
        <f>'Lista de Compra'!C22</f>
        <v>7307.93.18</v>
      </c>
      <c r="D24" s="1">
        <f>'Lista de Compra'!I22</f>
        <v>20</v>
      </c>
      <c r="E24" s="70">
        <f>'Lista de Compra'!L22</f>
        <v>1.8286082771009415E-2</v>
      </c>
      <c r="F24" s="7">
        <f>'Lista de Compra'!J22</f>
        <v>7.94</v>
      </c>
      <c r="G24" s="7">
        <f t="shared" si="14"/>
        <v>158.80000000000001</v>
      </c>
      <c r="H24" s="8">
        <f t="shared" si="12"/>
        <v>816.23199999999997</v>
      </c>
      <c r="I24" s="71">
        <f>'Rateio Custos Fixos'!E23</f>
        <v>481.17943345385856</v>
      </c>
      <c r="J24" s="8">
        <f t="shared" si="3"/>
        <v>1297.4114334538585</v>
      </c>
      <c r="K24" s="8">
        <f t="shared" si="4"/>
        <v>1460.8852740690447</v>
      </c>
      <c r="L24" s="8">
        <f t="shared" si="15"/>
        <v>163.47384061518616</v>
      </c>
      <c r="M24" s="8">
        <f t="shared" si="6"/>
        <v>53.322312503520131</v>
      </c>
      <c r="N24" s="8">
        <f t="shared" si="6"/>
        <v>30.678590755449942</v>
      </c>
      <c r="O24" s="8">
        <f t="shared" si="6"/>
        <v>140.97542894766281</v>
      </c>
      <c r="P24" s="8">
        <f t="shared" si="6"/>
        <v>87.653116444142682</v>
      </c>
      <c r="Q24" s="8">
        <f t="shared" si="13"/>
        <v>476.10328926596173</v>
      </c>
      <c r="R24" s="8">
        <f>'Rateio Custos Fixos'!F23</f>
        <v>6.400128969853295</v>
      </c>
      <c r="S24" s="8">
        <f>'Rateio Custos Fixos'!G23</f>
        <v>20.114691048110355</v>
      </c>
      <c r="T24" s="8">
        <f>'Rateio Custos Fixos'!H23</f>
        <v>27.429124156514121</v>
      </c>
      <c r="U24" s="8">
        <f>'Rateio Custos Fixos'!I23</f>
        <v>1.8286082771009415</v>
      </c>
      <c r="V24" s="8">
        <f>'Rateio Custos Fixos'!J23</f>
        <v>3.2914948987816945</v>
      </c>
      <c r="W24" s="8">
        <f>'Rateio Custos Fixos'!K23</f>
        <v>8.9601805577946134</v>
      </c>
      <c r="X24" s="8">
        <f>'Rateio Custos Fixos'!L23</f>
        <v>19.383247737269979</v>
      </c>
      <c r="Y24" s="8">
        <f>'Rateio Custos Fixos'!M23</f>
        <v>6.6927062941894455</v>
      </c>
      <c r="Z24" s="8">
        <f>'Rateio Custos Fixos'!N23</f>
        <v>38.494354676308689</v>
      </c>
      <c r="AA24" s="8">
        <f>'Rateio Custos Fixos'!O23</f>
        <v>27.429124156514121</v>
      </c>
      <c r="AB24" s="8">
        <f>'Rateio Custos Fixos'!P23</f>
        <v>5.4858248313028248</v>
      </c>
      <c r="AC24" s="8">
        <f>'Rateio Custos Fixos'!Q23</f>
        <v>5.8575808940374454</v>
      </c>
      <c r="AD24" s="8">
        <f>'Rateio Custos Fixos'!R23</f>
        <v>3.6572165542018831</v>
      </c>
      <c r="AE24" s="8">
        <f>'Rateio Custos Fixos'!S23</f>
        <v>82.287372469542362</v>
      </c>
      <c r="AF24" s="8">
        <f>'Rateio Custos Fixos'!T23</f>
        <v>151.83483107252246</v>
      </c>
      <c r="AG24" s="8">
        <f>'Rateio Custos Fixos'!U23</f>
        <v>23.77190760231224</v>
      </c>
      <c r="AH24" s="8">
        <f t="shared" si="7"/>
        <v>432.91839419635642</v>
      </c>
      <c r="AI24" s="8">
        <f t="shared" si="8"/>
        <v>2206.4331169161769</v>
      </c>
      <c r="AJ24" s="8">
        <f t="shared" si="9"/>
        <v>110.32165584580885</v>
      </c>
    </row>
    <row r="25" spans="2:36" x14ac:dyDescent="0.3">
      <c r="B25" t="str">
        <f>'Lista de Compra'!B23</f>
        <v>FLANGE 8" 150LBS LISO ASTM A105 GR WPB B16.5 RF</v>
      </c>
      <c r="C25" t="str">
        <f>'Lista de Compra'!C23</f>
        <v>7307.93.19</v>
      </c>
      <c r="D25" s="1">
        <f>'Lista de Compra'!I23</f>
        <v>8</v>
      </c>
      <c r="E25" s="70">
        <f>'Lista de Compra'!L23</f>
        <v>3.1275189424472022E-2</v>
      </c>
      <c r="F25" s="7">
        <f>'Lista de Compra'!J23</f>
        <v>13.58</v>
      </c>
      <c r="G25" s="7">
        <f t="shared" si="14"/>
        <v>108.64</v>
      </c>
      <c r="H25" s="8">
        <f t="shared" si="12"/>
        <v>558.40959999999995</v>
      </c>
      <c r="I25" s="71">
        <f>'Rateio Custos Fixos'!E24</f>
        <v>822.97439625987397</v>
      </c>
      <c r="J25" s="8">
        <f t="shared" si="3"/>
        <v>1381.383996259874</v>
      </c>
      <c r="K25" s="8">
        <f t="shared" si="4"/>
        <v>1555.4383797886182</v>
      </c>
      <c r="L25" s="8">
        <f t="shared" si="15"/>
        <v>174.05438352874413</v>
      </c>
      <c r="M25" s="8">
        <f t="shared" si="6"/>
        <v>56.773500862284564</v>
      </c>
      <c r="N25" s="8">
        <f t="shared" si="6"/>
        <v>32.664205975560982</v>
      </c>
      <c r="O25" s="8">
        <f t="shared" si="6"/>
        <v>150.09980364960165</v>
      </c>
      <c r="P25" s="8">
        <f t="shared" si="6"/>
        <v>93.32630278731709</v>
      </c>
      <c r="Q25" s="8">
        <f t="shared" si="13"/>
        <v>506.91819680350847</v>
      </c>
      <c r="R25" s="8">
        <f>'Rateio Custos Fixos'!F24</f>
        <v>10.946316298565208</v>
      </c>
      <c r="S25" s="8">
        <f>'Rateio Custos Fixos'!G24</f>
        <v>34.402708366919221</v>
      </c>
      <c r="T25" s="8">
        <f>'Rateio Custos Fixos'!H24</f>
        <v>46.912784136708034</v>
      </c>
      <c r="U25" s="8">
        <f>'Rateio Custos Fixos'!I24</f>
        <v>3.1275189424472023</v>
      </c>
      <c r="V25" s="8">
        <f>'Rateio Custos Fixos'!J24</f>
        <v>5.6295340964049636</v>
      </c>
      <c r="W25" s="8">
        <f>'Rateio Custos Fixos'!K24</f>
        <v>15.324842817991291</v>
      </c>
      <c r="X25" s="8">
        <f>'Rateio Custos Fixos'!L24</f>
        <v>33.151700789940342</v>
      </c>
      <c r="Y25" s="8">
        <f>'Rateio Custos Fixos'!M24</f>
        <v>11.44671932935676</v>
      </c>
      <c r="Z25" s="8">
        <f>'Rateio Custos Fixos'!N24</f>
        <v>65.837951700789915</v>
      </c>
      <c r="AA25" s="8">
        <f>'Rateio Custos Fixos'!O24</f>
        <v>46.912784136708034</v>
      </c>
      <c r="AB25" s="8">
        <f>'Rateio Custos Fixos'!P24</f>
        <v>9.382556827341606</v>
      </c>
      <c r="AC25" s="8">
        <f>'Rateio Custos Fixos'!Q24</f>
        <v>10.018381428341122</v>
      </c>
      <c r="AD25" s="8">
        <f>'Rateio Custos Fixos'!R24</f>
        <v>6.2550378848944046</v>
      </c>
      <c r="AE25" s="8">
        <f>'Rateio Custos Fixos'!S24</f>
        <v>140.73835241012409</v>
      </c>
      <c r="AF25" s="8">
        <f>'Rateio Custos Fixos'!T24</f>
        <v>259.68728034821851</v>
      </c>
      <c r="AG25" s="8">
        <f>'Rateio Custos Fixos'!U24</f>
        <v>40.657746251813627</v>
      </c>
      <c r="AH25" s="8">
        <f t="shared" si="7"/>
        <v>740.43221576656435</v>
      </c>
      <c r="AI25" s="8">
        <f t="shared" si="8"/>
        <v>2628.7344088299469</v>
      </c>
      <c r="AJ25" s="8">
        <f t="shared" si="9"/>
        <v>328.59180110374336</v>
      </c>
    </row>
    <row r="26" spans="2:36" x14ac:dyDescent="0.3">
      <c r="B26" t="str">
        <f>'Lista de Compra'!B24</f>
        <v>FLANGE 8" 300LBS LISO ASTM A105 GR WPB B16.5 RF</v>
      </c>
      <c r="C26" t="str">
        <f>'Lista de Compra'!C24</f>
        <v>7307.93.20</v>
      </c>
      <c r="D26" s="1">
        <f>'Lista de Compra'!I24</f>
        <v>5</v>
      </c>
      <c r="E26" s="70">
        <f>'Lista de Compra'!L24</f>
        <v>5.9671587480712079E-2</v>
      </c>
      <c r="F26" s="7">
        <f>'Lista de Compra'!J24</f>
        <v>25.91</v>
      </c>
      <c r="G26" s="7">
        <f t="shared" si="14"/>
        <v>129.55000000000001</v>
      </c>
      <c r="H26" s="8">
        <f t="shared" si="12"/>
        <v>665.88700000000006</v>
      </c>
      <c r="I26" s="71">
        <f>'Rateio Custos Fixos'!E25</f>
        <v>1570.196362819833</v>
      </c>
      <c r="J26" s="8">
        <f t="shared" si="3"/>
        <v>2236.0833628198329</v>
      </c>
      <c r="K26" s="8">
        <f t="shared" si="4"/>
        <v>2517.8298665351317</v>
      </c>
      <c r="L26" s="8">
        <f t="shared" si="15"/>
        <v>281.74650371529896</v>
      </c>
      <c r="M26" s="8">
        <f t="shared" ref="M26:P45" si="16">M$5*$K26</f>
        <v>91.900790128532307</v>
      </c>
      <c r="N26" s="8">
        <f t="shared" si="16"/>
        <v>52.874427197237772</v>
      </c>
      <c r="O26" s="8">
        <f t="shared" si="16"/>
        <v>242.97058212064022</v>
      </c>
      <c r="P26" s="8">
        <f t="shared" si="16"/>
        <v>151.06979199210789</v>
      </c>
      <c r="Q26" s="8">
        <f t="shared" si="13"/>
        <v>820.56209515381715</v>
      </c>
      <c r="R26" s="8">
        <f>'Rateio Custos Fixos'!F25</f>
        <v>20.885055618249229</v>
      </c>
      <c r="S26" s="8">
        <f>'Rateio Custos Fixos'!G25</f>
        <v>65.63874622878329</v>
      </c>
      <c r="T26" s="8">
        <f>'Rateio Custos Fixos'!H25</f>
        <v>89.507381221068115</v>
      </c>
      <c r="U26" s="8">
        <f>'Rateio Custos Fixos'!I25</f>
        <v>5.9671587480712081</v>
      </c>
      <c r="V26" s="8">
        <f>'Rateio Custos Fixos'!J25</f>
        <v>10.740885746528175</v>
      </c>
      <c r="W26" s="8">
        <f>'Rateio Custos Fixos'!K25</f>
        <v>29.239077865548918</v>
      </c>
      <c r="X26" s="8">
        <f>'Rateio Custos Fixos'!L25</f>
        <v>63.251882729554801</v>
      </c>
      <c r="Y26" s="8">
        <f>'Rateio Custos Fixos'!M25</f>
        <v>21.839801017940623</v>
      </c>
      <c r="Z26" s="8">
        <f>'Rateio Custos Fixos'!N25</f>
        <v>125.61570902558664</v>
      </c>
      <c r="AA26" s="8">
        <f>'Rateio Custos Fixos'!O25</f>
        <v>89.507381221068115</v>
      </c>
      <c r="AB26" s="8">
        <f>'Rateio Custos Fixos'!P25</f>
        <v>17.901476244213622</v>
      </c>
      <c r="AC26" s="8">
        <f>'Rateio Custos Fixos'!Q25</f>
        <v>19.114599617696499</v>
      </c>
      <c r="AD26" s="8">
        <f>'Rateio Custos Fixos'!R25</f>
        <v>11.934317496142416</v>
      </c>
      <c r="AE26" s="8">
        <f>'Rateio Custos Fixos'!S25</f>
        <v>268.52214366320436</v>
      </c>
      <c r="AF26" s="8">
        <f>'Rateio Custos Fixos'!T25</f>
        <v>495.47109232859657</v>
      </c>
      <c r="AG26" s="8">
        <f>'Rateio Custos Fixos'!U25</f>
        <v>77.573063724925703</v>
      </c>
      <c r="AH26" s="8">
        <f t="shared" si="7"/>
        <v>1412.7097724971782</v>
      </c>
      <c r="AI26" s="8">
        <f t="shared" si="8"/>
        <v>4469.3552304708282</v>
      </c>
      <c r="AJ26" s="8">
        <f t="shared" si="9"/>
        <v>893.87104609416565</v>
      </c>
    </row>
    <row r="27" spans="2:36" x14ac:dyDescent="0.3">
      <c r="B27" t="str">
        <f>'Lista de Compra'!B25</f>
        <v>FLANGE 6" 300LBS LISO ASTM A105 GR WPB B16.5 RF</v>
      </c>
      <c r="C27" t="str">
        <f>'Lista de Compra'!C25</f>
        <v>7307.93.21</v>
      </c>
      <c r="D27" s="1">
        <f>'Lista de Compra'!I25</f>
        <v>10</v>
      </c>
      <c r="E27" s="70">
        <f>'Lista de Compra'!L25</f>
        <v>4.3320052509154536E-2</v>
      </c>
      <c r="F27" s="7">
        <f>'Lista de Compra'!J25</f>
        <v>18.809999999999999</v>
      </c>
      <c r="G27" s="7">
        <f t="shared" si="14"/>
        <v>188.1</v>
      </c>
      <c r="H27" s="8">
        <f t="shared" si="12"/>
        <v>966.83399999999995</v>
      </c>
      <c r="I27" s="71">
        <f>'Rateio Custos Fixos'!E26</f>
        <v>1139.922562124317</v>
      </c>
      <c r="J27" s="8">
        <f t="shared" si="3"/>
        <v>2106.756562124317</v>
      </c>
      <c r="K27" s="8">
        <f t="shared" si="4"/>
        <v>2372.2078889519807</v>
      </c>
      <c r="L27" s="8">
        <f t="shared" si="15"/>
        <v>265.45132682766393</v>
      </c>
      <c r="M27" s="8">
        <f t="shared" si="16"/>
        <v>86.585587946747296</v>
      </c>
      <c r="N27" s="8">
        <f t="shared" si="16"/>
        <v>49.816365667991597</v>
      </c>
      <c r="O27" s="8">
        <f t="shared" si="16"/>
        <v>228.91806128386614</v>
      </c>
      <c r="P27" s="8">
        <f t="shared" si="16"/>
        <v>142.33247333711884</v>
      </c>
      <c r="Q27" s="8">
        <f t="shared" si="13"/>
        <v>773.10381506338774</v>
      </c>
      <c r="R27" s="8">
        <f>'Rateio Custos Fixos'!F26</f>
        <v>15.162018378204088</v>
      </c>
      <c r="S27" s="8">
        <f>'Rateio Custos Fixos'!G26</f>
        <v>47.652057760069987</v>
      </c>
      <c r="T27" s="8">
        <f>'Rateio Custos Fixos'!H26</f>
        <v>64.980078763731797</v>
      </c>
      <c r="U27" s="8">
        <f>'Rateio Custos Fixos'!I26</f>
        <v>4.3320052509154534</v>
      </c>
      <c r="V27" s="8">
        <f>'Rateio Custos Fixos'!J26</f>
        <v>7.7976094516478165</v>
      </c>
      <c r="W27" s="8">
        <f>'Rateio Custos Fixos'!K26</f>
        <v>21.226825729485721</v>
      </c>
      <c r="X27" s="8">
        <f>'Rateio Custos Fixos'!L26</f>
        <v>45.919255659703808</v>
      </c>
      <c r="Y27" s="8">
        <f>'Rateio Custos Fixos'!M26</f>
        <v>15.85513921835056</v>
      </c>
      <c r="Z27" s="8">
        <f>'Rateio Custos Fixos'!N26</f>
        <v>91.193804969945361</v>
      </c>
      <c r="AA27" s="8">
        <f>'Rateio Custos Fixos'!O26</f>
        <v>64.980078763731797</v>
      </c>
      <c r="AB27" s="8">
        <f>'Rateio Custos Fixos'!P26</f>
        <v>12.996015752746361</v>
      </c>
      <c r="AC27" s="8">
        <f>'Rateio Custos Fixos'!Q26</f>
        <v>13.876712420257471</v>
      </c>
      <c r="AD27" s="8">
        <f>'Rateio Custos Fixos'!R26</f>
        <v>8.6640105018309068</v>
      </c>
      <c r="AE27" s="8">
        <f>'Rateio Custos Fixos'!S26</f>
        <v>194.94023629119542</v>
      </c>
      <c r="AF27" s="8">
        <f>'Rateio Custos Fixos'!T26</f>
        <v>359.69939199926284</v>
      </c>
      <c r="AG27" s="8">
        <f>'Rateio Custos Fixos'!U26</f>
        <v>56.316068261900895</v>
      </c>
      <c r="AH27" s="8">
        <f t="shared" si="7"/>
        <v>1025.5913091729803</v>
      </c>
      <c r="AI27" s="8">
        <f t="shared" si="8"/>
        <v>3905.451686360685</v>
      </c>
      <c r="AJ27" s="8">
        <f t="shared" si="9"/>
        <v>390.54516863606852</v>
      </c>
    </row>
    <row r="28" spans="2:36" x14ac:dyDescent="0.3">
      <c r="B28" t="str">
        <f>'Lista de Compra'!B26</f>
        <v>FLANGE 5" 300LBS LISO ASTM A105 GR WPB B16.5 RF</v>
      </c>
      <c r="C28" t="str">
        <f>'Lista de Compra'!C26</f>
        <v>7307.93.22</v>
      </c>
      <c r="D28" s="1">
        <f>'Lista de Compra'!I26</f>
        <v>5</v>
      </c>
      <c r="E28" s="70">
        <f>'Lista de Compra'!L26</f>
        <v>1.6351534971557533E-2</v>
      </c>
      <c r="F28" s="7">
        <f>'Lista de Compra'!J26</f>
        <v>7.1</v>
      </c>
      <c r="G28" s="7">
        <f t="shared" si="14"/>
        <v>35.5</v>
      </c>
      <c r="H28" s="8">
        <f t="shared" si="12"/>
        <v>182.47</v>
      </c>
      <c r="I28" s="71">
        <f>'Rateio Custos Fixos'!E27</f>
        <v>430.27380069551572</v>
      </c>
      <c r="J28" s="8">
        <f t="shared" si="3"/>
        <v>612.74380069551569</v>
      </c>
      <c r="K28" s="8">
        <f t="shared" si="4"/>
        <v>689.94951958315062</v>
      </c>
      <c r="L28" s="8">
        <f t="shared" si="15"/>
        <v>77.205718887634973</v>
      </c>
      <c r="M28" s="8">
        <f t="shared" si="16"/>
        <v>25.183157464784998</v>
      </c>
      <c r="N28" s="8">
        <f t="shared" si="16"/>
        <v>14.488939911246163</v>
      </c>
      <c r="O28" s="8">
        <f t="shared" si="16"/>
        <v>66.580128639774031</v>
      </c>
      <c r="P28" s="8">
        <f t="shared" si="16"/>
        <v>41.396971174989034</v>
      </c>
      <c r="Q28" s="8">
        <f t="shared" si="13"/>
        <v>224.8549160784292</v>
      </c>
      <c r="R28" s="8">
        <f>'Rateio Custos Fixos'!F27</f>
        <v>5.7230372400451364</v>
      </c>
      <c r="S28" s="8">
        <f>'Rateio Custos Fixos'!G27</f>
        <v>17.986688468713286</v>
      </c>
      <c r="T28" s="8">
        <f>'Rateio Custos Fixos'!H27</f>
        <v>24.527302457336301</v>
      </c>
      <c r="U28" s="8">
        <f>'Rateio Custos Fixos'!I27</f>
        <v>1.6351534971557533</v>
      </c>
      <c r="V28" s="8">
        <f>'Rateio Custos Fixos'!J27</f>
        <v>2.9432762948803561</v>
      </c>
      <c r="W28" s="8">
        <f>'Rateio Custos Fixos'!K27</f>
        <v>8.0122521360631911</v>
      </c>
      <c r="X28" s="8">
        <f>'Rateio Custos Fixos'!L27</f>
        <v>17.332627069850986</v>
      </c>
      <c r="Y28" s="8">
        <f>'Rateio Custos Fixos'!M27</f>
        <v>5.9846617995900573</v>
      </c>
      <c r="Z28" s="8">
        <f>'Rateio Custos Fixos'!N27</f>
        <v>34.421904055641257</v>
      </c>
      <c r="AA28" s="8">
        <f>'Rateio Custos Fixos'!O27</f>
        <v>24.527302457336301</v>
      </c>
      <c r="AB28" s="8">
        <f>'Rateio Custos Fixos'!P27</f>
        <v>4.9054604914672604</v>
      </c>
      <c r="AC28" s="8">
        <f>'Rateio Custos Fixos'!Q27</f>
        <v>5.237887197439024</v>
      </c>
      <c r="AD28" s="8">
        <f>'Rateio Custos Fixos'!R27</f>
        <v>3.2703069943115066</v>
      </c>
      <c r="AE28" s="8">
        <f>'Rateio Custos Fixos'!S27</f>
        <v>73.581907372008899</v>
      </c>
      <c r="AF28" s="8">
        <f>'Rateio Custos Fixos'!T27</f>
        <v>135.77170032933364</v>
      </c>
      <c r="AG28" s="8">
        <f>'Rateio Custos Fixos'!U27</f>
        <v>21.256995463024793</v>
      </c>
      <c r="AH28" s="8">
        <f t="shared" si="7"/>
        <v>387.11846332419776</v>
      </c>
      <c r="AI28" s="8">
        <f t="shared" si="8"/>
        <v>1224.7171800981428</v>
      </c>
      <c r="AJ28" s="8">
        <f t="shared" si="9"/>
        <v>244.94343601962856</v>
      </c>
    </row>
    <row r="29" spans="2:36" x14ac:dyDescent="0.3">
      <c r="B29" t="str">
        <f>'Lista de Compra'!B27</f>
        <v>FLANGE 5" 150LBS WN ASTM A105 GR WPB B16.5</v>
      </c>
      <c r="C29" t="str">
        <f>'Lista de Compra'!C27</f>
        <v>7307.93.23</v>
      </c>
      <c r="D29" s="1">
        <f>'Lista de Compra'!I27</f>
        <v>150</v>
      </c>
      <c r="E29" s="70">
        <f>'Lista de Compra'!L27</f>
        <v>2.1786693074779481E-2</v>
      </c>
      <c r="F29" s="7">
        <f>'Lista de Compra'!J27</f>
        <v>9.4600000000000009</v>
      </c>
      <c r="G29" s="7">
        <f t="shared" si="14"/>
        <v>1419.0000000000002</v>
      </c>
      <c r="H29" s="8">
        <f t="shared" si="12"/>
        <v>7293.6600000000008</v>
      </c>
      <c r="I29" s="71">
        <f>'Rateio Custos Fixos'!E28</f>
        <v>573.29438796895499</v>
      </c>
      <c r="J29" s="8">
        <f t="shared" si="3"/>
        <v>7866.9543879689554</v>
      </c>
      <c r="K29" s="8">
        <f t="shared" si="4"/>
        <v>8858.1906408530431</v>
      </c>
      <c r="L29" s="8">
        <f t="shared" si="15"/>
        <v>991.23625288408834</v>
      </c>
      <c r="M29" s="8">
        <f t="shared" si="16"/>
        <v>323.32395839113605</v>
      </c>
      <c r="N29" s="8">
        <f t="shared" si="16"/>
        <v>186.02200345791391</v>
      </c>
      <c r="O29" s="8">
        <f t="shared" si="16"/>
        <v>854.81539684231871</v>
      </c>
      <c r="P29" s="8">
        <f t="shared" si="16"/>
        <v>531.4914384511826</v>
      </c>
      <c r="Q29" s="8">
        <f t="shared" si="13"/>
        <v>2886.8890500266393</v>
      </c>
      <c r="R29" s="8">
        <f>'Rateio Custos Fixos'!F28</f>
        <v>7.6253425761728186</v>
      </c>
      <c r="S29" s="8">
        <f>'Rateio Custos Fixos'!G28</f>
        <v>23.965362382257428</v>
      </c>
      <c r="T29" s="8">
        <f>'Rateio Custos Fixos'!H28</f>
        <v>32.680039612169217</v>
      </c>
      <c r="U29" s="8">
        <f>'Rateio Custos Fixos'!I28</f>
        <v>2.1786693074779482</v>
      </c>
      <c r="V29" s="8">
        <f>'Rateio Custos Fixos'!J28</f>
        <v>3.9216047534603065</v>
      </c>
      <c r="W29" s="8">
        <f>'Rateio Custos Fixos'!K28</f>
        <v>10.675479606641945</v>
      </c>
      <c r="X29" s="8">
        <f>'Rateio Custos Fixos'!L28</f>
        <v>23.093894659266251</v>
      </c>
      <c r="Y29" s="8">
        <f>'Rateio Custos Fixos'!M28</f>
        <v>7.9739296653692895</v>
      </c>
      <c r="Z29" s="8">
        <f>'Rateio Custos Fixos'!N28</f>
        <v>45.863551037516402</v>
      </c>
      <c r="AA29" s="8">
        <f>'Rateio Custos Fixos'!O28</f>
        <v>32.680039612169217</v>
      </c>
      <c r="AB29" s="8">
        <f>'Rateio Custos Fixos'!P28</f>
        <v>6.5360079224338445</v>
      </c>
      <c r="AC29" s="8">
        <f>'Rateio Custos Fixos'!Q28</f>
        <v>6.9789313926441103</v>
      </c>
      <c r="AD29" s="8">
        <f>'Rateio Custos Fixos'!R28</f>
        <v>4.3573386149558964</v>
      </c>
      <c r="AE29" s="8">
        <f>'Rateio Custos Fixos'!S28</f>
        <v>98.040118836507659</v>
      </c>
      <c r="AF29" s="8">
        <f>'Rateio Custos Fixos'!T28</f>
        <v>180.90144860781643</v>
      </c>
      <c r="AG29" s="8">
        <f>'Rateio Custos Fixos'!U28</f>
        <v>28.322700997213325</v>
      </c>
      <c r="AH29" s="8">
        <f t="shared" si="7"/>
        <v>515.79445958407211</v>
      </c>
      <c r="AI29" s="8">
        <f t="shared" si="8"/>
        <v>11269.637897579667</v>
      </c>
      <c r="AJ29" s="8">
        <f t="shared" si="9"/>
        <v>75.13091931719778</v>
      </c>
    </row>
    <row r="30" spans="2:36" x14ac:dyDescent="0.3">
      <c r="B30" t="str">
        <f>'Lista de Compra'!B28</f>
        <v>FLANGE 6" 150LBS WN ASTM A105 GR WPB B16.5</v>
      </c>
      <c r="C30" t="str">
        <f>'Lista de Compra'!C28</f>
        <v>7307.93.24</v>
      </c>
      <c r="D30" s="1">
        <f>'Lista de Compra'!I28</f>
        <v>250</v>
      </c>
      <c r="E30" s="70">
        <f>'Lista de Compra'!L28</f>
        <v>2.6507910918679892E-2</v>
      </c>
      <c r="F30" s="7">
        <f>'Lista de Compra'!J28</f>
        <v>11.51</v>
      </c>
      <c r="G30" s="7">
        <f t="shared" si="14"/>
        <v>2877.5</v>
      </c>
      <c r="H30" s="8">
        <f t="shared" si="12"/>
        <v>14790.349999999999</v>
      </c>
      <c r="I30" s="71">
        <f>'Rateio Custos Fixos'!E29</f>
        <v>697.52837267681502</v>
      </c>
      <c r="J30" s="8">
        <f t="shared" si="3"/>
        <v>15487.878372676814</v>
      </c>
      <c r="K30" s="8">
        <f t="shared" si="4"/>
        <v>17439.351047634093</v>
      </c>
      <c r="L30" s="8">
        <f t="shared" si="15"/>
        <v>1951.4726749572785</v>
      </c>
      <c r="M30" s="8">
        <f t="shared" si="16"/>
        <v>636.53631323864431</v>
      </c>
      <c r="N30" s="8">
        <f t="shared" si="16"/>
        <v>366.22637200031596</v>
      </c>
      <c r="O30" s="8">
        <f t="shared" si="16"/>
        <v>1682.8973760966899</v>
      </c>
      <c r="P30" s="8">
        <f t="shared" si="16"/>
        <v>1046.3610628580454</v>
      </c>
      <c r="Q30" s="8">
        <f t="shared" si="13"/>
        <v>5683.4937991509742</v>
      </c>
      <c r="R30" s="8">
        <f>'Rateio Custos Fixos'!F29</f>
        <v>9.2777688215379612</v>
      </c>
      <c r="S30" s="8">
        <f>'Rateio Custos Fixos'!G29</f>
        <v>29.158702010547881</v>
      </c>
      <c r="T30" s="8">
        <f>'Rateio Custos Fixos'!H29</f>
        <v>39.761866378019839</v>
      </c>
      <c r="U30" s="8">
        <f>'Rateio Custos Fixos'!I29</f>
        <v>2.6507910918679891</v>
      </c>
      <c r="V30" s="8">
        <f>'Rateio Custos Fixos'!J29</f>
        <v>4.7714239653623807</v>
      </c>
      <c r="W30" s="8">
        <f>'Rateio Custos Fixos'!K29</f>
        <v>12.988876350153147</v>
      </c>
      <c r="X30" s="8">
        <f>'Rateio Custos Fixos'!L29</f>
        <v>28.098385573800684</v>
      </c>
      <c r="Y30" s="8">
        <f>'Rateio Custos Fixos'!M29</f>
        <v>9.7018953962368411</v>
      </c>
      <c r="Z30" s="8">
        <f>'Rateio Custos Fixos'!N29</f>
        <v>55.802269814145205</v>
      </c>
      <c r="AA30" s="8">
        <f>'Rateio Custos Fixos'!O29</f>
        <v>39.761866378019839</v>
      </c>
      <c r="AB30" s="8">
        <f>'Rateio Custos Fixos'!P29</f>
        <v>7.9523732756039678</v>
      </c>
      <c r="AC30" s="8">
        <f>'Rateio Custos Fixos'!Q29</f>
        <v>8.4912791045807285</v>
      </c>
      <c r="AD30" s="8">
        <f>'Rateio Custos Fixos'!R29</f>
        <v>5.3015821837359782</v>
      </c>
      <c r="AE30" s="8">
        <f>'Rateio Custos Fixos'!S29</f>
        <v>119.28559913405951</v>
      </c>
      <c r="AF30" s="8">
        <f>'Rateio Custos Fixos'!T29</f>
        <v>220.10313673107473</v>
      </c>
      <c r="AG30" s="8">
        <f>'Rateio Custos Fixos'!U29</f>
        <v>34.460284194283858</v>
      </c>
      <c r="AH30" s="8">
        <f t="shared" si="7"/>
        <v>627.5681004030306</v>
      </c>
      <c r="AI30" s="8">
        <f t="shared" si="8"/>
        <v>21798.940272230819</v>
      </c>
      <c r="AJ30" s="8">
        <f t="shared" si="9"/>
        <v>87.195761088923277</v>
      </c>
    </row>
    <row r="31" spans="2:36" x14ac:dyDescent="0.3">
      <c r="B31" t="str">
        <f>'Lista de Compra'!B29</f>
        <v>FLANGE 8" 150LBS WN ASTM A105 GR WPB B16.5</v>
      </c>
      <c r="C31" t="str">
        <f>'Lista de Compra'!C29</f>
        <v>7307.93.25</v>
      </c>
      <c r="D31" s="1">
        <f>'Lista de Compra'!I29</f>
        <v>50</v>
      </c>
      <c r="E31" s="70">
        <f>'Lista de Compra'!L29</f>
        <v>4.2652172911724726E-2</v>
      </c>
      <c r="F31" s="7">
        <f>'Lista de Compra'!J29</f>
        <v>18.52</v>
      </c>
      <c r="G31" s="7">
        <f t="shared" si="14"/>
        <v>926</v>
      </c>
      <c r="H31" s="8">
        <f t="shared" si="12"/>
        <v>4759.6399999999994</v>
      </c>
      <c r="I31" s="71">
        <f>'Rateio Custos Fixos'!E30</f>
        <v>1122.3479984339369</v>
      </c>
      <c r="J31" s="8">
        <f t="shared" si="3"/>
        <v>5881.9879984339368</v>
      </c>
      <c r="K31" s="8">
        <f t="shared" si="4"/>
        <v>6623.1184862366126</v>
      </c>
      <c r="L31" s="8">
        <f t="shared" si="15"/>
        <v>741.13048780267604</v>
      </c>
      <c r="M31" s="8">
        <f t="shared" si="16"/>
        <v>241.74382474763635</v>
      </c>
      <c r="N31" s="8">
        <f t="shared" si="16"/>
        <v>139.08548821096886</v>
      </c>
      <c r="O31" s="8">
        <f t="shared" si="16"/>
        <v>639.13093392183316</v>
      </c>
      <c r="P31" s="8">
        <f t="shared" si="16"/>
        <v>397.38710917419672</v>
      </c>
      <c r="Q31" s="8">
        <f t="shared" si="13"/>
        <v>2158.4778438573112</v>
      </c>
      <c r="R31" s="8">
        <f>'Rateio Custos Fixos'!F30</f>
        <v>14.928260519103654</v>
      </c>
      <c r="S31" s="8">
        <f>'Rateio Custos Fixos'!G30</f>
        <v>46.917390202897195</v>
      </c>
      <c r="T31" s="8">
        <f>'Rateio Custos Fixos'!H30</f>
        <v>63.978259367587086</v>
      </c>
      <c r="U31" s="8">
        <f>'Rateio Custos Fixos'!I30</f>
        <v>4.2652172911724726</v>
      </c>
      <c r="V31" s="8">
        <f>'Rateio Custos Fixos'!J30</f>
        <v>7.6773911241104509</v>
      </c>
      <c r="W31" s="8">
        <f>'Rateio Custos Fixos'!K30</f>
        <v>20.899564726745115</v>
      </c>
      <c r="X31" s="8">
        <f>'Rateio Custos Fixos'!L30</f>
        <v>45.211303286428212</v>
      </c>
      <c r="Y31" s="8">
        <f>'Rateio Custos Fixos'!M30</f>
        <v>15.61069528569125</v>
      </c>
      <c r="Z31" s="8">
        <f>'Rateio Custos Fixos'!N30</f>
        <v>89.787839874714962</v>
      </c>
      <c r="AA31" s="8">
        <f>'Rateio Custos Fixos'!O30</f>
        <v>63.978259367587086</v>
      </c>
      <c r="AB31" s="8">
        <f>'Rateio Custos Fixos'!P30</f>
        <v>12.795651873517418</v>
      </c>
      <c r="AC31" s="8">
        <f>'Rateio Custos Fixos'!Q30</f>
        <v>13.66277054881278</v>
      </c>
      <c r="AD31" s="8">
        <f>'Rateio Custos Fixos'!R30</f>
        <v>8.5304345823449452</v>
      </c>
      <c r="AE31" s="8">
        <f>'Rateio Custos Fixos'!S30</f>
        <v>191.93477810276127</v>
      </c>
      <c r="AF31" s="8">
        <f>'Rateio Custos Fixos'!T30</f>
        <v>354.15378733792386</v>
      </c>
      <c r="AG31" s="8">
        <f>'Rateio Custos Fixos'!U30</f>
        <v>55.44782478524214</v>
      </c>
      <c r="AH31" s="8">
        <f t="shared" si="7"/>
        <v>1009.7794282766399</v>
      </c>
      <c r="AI31" s="8">
        <f t="shared" si="8"/>
        <v>9050.2452705678879</v>
      </c>
      <c r="AJ31" s="8">
        <f t="shared" si="9"/>
        <v>181.00490541135775</v>
      </c>
    </row>
    <row r="32" spans="2:36" x14ac:dyDescent="0.3">
      <c r="B32" t="str">
        <f>'Lista de Compra'!B30</f>
        <v>FLANGE 8" 300LBS WN ASTM A105 GR WPB B16.5</v>
      </c>
      <c r="C32" t="str">
        <f>'Lista de Compra'!C30</f>
        <v>7307.93.26</v>
      </c>
      <c r="D32" s="1">
        <f>'Lista de Compra'!I30</f>
        <v>40</v>
      </c>
      <c r="E32" s="70">
        <f>'Lista de Compra'!L30</f>
        <v>8.8482531493977543E-2</v>
      </c>
      <c r="F32" s="7">
        <f>'Lista de Compra'!J30</f>
        <v>38.42</v>
      </c>
      <c r="G32" s="7">
        <f t="shared" si="14"/>
        <v>1536.8000000000002</v>
      </c>
      <c r="H32" s="8">
        <f t="shared" si="12"/>
        <v>7899.152</v>
      </c>
      <c r="I32" s="71">
        <f>'Rateio Custos Fixos'!E31</f>
        <v>2328.3266792565801</v>
      </c>
      <c r="J32" s="8">
        <f t="shared" si="3"/>
        <v>10227.478679256579</v>
      </c>
      <c r="K32" s="8">
        <f t="shared" si="4"/>
        <v>11516.140992842908</v>
      </c>
      <c r="L32" s="8">
        <f t="shared" si="15"/>
        <v>1288.662313586329</v>
      </c>
      <c r="M32" s="8">
        <f t="shared" si="16"/>
        <v>420.33914623876609</v>
      </c>
      <c r="N32" s="8">
        <f t="shared" si="16"/>
        <v>241.83896084970107</v>
      </c>
      <c r="O32" s="8">
        <f t="shared" si="16"/>
        <v>1111.3076058093407</v>
      </c>
      <c r="P32" s="8">
        <f t="shared" si="16"/>
        <v>690.9684595705744</v>
      </c>
      <c r="Q32" s="8">
        <f t="shared" si="13"/>
        <v>3753.116486054711</v>
      </c>
      <c r="R32" s="8">
        <f>'Rateio Custos Fixos'!F31</f>
        <v>30.968886022892139</v>
      </c>
      <c r="S32" s="8">
        <f>'Rateio Custos Fixos'!G31</f>
        <v>97.330784643375296</v>
      </c>
      <c r="T32" s="8">
        <f>'Rateio Custos Fixos'!H31</f>
        <v>132.72379724096632</v>
      </c>
      <c r="U32" s="8">
        <f>'Rateio Custos Fixos'!I31</f>
        <v>8.8482531493977543</v>
      </c>
      <c r="V32" s="8">
        <f>'Rateio Custos Fixos'!J31</f>
        <v>15.926855668915957</v>
      </c>
      <c r="W32" s="8">
        <f>'Rateio Custos Fixos'!K31</f>
        <v>43.356440432048998</v>
      </c>
      <c r="X32" s="8">
        <f>'Rateio Custos Fixos'!L31</f>
        <v>93.791483383616196</v>
      </c>
      <c r="Y32" s="8">
        <f>'Rateio Custos Fixos'!M31</f>
        <v>32.384606526795778</v>
      </c>
      <c r="Z32" s="8">
        <f>'Rateio Custos Fixos'!N31</f>
        <v>186.26613434052641</v>
      </c>
      <c r="AA32" s="8">
        <f>'Rateio Custos Fixos'!O31</f>
        <v>132.72379724096632</v>
      </c>
      <c r="AB32" s="8">
        <f>'Rateio Custos Fixos'!P31</f>
        <v>26.544759448193261</v>
      </c>
      <c r="AC32" s="8">
        <f>'Rateio Custos Fixos'!Q31</f>
        <v>28.343609313465826</v>
      </c>
      <c r="AD32" s="8">
        <f>'Rateio Custos Fixos'!R31</f>
        <v>17.696506298795509</v>
      </c>
      <c r="AE32" s="8">
        <f>'Rateio Custos Fixos'!S31</f>
        <v>398.17139172289893</v>
      </c>
      <c r="AF32" s="8">
        <f>'Rateio Custos Fixos'!T31</f>
        <v>734.6970037539437</v>
      </c>
      <c r="AG32" s="8">
        <f>'Rateio Custos Fixos'!U31</f>
        <v>115.02729094217081</v>
      </c>
      <c r="AH32" s="8">
        <f t="shared" si="7"/>
        <v>2094.8016001289693</v>
      </c>
      <c r="AI32" s="8">
        <f t="shared" si="8"/>
        <v>16075.396765440259</v>
      </c>
      <c r="AJ32" s="8">
        <f t="shared" si="9"/>
        <v>401.88491913600649</v>
      </c>
    </row>
    <row r="33" spans="2:36" x14ac:dyDescent="0.3">
      <c r="B33" t="str">
        <f>'Lista de Compra'!B31</f>
        <v>FLANGE 6" 300LBS WN ASTM A105 GR WPB B16.5</v>
      </c>
      <c r="C33" t="str">
        <f>'Lista de Compra'!C31</f>
        <v>7307.93.27</v>
      </c>
      <c r="D33" s="1">
        <f>'Lista de Compra'!I31</f>
        <v>50</v>
      </c>
      <c r="E33" s="70">
        <f>'Lista de Compra'!L31</f>
        <v>4.9008544252780901E-2</v>
      </c>
      <c r="F33" s="7">
        <f>'Lista de Compra'!J31</f>
        <v>21.28</v>
      </c>
      <c r="G33" s="7">
        <f t="shared" si="14"/>
        <v>1064</v>
      </c>
      <c r="H33" s="8">
        <f t="shared" si="12"/>
        <v>5468.96</v>
      </c>
      <c r="I33" s="71">
        <f>'Rateio Custos Fixos'!E32</f>
        <v>1289.6093632113489</v>
      </c>
      <c r="J33" s="8">
        <f t="shared" si="3"/>
        <v>6758.5693632113489</v>
      </c>
      <c r="K33" s="8">
        <f t="shared" si="4"/>
        <v>7610.1491029759791</v>
      </c>
      <c r="L33" s="8">
        <f t="shared" si="15"/>
        <v>851.57973976462995</v>
      </c>
      <c r="M33" s="8">
        <f t="shared" si="16"/>
        <v>277.77044225862323</v>
      </c>
      <c r="N33" s="8">
        <f t="shared" si="16"/>
        <v>159.81313116249558</v>
      </c>
      <c r="O33" s="8">
        <f t="shared" si="16"/>
        <v>734.379388437182</v>
      </c>
      <c r="P33" s="8">
        <f t="shared" si="16"/>
        <v>456.60894617855871</v>
      </c>
      <c r="Q33" s="8">
        <f t="shared" si="13"/>
        <v>2480.1516478014896</v>
      </c>
      <c r="R33" s="8">
        <f>'Rateio Custos Fixos'!F32</f>
        <v>17.152990488473314</v>
      </c>
      <c r="S33" s="8">
        <f>'Rateio Custos Fixos'!G32</f>
        <v>53.909398678058992</v>
      </c>
      <c r="T33" s="8">
        <f>'Rateio Custos Fixos'!H32</f>
        <v>73.512816379171355</v>
      </c>
      <c r="U33" s="8">
        <f>'Rateio Custos Fixos'!I32</f>
        <v>4.9008544252780899</v>
      </c>
      <c r="V33" s="8">
        <f>'Rateio Custos Fixos'!J32</f>
        <v>8.8215379655005624</v>
      </c>
      <c r="W33" s="8">
        <f>'Rateio Custos Fixos'!K32</f>
        <v>24.014186683862643</v>
      </c>
      <c r="X33" s="8">
        <f>'Rateio Custos Fixos'!L32</f>
        <v>51.949056907947757</v>
      </c>
      <c r="Y33" s="8">
        <f>'Rateio Custos Fixos'!M32</f>
        <v>17.93712719651781</v>
      </c>
      <c r="Z33" s="8">
        <f>'Rateio Custos Fixos'!N32</f>
        <v>103.16874905690791</v>
      </c>
      <c r="AA33" s="8">
        <f>'Rateio Custos Fixos'!O32</f>
        <v>73.512816379171355</v>
      </c>
      <c r="AB33" s="8">
        <f>'Rateio Custos Fixos'!P32</f>
        <v>14.702563275834271</v>
      </c>
      <c r="AC33" s="8">
        <f>'Rateio Custos Fixos'!Q32</f>
        <v>15.698906980493305</v>
      </c>
      <c r="AD33" s="8">
        <f>'Rateio Custos Fixos'!R32</f>
        <v>9.8017088505561798</v>
      </c>
      <c r="AE33" s="8">
        <f>'Rateio Custos Fixos'!S32</f>
        <v>220.53844913751405</v>
      </c>
      <c r="AF33" s="8">
        <f>'Rateio Custos Fixos'!T32</f>
        <v>406.9326454941156</v>
      </c>
      <c r="AG33" s="8">
        <f>'Rateio Custos Fixos'!U32</f>
        <v>63.711107528615173</v>
      </c>
      <c r="AH33" s="8">
        <f t="shared" si="7"/>
        <v>1160.2649154280184</v>
      </c>
      <c r="AI33" s="8">
        <f t="shared" si="8"/>
        <v>10398.985926440857</v>
      </c>
      <c r="AJ33" s="8">
        <f t="shared" si="9"/>
        <v>207.97971852881713</v>
      </c>
    </row>
    <row r="34" spans="2:36" x14ac:dyDescent="0.3">
      <c r="B34" t="str">
        <f>'Lista de Compra'!B32</f>
        <v>FLANGE 5" 300LBS WN ASTM A105 GR WPB B16.5</v>
      </c>
      <c r="C34" t="str">
        <f>'Lista de Compra'!C32</f>
        <v>7307.93.28</v>
      </c>
      <c r="D34" s="1">
        <f>'Lista de Compra'!I32</f>
        <v>15</v>
      </c>
      <c r="E34" s="70">
        <f>'Lista de Compra'!L32</f>
        <v>4.6290965201169931E-2</v>
      </c>
      <c r="F34" s="7">
        <f>'Lista de Compra'!J32</f>
        <v>20.100000000000001</v>
      </c>
      <c r="G34" s="7">
        <f t="shared" si="14"/>
        <v>301.5</v>
      </c>
      <c r="H34" s="8">
        <f t="shared" si="12"/>
        <v>1549.7099999999998</v>
      </c>
      <c r="I34" s="71">
        <f>'Rateio Custos Fixos'!E33</f>
        <v>1218.0990695746293</v>
      </c>
      <c r="J34" s="8">
        <f t="shared" si="3"/>
        <v>2767.8090695746291</v>
      </c>
      <c r="K34" s="8">
        <f t="shared" si="4"/>
        <v>3116.5530123410326</v>
      </c>
      <c r="L34" s="8">
        <f t="shared" si="15"/>
        <v>348.74394276640328</v>
      </c>
      <c r="M34" s="8">
        <f t="shared" si="16"/>
        <v>113.75418495044768</v>
      </c>
      <c r="N34" s="8">
        <f t="shared" si="16"/>
        <v>65.447613259161685</v>
      </c>
      <c r="O34" s="8">
        <f t="shared" si="16"/>
        <v>300.74736569090965</v>
      </c>
      <c r="P34" s="8">
        <f t="shared" si="16"/>
        <v>186.99318074046195</v>
      </c>
      <c r="Q34" s="8">
        <f t="shared" si="13"/>
        <v>1015.6862874073843</v>
      </c>
      <c r="R34" s="8">
        <f>'Rateio Custos Fixos'!F33</f>
        <v>16.201837820409477</v>
      </c>
      <c r="S34" s="8">
        <f>'Rateio Custos Fixos'!G33</f>
        <v>50.920061721286928</v>
      </c>
      <c r="T34" s="8">
        <f>'Rateio Custos Fixos'!H33</f>
        <v>69.436447801754895</v>
      </c>
      <c r="U34" s="8">
        <f>'Rateio Custos Fixos'!I33</f>
        <v>4.6290965201169936</v>
      </c>
      <c r="V34" s="8">
        <f>'Rateio Custos Fixos'!J33</f>
        <v>8.3323737362105881</v>
      </c>
      <c r="W34" s="8">
        <f>'Rateio Custos Fixos'!K33</f>
        <v>22.682572948573267</v>
      </c>
      <c r="X34" s="8">
        <f>'Rateio Custos Fixos'!L33</f>
        <v>49.068423113240129</v>
      </c>
      <c r="Y34" s="8">
        <f>'Rateio Custos Fixos'!M33</f>
        <v>16.942493263628194</v>
      </c>
      <c r="Z34" s="8">
        <f>'Rateio Custos Fixos'!N33</f>
        <v>97.447925565970351</v>
      </c>
      <c r="AA34" s="8">
        <f>'Rateio Custos Fixos'!O33</f>
        <v>69.436447801754895</v>
      </c>
      <c r="AB34" s="8">
        <f>'Rateio Custos Fixos'!P33</f>
        <v>13.887289560350979</v>
      </c>
      <c r="AC34" s="8">
        <f>'Rateio Custos Fixos'!Q33</f>
        <v>14.828384882890763</v>
      </c>
      <c r="AD34" s="8">
        <f>'Rateio Custos Fixos'!R33</f>
        <v>9.2581930402339871</v>
      </c>
      <c r="AE34" s="8">
        <f>'Rateio Custos Fixos'!S33</f>
        <v>208.30934340526468</v>
      </c>
      <c r="AF34" s="8">
        <f>'Rateio Custos Fixos'!T33</f>
        <v>384.36777135487426</v>
      </c>
      <c r="AG34" s="8">
        <f>'Rateio Custos Fixos'!U33</f>
        <v>60.178254761520911</v>
      </c>
      <c r="AH34" s="8">
        <f t="shared" si="7"/>
        <v>1095.9269172980814</v>
      </c>
      <c r="AI34" s="8">
        <f t="shared" si="8"/>
        <v>4879.4222742800948</v>
      </c>
      <c r="AJ34" s="8">
        <f t="shared" si="9"/>
        <v>325.29481828533966</v>
      </c>
    </row>
    <row r="35" spans="2:36" x14ac:dyDescent="0.3">
      <c r="B35" t="str">
        <f>'Lista de Compra'!B33</f>
        <v>CURVA SOLD RL 90° ASTM A-234 ASME B16.9 SCH 80 - 2"</v>
      </c>
      <c r="C35" t="str">
        <f>'Lista de Compra'!C33</f>
        <v>7307.93.29</v>
      </c>
      <c r="D35" s="1">
        <f>'Lista de Compra'!I33</f>
        <v>1600</v>
      </c>
      <c r="E35" s="70">
        <f>'Lista de Compra'!L33</f>
        <v>1.9806084613435888E-3</v>
      </c>
      <c r="F35" s="7">
        <f>'Lista de Compra'!J33</f>
        <v>0.86</v>
      </c>
      <c r="G35" s="7">
        <f t="shared" si="14"/>
        <v>1376</v>
      </c>
      <c r="H35" s="8">
        <f t="shared" si="12"/>
        <v>7072.6399999999994</v>
      </c>
      <c r="I35" s="71">
        <f>'Rateio Custos Fixos'!E34</f>
        <v>52.117671633541349</v>
      </c>
      <c r="J35" s="8">
        <f t="shared" si="3"/>
        <v>7124.7576716335407</v>
      </c>
      <c r="K35" s="8">
        <f t="shared" si="4"/>
        <v>8022.4771382593672</v>
      </c>
      <c r="L35" s="8">
        <f t="shared" si="15"/>
        <v>897.71946662582616</v>
      </c>
      <c r="M35" s="8">
        <f t="shared" si="16"/>
        <v>292.8204155464669</v>
      </c>
      <c r="N35" s="8">
        <f t="shared" si="16"/>
        <v>168.47201990344672</v>
      </c>
      <c r="O35" s="8">
        <f t="shared" si="16"/>
        <v>774.16904384202894</v>
      </c>
      <c r="P35" s="8">
        <f t="shared" si="16"/>
        <v>481.34862829556204</v>
      </c>
      <c r="Q35" s="8">
        <f t="shared" si="13"/>
        <v>2614.5295742133303</v>
      </c>
      <c r="R35" s="8">
        <f>'Rateio Custos Fixos'!F34</f>
        <v>0.69321296147025613</v>
      </c>
      <c r="S35" s="8">
        <f>'Rateio Custos Fixos'!G34</f>
        <v>2.1786693074779477</v>
      </c>
      <c r="T35" s="8">
        <f>'Rateio Custos Fixos'!H34</f>
        <v>2.970912692015383</v>
      </c>
      <c r="U35" s="8">
        <f>'Rateio Custos Fixos'!I34</f>
        <v>0.19806084613435887</v>
      </c>
      <c r="V35" s="8">
        <f>'Rateio Custos Fixos'!J34</f>
        <v>0.35650952304184597</v>
      </c>
      <c r="W35" s="8">
        <f>'Rateio Custos Fixos'!K34</f>
        <v>0.97049814605835849</v>
      </c>
      <c r="X35" s="8">
        <f>'Rateio Custos Fixos'!L34</f>
        <v>2.0994449690242041</v>
      </c>
      <c r="Y35" s="8">
        <f>'Rateio Custos Fixos'!M34</f>
        <v>0.72490269685175346</v>
      </c>
      <c r="Z35" s="8">
        <f>'Rateio Custos Fixos'!N34</f>
        <v>4.1694137306833081</v>
      </c>
      <c r="AA35" s="8">
        <f>'Rateio Custos Fixos'!O34</f>
        <v>2.970912692015383</v>
      </c>
      <c r="AB35" s="8">
        <f>'Rateio Custos Fixos'!P34</f>
        <v>0.59418253840307667</v>
      </c>
      <c r="AC35" s="8">
        <f>'Rateio Custos Fixos'!Q34</f>
        <v>0.6344483084221918</v>
      </c>
      <c r="AD35" s="8">
        <f>'Rateio Custos Fixos'!R34</f>
        <v>0.39612169226871774</v>
      </c>
      <c r="AE35" s="8">
        <f>'Rateio Custos Fixos'!S34</f>
        <v>8.9127380760461499</v>
      </c>
      <c r="AF35" s="8">
        <f>'Rateio Custos Fixos'!T34</f>
        <v>16.44558623707422</v>
      </c>
      <c r="AG35" s="8">
        <f>'Rateio Custos Fixos'!U34</f>
        <v>2.5747909997466656</v>
      </c>
      <c r="AH35" s="8">
        <f t="shared" si="7"/>
        <v>46.890405416733827</v>
      </c>
      <c r="AI35" s="8">
        <f t="shared" si="8"/>
        <v>9786.1776512636043</v>
      </c>
      <c r="AJ35" s="8">
        <f t="shared" si="9"/>
        <v>6.1163610320397526</v>
      </c>
    </row>
    <row r="36" spans="2:36" x14ac:dyDescent="0.3">
      <c r="B36" t="str">
        <f>'Lista de Compra'!B34</f>
        <v>CURVA SOLD RL 90° ASTM A-234 ASME B16.9 SCH 80 - 6"</v>
      </c>
      <c r="C36" t="str">
        <f>'Lista de Compra'!C34</f>
        <v>7307.93.30</v>
      </c>
      <c r="D36" s="1">
        <f>'Lista de Compra'!I34</f>
        <v>70</v>
      </c>
      <c r="E36" s="70">
        <f>'Lista de Compra'!L34</f>
        <v>2.8718822689482039E-2</v>
      </c>
      <c r="F36" s="7">
        <f>'Lista de Compra'!J34</f>
        <v>12.47</v>
      </c>
      <c r="G36" s="7">
        <f t="shared" si="14"/>
        <v>872.90000000000009</v>
      </c>
      <c r="H36" s="8">
        <f t="shared" si="12"/>
        <v>4486.7060000000001</v>
      </c>
      <c r="I36" s="71">
        <f>'Rateio Custos Fixos'!E35</f>
        <v>755.70623868634959</v>
      </c>
      <c r="J36" s="8">
        <f t="shared" si="3"/>
        <v>5242.4122386863501</v>
      </c>
      <c r="K36" s="8">
        <f t="shared" si="4"/>
        <v>5902.9561807608297</v>
      </c>
      <c r="L36" s="8">
        <f t="shared" si="15"/>
        <v>660.54394207448013</v>
      </c>
      <c r="M36" s="8">
        <f t="shared" si="16"/>
        <v>215.45790059777028</v>
      </c>
      <c r="N36" s="8">
        <f t="shared" si="16"/>
        <v>123.96207979597743</v>
      </c>
      <c r="O36" s="8">
        <f t="shared" si="16"/>
        <v>569.63527144342004</v>
      </c>
      <c r="P36" s="8">
        <f t="shared" si="16"/>
        <v>354.17737084564976</v>
      </c>
      <c r="Q36" s="8">
        <f t="shared" si="13"/>
        <v>1923.7765647572978</v>
      </c>
      <c r="R36" s="8">
        <f>'Rateio Custos Fixos'!F35</f>
        <v>10.051587941318713</v>
      </c>
      <c r="S36" s="8">
        <f>'Rateio Custos Fixos'!G35</f>
        <v>31.590704958430244</v>
      </c>
      <c r="T36" s="8">
        <f>'Rateio Custos Fixos'!H35</f>
        <v>43.078234034223058</v>
      </c>
      <c r="U36" s="8">
        <f>'Rateio Custos Fixos'!I35</f>
        <v>2.871882268948204</v>
      </c>
      <c r="V36" s="8">
        <f>'Rateio Custos Fixos'!J35</f>
        <v>5.1693880841067674</v>
      </c>
      <c r="W36" s="8">
        <f>'Rateio Custos Fixos'!K35</f>
        <v>14.0722231178462</v>
      </c>
      <c r="X36" s="8">
        <f>'Rateio Custos Fixos'!L35</f>
        <v>30.441952050850961</v>
      </c>
      <c r="Y36" s="8">
        <f>'Rateio Custos Fixos'!M35</f>
        <v>10.511089104350427</v>
      </c>
      <c r="Z36" s="8">
        <f>'Rateio Custos Fixos'!N35</f>
        <v>60.456499094907969</v>
      </c>
      <c r="AA36" s="8">
        <f>'Rateio Custos Fixos'!O35</f>
        <v>43.078234034223058</v>
      </c>
      <c r="AB36" s="8">
        <f>'Rateio Custos Fixos'!P35</f>
        <v>8.6156468068446124</v>
      </c>
      <c r="AC36" s="8">
        <f>'Rateio Custos Fixos'!Q35</f>
        <v>9.1995004721217803</v>
      </c>
      <c r="AD36" s="8">
        <f>'Rateio Custos Fixos'!R35</f>
        <v>5.743764537896408</v>
      </c>
      <c r="AE36" s="8">
        <f>'Rateio Custos Fixos'!S35</f>
        <v>129.23470210266919</v>
      </c>
      <c r="AF36" s="8">
        <f>'Rateio Custos Fixos'!T35</f>
        <v>238.46100043757619</v>
      </c>
      <c r="AG36" s="8">
        <f>'Rateio Custos Fixos'!U35</f>
        <v>37.334469496326648</v>
      </c>
      <c r="AH36" s="8">
        <f t="shared" si="7"/>
        <v>679.91087854264038</v>
      </c>
      <c r="AI36" s="8">
        <f t="shared" si="8"/>
        <v>7846.0996819862885</v>
      </c>
      <c r="AJ36" s="8">
        <f t="shared" si="9"/>
        <v>112.08713831408984</v>
      </c>
    </row>
    <row r="37" spans="2:36" x14ac:dyDescent="0.3">
      <c r="B37" t="str">
        <f>'Lista de Compra'!B35</f>
        <v>CURVA SOLD RL 45° ASTM A-234 ASME B16.9 SCH 80 - 8"</v>
      </c>
      <c r="C37" t="str">
        <f>'Lista de Compra'!C35</f>
        <v>7307.93.31</v>
      </c>
      <c r="D37" s="1">
        <f>'Lista de Compra'!I35</f>
        <v>10</v>
      </c>
      <c r="E37" s="70">
        <f>'Lista de Compra'!L35</f>
        <v>2.9663066258262122E-2</v>
      </c>
      <c r="F37" s="7">
        <f>'Lista de Compra'!J35</f>
        <v>12.88</v>
      </c>
      <c r="G37" s="7">
        <f t="shared" si="14"/>
        <v>128.80000000000001</v>
      </c>
      <c r="H37" s="8">
        <f t="shared" si="12"/>
        <v>662.03200000000004</v>
      </c>
      <c r="I37" s="71">
        <f>'Rateio Custos Fixos'!E36</f>
        <v>780.55303562792164</v>
      </c>
      <c r="J37" s="8">
        <f t="shared" si="3"/>
        <v>1442.5850356279216</v>
      </c>
      <c r="K37" s="8">
        <f t="shared" si="4"/>
        <v>1624.3507501170398</v>
      </c>
      <c r="L37" s="8">
        <f t="shared" si="15"/>
        <v>181.76571448911812</v>
      </c>
      <c r="M37" s="8">
        <f t="shared" si="16"/>
        <v>59.288802379271949</v>
      </c>
      <c r="N37" s="8">
        <f t="shared" si="16"/>
        <v>34.111365752457836</v>
      </c>
      <c r="O37" s="8">
        <f t="shared" si="16"/>
        <v>156.74984738629433</v>
      </c>
      <c r="P37" s="8">
        <f t="shared" si="16"/>
        <v>97.461045007022378</v>
      </c>
      <c r="Q37" s="8">
        <f t="shared" si="13"/>
        <v>529.37677501416465</v>
      </c>
      <c r="R37" s="8">
        <f>'Rateio Custos Fixos'!F36</f>
        <v>10.382073190391743</v>
      </c>
      <c r="S37" s="8">
        <f>'Rateio Custos Fixos'!G36</f>
        <v>32.629372884088333</v>
      </c>
      <c r="T37" s="8">
        <f>'Rateio Custos Fixos'!H36</f>
        <v>44.49459938739318</v>
      </c>
      <c r="U37" s="8">
        <f>'Rateio Custos Fixos'!I36</f>
        <v>2.9663066258262121</v>
      </c>
      <c r="V37" s="8">
        <f>'Rateio Custos Fixos'!J36</f>
        <v>5.3393519264871818</v>
      </c>
      <c r="W37" s="8">
        <f>'Rateio Custos Fixos'!K36</f>
        <v>14.53490246654844</v>
      </c>
      <c r="X37" s="8">
        <f>'Rateio Custos Fixos'!L36</f>
        <v>31.442850233757849</v>
      </c>
      <c r="Y37" s="8">
        <f>'Rateio Custos Fixos'!M36</f>
        <v>10.856682250523937</v>
      </c>
      <c r="Z37" s="8">
        <f>'Rateio Custos Fixos'!N36</f>
        <v>62.444242850233735</v>
      </c>
      <c r="AA37" s="8">
        <f>'Rateio Custos Fixos'!O36</f>
        <v>44.49459938739318</v>
      </c>
      <c r="AB37" s="8">
        <f>'Rateio Custos Fixos'!P36</f>
        <v>8.8989198774786367</v>
      </c>
      <c r="AC37" s="8">
        <f>'Rateio Custos Fixos'!Q36</f>
        <v>9.5019700145091051</v>
      </c>
      <c r="AD37" s="8">
        <f>'Rateio Custos Fixos'!R36</f>
        <v>5.9326132516524241</v>
      </c>
      <c r="AE37" s="8">
        <f>'Rateio Custos Fixos'!S36</f>
        <v>133.48379816217954</v>
      </c>
      <c r="AF37" s="8">
        <f>'Rateio Custos Fixos'!T36</f>
        <v>246.30133806222784</v>
      </c>
      <c r="AG37" s="8">
        <f>'Rateio Custos Fixos'!U36</f>
        <v>38.56198613574076</v>
      </c>
      <c r="AH37" s="8">
        <f t="shared" si="7"/>
        <v>702.2656067064321</v>
      </c>
      <c r="AI37" s="8">
        <f t="shared" si="8"/>
        <v>2674.2274173485184</v>
      </c>
      <c r="AJ37" s="8">
        <f t="shared" si="9"/>
        <v>267.42274173485185</v>
      </c>
    </row>
    <row r="38" spans="2:36" x14ac:dyDescent="0.3">
      <c r="B38" t="str">
        <f>'Lista de Compra'!B36</f>
        <v>CURVA SOLD RL 45° ASTM A-234 ASME B16.9 SCH 80 - 6"</v>
      </c>
      <c r="C38" t="str">
        <f>'Lista de Compra'!C36</f>
        <v>7307.93.32</v>
      </c>
      <c r="D38" s="1">
        <f>'Lista de Compra'!I36</f>
        <v>30</v>
      </c>
      <c r="E38" s="70">
        <f>'Lista de Compra'!L36</f>
        <v>1.7226687547500053E-2</v>
      </c>
      <c r="F38" s="7">
        <f>'Lista de Compra'!J36</f>
        <v>7.48</v>
      </c>
      <c r="G38" s="7">
        <f t="shared" si="14"/>
        <v>224.4</v>
      </c>
      <c r="H38" s="8">
        <f t="shared" si="12"/>
        <v>1153.4159999999999</v>
      </c>
      <c r="I38" s="71">
        <f>'Rateio Custos Fixos'!E37</f>
        <v>453.30253932428991</v>
      </c>
      <c r="J38" s="8">
        <f t="shared" si="3"/>
        <v>1606.7185393242898</v>
      </c>
      <c r="K38" s="8">
        <f t="shared" si="4"/>
        <v>1809.1650752791504</v>
      </c>
      <c r="L38" s="8">
        <f t="shared" si="15"/>
        <v>202.44653595486054</v>
      </c>
      <c r="M38" s="8">
        <f t="shared" si="16"/>
        <v>66.03452524768899</v>
      </c>
      <c r="N38" s="8">
        <f t="shared" si="16"/>
        <v>37.992466580862164</v>
      </c>
      <c r="O38" s="8">
        <f t="shared" si="16"/>
        <v>174.58442976443803</v>
      </c>
      <c r="P38" s="8">
        <f t="shared" si="16"/>
        <v>108.54990451674902</v>
      </c>
      <c r="Q38" s="8">
        <f t="shared" si="13"/>
        <v>589.60786206459875</v>
      </c>
      <c r="R38" s="8">
        <f>'Rateio Custos Fixos'!F37</f>
        <v>6.0293406416250184</v>
      </c>
      <c r="S38" s="8">
        <f>'Rateio Custos Fixos'!G37</f>
        <v>18.94935630225006</v>
      </c>
      <c r="T38" s="8">
        <f>'Rateio Custos Fixos'!H37</f>
        <v>25.840031321250081</v>
      </c>
      <c r="U38" s="8">
        <f>'Rateio Custos Fixos'!I37</f>
        <v>1.7226687547500052</v>
      </c>
      <c r="V38" s="8">
        <f>'Rateio Custos Fixos'!J37</f>
        <v>3.1008037585500094</v>
      </c>
      <c r="W38" s="8">
        <f>'Rateio Custos Fixos'!K37</f>
        <v>8.4410768982750266</v>
      </c>
      <c r="X38" s="8">
        <f>'Rateio Custos Fixos'!L37</f>
        <v>18.260288800350057</v>
      </c>
      <c r="Y38" s="8">
        <f>'Rateio Custos Fixos'!M37</f>
        <v>6.3049676423850194</v>
      </c>
      <c r="Z38" s="8">
        <f>'Rateio Custos Fixos'!N37</f>
        <v>36.264203145943192</v>
      </c>
      <c r="AA38" s="8">
        <f>'Rateio Custos Fixos'!O37</f>
        <v>25.840031321250081</v>
      </c>
      <c r="AB38" s="8">
        <f>'Rateio Custos Fixos'!P37</f>
        <v>5.1680062642500157</v>
      </c>
      <c r="AC38" s="8">
        <f>'Rateio Custos Fixos'!Q37</f>
        <v>5.5182248220906915</v>
      </c>
      <c r="AD38" s="8">
        <f>'Rateio Custos Fixos'!R37</f>
        <v>3.4453375095000105</v>
      </c>
      <c r="AE38" s="8">
        <f>'Rateio Custos Fixos'!S37</f>
        <v>77.520093963750242</v>
      </c>
      <c r="AF38" s="8">
        <f>'Rateio Custos Fixos'!T37</f>
        <v>143.03835471315719</v>
      </c>
      <c r="AG38" s="8">
        <f>'Rateio Custos Fixos'!U37</f>
        <v>22.39469381175007</v>
      </c>
      <c r="AH38" s="8">
        <f t="shared" ref="AH38:AH60" si="17">SUM(R38:AG38)</f>
        <v>407.8374796711268</v>
      </c>
      <c r="AI38" s="8">
        <f t="shared" ref="AI38:AI60" si="18">J38+Q38+AH38</f>
        <v>2604.1638810600152</v>
      </c>
      <c r="AJ38" s="8">
        <f t="shared" ref="AJ38:AJ60" si="19">AI38/D38</f>
        <v>86.805462702000511</v>
      </c>
    </row>
    <row r="39" spans="2:36" x14ac:dyDescent="0.3">
      <c r="B39" t="str">
        <f>'Lista de Compra'!B37</f>
        <v>CURVA SOLD RL 45° ASTM A-234 ASME B16.9 SCH 40 - 8''</v>
      </c>
      <c r="C39" t="str">
        <f>'Lista de Compra'!C37</f>
        <v>7307.93.33</v>
      </c>
      <c r="D39" s="1">
        <f>'Lista de Compra'!I37</f>
        <v>70</v>
      </c>
      <c r="E39" s="70">
        <f>'Lista de Compra'!L37</f>
        <v>1.7433960526012753E-2</v>
      </c>
      <c r="F39" s="7">
        <f>'Lista de Compra'!J37</f>
        <v>7.57</v>
      </c>
      <c r="G39" s="7">
        <f t="shared" si="14"/>
        <v>529.9</v>
      </c>
      <c r="H39" s="8">
        <f t="shared" si="12"/>
        <v>2723.6859999999997</v>
      </c>
      <c r="I39" s="71">
        <f>'Rateio Custos Fixos'!E38</f>
        <v>458.75671426268377</v>
      </c>
      <c r="J39" s="8">
        <f t="shared" si="3"/>
        <v>3182.4427142626837</v>
      </c>
      <c r="K39" s="8">
        <f t="shared" si="4"/>
        <v>3583.4304962597816</v>
      </c>
      <c r="L39" s="8">
        <f t="shared" si="15"/>
        <v>400.98778199709812</v>
      </c>
      <c r="M39" s="8">
        <f t="shared" si="16"/>
        <v>130.79521311348202</v>
      </c>
      <c r="N39" s="8">
        <f t="shared" si="16"/>
        <v>75.252040421455419</v>
      </c>
      <c r="O39" s="8">
        <f t="shared" si="16"/>
        <v>345.80104288906892</v>
      </c>
      <c r="P39" s="8">
        <f t="shared" si="16"/>
        <v>215.0058297755869</v>
      </c>
      <c r="Q39" s="8">
        <f t="shared" si="13"/>
        <v>1167.8419081966913</v>
      </c>
      <c r="R39" s="8">
        <f>'Rateio Custos Fixos'!F38</f>
        <v>6.1018861841044636</v>
      </c>
      <c r="S39" s="8">
        <f>'Rateio Custos Fixos'!G38</f>
        <v>19.177356578614027</v>
      </c>
      <c r="T39" s="8">
        <f>'Rateio Custos Fixos'!H38</f>
        <v>26.150940789019128</v>
      </c>
      <c r="U39" s="8">
        <f>'Rateio Custos Fixos'!I38</f>
        <v>1.7433960526012753</v>
      </c>
      <c r="V39" s="8">
        <f>'Rateio Custos Fixos'!J38</f>
        <v>3.1381128946822954</v>
      </c>
      <c r="W39" s="8">
        <f>'Rateio Custos Fixos'!K38</f>
        <v>8.542640657746249</v>
      </c>
      <c r="X39" s="8">
        <f>'Rateio Custos Fixos'!L38</f>
        <v>18.479998157573519</v>
      </c>
      <c r="Y39" s="8">
        <f>'Rateio Custos Fixos'!M38</f>
        <v>6.3808295525206677</v>
      </c>
      <c r="Z39" s="8">
        <f>'Rateio Custos Fixos'!N38</f>
        <v>36.700537141014699</v>
      </c>
      <c r="AA39" s="8">
        <f>'Rateio Custos Fixos'!O38</f>
        <v>26.150940789019128</v>
      </c>
      <c r="AB39" s="8">
        <f>'Rateio Custos Fixos'!P38</f>
        <v>5.2301881578038261</v>
      </c>
      <c r="AC39" s="8">
        <f>'Rateio Custos Fixos'!Q38</f>
        <v>5.5846205752976648</v>
      </c>
      <c r="AD39" s="8">
        <f>'Rateio Custos Fixos'!R38</f>
        <v>3.4867921052025506</v>
      </c>
      <c r="AE39" s="8">
        <f>'Rateio Custos Fixos'!S38</f>
        <v>78.452822367057379</v>
      </c>
      <c r="AF39" s="8">
        <f>'Rateio Custos Fixos'!T38</f>
        <v>144.75940443564167</v>
      </c>
      <c r="AG39" s="8">
        <f>'Rateio Custos Fixos'!U38</f>
        <v>22.664148683816578</v>
      </c>
      <c r="AH39" s="8">
        <f t="shared" si="17"/>
        <v>412.74461512171513</v>
      </c>
      <c r="AI39" s="8">
        <f t="shared" si="18"/>
        <v>4763.0292375810905</v>
      </c>
      <c r="AJ39" s="8">
        <f t="shared" si="19"/>
        <v>68.043274822587009</v>
      </c>
    </row>
    <row r="40" spans="2:36" x14ac:dyDescent="0.3">
      <c r="B40" t="str">
        <f>'Lista de Compra'!B38</f>
        <v>CURVA SOLD RL 45° ASTM A-234 ASME B16.9 SCH 40 - 6''</v>
      </c>
      <c r="C40" t="str">
        <f>'Lista de Compra'!C38</f>
        <v>7307.93.34</v>
      </c>
      <c r="D40" s="1">
        <f>'Lista de Compra'!I38</f>
        <v>80</v>
      </c>
      <c r="E40" s="70">
        <f>'Lista de Compra'!L38</f>
        <v>1.0133345616176502E-2</v>
      </c>
      <c r="F40" s="7">
        <f>'Lista de Compra'!J38</f>
        <v>4.4000000000000004</v>
      </c>
      <c r="G40" s="7">
        <f t="shared" si="14"/>
        <v>352</v>
      </c>
      <c r="H40" s="8">
        <f t="shared" si="12"/>
        <v>1809.28</v>
      </c>
      <c r="I40" s="71">
        <f>'Rateio Custos Fixos'!E39</f>
        <v>266.64855254369996</v>
      </c>
      <c r="J40" s="8">
        <f t="shared" si="3"/>
        <v>2075.9285525436999</v>
      </c>
      <c r="K40" s="8">
        <f t="shared" si="4"/>
        <v>2337.4955501642062</v>
      </c>
      <c r="L40" s="8">
        <f t="shared" si="15"/>
        <v>261.56699762050619</v>
      </c>
      <c r="M40" s="8">
        <f t="shared" si="16"/>
        <v>85.318587580993523</v>
      </c>
      <c r="N40" s="8">
        <f t="shared" si="16"/>
        <v>49.087406553448332</v>
      </c>
      <c r="O40" s="8">
        <f t="shared" si="16"/>
        <v>225.5683205908459</v>
      </c>
      <c r="P40" s="8">
        <f t="shared" si="16"/>
        <v>140.24973300985238</v>
      </c>
      <c r="Q40" s="8">
        <f t="shared" si="13"/>
        <v>761.79104535564625</v>
      </c>
      <c r="R40" s="8">
        <f>'Rateio Custos Fixos'!F39</f>
        <v>3.5466709656617756</v>
      </c>
      <c r="S40" s="8">
        <f>'Rateio Custos Fixos'!G39</f>
        <v>11.146680177794153</v>
      </c>
      <c r="T40" s="8">
        <f>'Rateio Custos Fixos'!H39</f>
        <v>15.200018424264753</v>
      </c>
      <c r="U40" s="8">
        <f>'Rateio Custos Fixos'!I39</f>
        <v>1.0133345616176503</v>
      </c>
      <c r="V40" s="8">
        <f>'Rateio Custos Fixos'!J39</f>
        <v>1.8240022109117704</v>
      </c>
      <c r="W40" s="8">
        <f>'Rateio Custos Fixos'!K39</f>
        <v>4.9653393519264863</v>
      </c>
      <c r="X40" s="8">
        <f>'Rateio Custos Fixos'!L39</f>
        <v>10.741346353147092</v>
      </c>
      <c r="Y40" s="8">
        <f>'Rateio Custos Fixos'!M39</f>
        <v>3.7088044955205999</v>
      </c>
      <c r="Z40" s="8">
        <f>'Rateio Custos Fixos'!N39</f>
        <v>21.331884203495999</v>
      </c>
      <c r="AA40" s="8">
        <f>'Rateio Custos Fixos'!O39</f>
        <v>15.200018424264753</v>
      </c>
      <c r="AB40" s="8">
        <f>'Rateio Custos Fixos'!P39</f>
        <v>3.0400036848529508</v>
      </c>
      <c r="AC40" s="8">
        <f>'Rateio Custos Fixos'!Q39</f>
        <v>3.246014601229819</v>
      </c>
      <c r="AD40" s="8">
        <f>'Rateio Custos Fixos'!R39</f>
        <v>2.0266691232353007</v>
      </c>
      <c r="AE40" s="8">
        <f>'Rateio Custos Fixos'!S39</f>
        <v>45.600055272794258</v>
      </c>
      <c r="AF40" s="8">
        <f>'Rateio Custos Fixos'!T39</f>
        <v>84.140208654798343</v>
      </c>
      <c r="AG40" s="8">
        <f>'Rateio Custos Fixos'!U39</f>
        <v>13.173349301029454</v>
      </c>
      <c r="AH40" s="8">
        <f t="shared" si="17"/>
        <v>239.90439980654517</v>
      </c>
      <c r="AI40" s="8">
        <f t="shared" si="18"/>
        <v>3077.6239977058913</v>
      </c>
      <c r="AJ40" s="8">
        <f t="shared" si="19"/>
        <v>38.470299971323641</v>
      </c>
    </row>
    <row r="41" spans="2:36" x14ac:dyDescent="0.3">
      <c r="B41" t="str">
        <f>'Lista de Compra'!B39</f>
        <v>CURVA SOLD RL 45° ASTM A-234 ASME B16.9 SCH 40 - 4"</v>
      </c>
      <c r="C41" t="str">
        <f>'Lista de Compra'!C39</f>
        <v>7307.93.35</v>
      </c>
      <c r="D41" s="1">
        <f>'Lista de Compra'!I39</f>
        <v>90</v>
      </c>
      <c r="E41" s="70">
        <f>'Lista de Compra'!L39</f>
        <v>1.0133345616176502E-2</v>
      </c>
      <c r="F41" s="7">
        <f>'Lista de Compra'!J39</f>
        <v>4.4000000000000004</v>
      </c>
      <c r="G41" s="7">
        <f t="shared" si="14"/>
        <v>396.00000000000006</v>
      </c>
      <c r="H41" s="8">
        <f t="shared" si="12"/>
        <v>2035.44</v>
      </c>
      <c r="I41" s="71">
        <f>'Rateio Custos Fixos'!E40</f>
        <v>266.64855254369996</v>
      </c>
      <c r="J41" s="8">
        <f t="shared" si="3"/>
        <v>2302.0885525437002</v>
      </c>
      <c r="K41" s="8">
        <f t="shared" si="4"/>
        <v>2592.1517101642066</v>
      </c>
      <c r="L41" s="8">
        <f t="shared" si="15"/>
        <v>290.06315762050622</v>
      </c>
      <c r="M41" s="8">
        <f t="shared" si="16"/>
        <v>94.613537420993538</v>
      </c>
      <c r="N41" s="8">
        <f t="shared" si="16"/>
        <v>54.435185913448343</v>
      </c>
      <c r="O41" s="8">
        <f t="shared" si="16"/>
        <v>250.14264003084594</v>
      </c>
      <c r="P41" s="8">
        <f t="shared" si="16"/>
        <v>155.5291026098524</v>
      </c>
      <c r="Q41" s="8">
        <f t="shared" si="13"/>
        <v>844.78362359564642</v>
      </c>
      <c r="R41" s="8">
        <f>'Rateio Custos Fixos'!F40</f>
        <v>3.5466709656617756</v>
      </c>
      <c r="S41" s="8">
        <f>'Rateio Custos Fixos'!G40</f>
        <v>11.146680177794153</v>
      </c>
      <c r="T41" s="8">
        <f>'Rateio Custos Fixos'!H40</f>
        <v>15.200018424264753</v>
      </c>
      <c r="U41" s="8">
        <f>'Rateio Custos Fixos'!I40</f>
        <v>1.0133345616176503</v>
      </c>
      <c r="V41" s="8">
        <f>'Rateio Custos Fixos'!J40</f>
        <v>1.8240022109117704</v>
      </c>
      <c r="W41" s="8">
        <f>'Rateio Custos Fixos'!K40</f>
        <v>4.9653393519264863</v>
      </c>
      <c r="X41" s="8">
        <f>'Rateio Custos Fixos'!L40</f>
        <v>10.741346353147092</v>
      </c>
      <c r="Y41" s="8">
        <f>'Rateio Custos Fixos'!M40</f>
        <v>3.7088044955205999</v>
      </c>
      <c r="Z41" s="8">
        <f>'Rateio Custos Fixos'!N40</f>
        <v>21.331884203495999</v>
      </c>
      <c r="AA41" s="8">
        <f>'Rateio Custos Fixos'!O40</f>
        <v>15.200018424264753</v>
      </c>
      <c r="AB41" s="8">
        <f>'Rateio Custos Fixos'!P40</f>
        <v>3.0400036848529508</v>
      </c>
      <c r="AC41" s="8">
        <f>'Rateio Custos Fixos'!Q40</f>
        <v>3.246014601229819</v>
      </c>
      <c r="AD41" s="8">
        <f>'Rateio Custos Fixos'!R40</f>
        <v>2.0266691232353007</v>
      </c>
      <c r="AE41" s="8">
        <f>'Rateio Custos Fixos'!S40</f>
        <v>45.600055272794258</v>
      </c>
      <c r="AF41" s="8">
        <f>'Rateio Custos Fixos'!T40</f>
        <v>84.140208654798343</v>
      </c>
      <c r="AG41" s="8">
        <f>'Rateio Custos Fixos'!U40</f>
        <v>13.173349301029454</v>
      </c>
      <c r="AH41" s="8">
        <f t="shared" si="17"/>
        <v>239.90439980654517</v>
      </c>
      <c r="AI41" s="8">
        <f t="shared" si="18"/>
        <v>3386.7765759458921</v>
      </c>
      <c r="AJ41" s="8">
        <f t="shared" si="19"/>
        <v>37.630850843843248</v>
      </c>
    </row>
    <row r="42" spans="2:36" x14ac:dyDescent="0.3">
      <c r="B42" t="str">
        <f>'Lista de Compra'!B40</f>
        <v>CURVA SOLD RL 45° ASTM A-234 ASME B16.9 SCH 40 - 2"</v>
      </c>
      <c r="C42" t="str">
        <f>'Lista de Compra'!C40</f>
        <v>7307.93.36</v>
      </c>
      <c r="D42" s="1">
        <f>'Lista de Compra'!I40</f>
        <v>110</v>
      </c>
      <c r="E42" s="70">
        <f>'Lista de Compra'!L40</f>
        <v>9.6727389972593866E-4</v>
      </c>
      <c r="F42" s="7">
        <f>'Lista de Compra'!J40</f>
        <v>0.42</v>
      </c>
      <c r="G42" s="7">
        <f t="shared" si="14"/>
        <v>46.199999999999996</v>
      </c>
      <c r="H42" s="8">
        <f t="shared" si="12"/>
        <v>237.46799999999996</v>
      </c>
      <c r="I42" s="71">
        <f>'Rateio Custos Fixos'!E41</f>
        <v>25.452816379171356</v>
      </c>
      <c r="J42" s="8">
        <f t="shared" si="3"/>
        <v>262.9208163791713</v>
      </c>
      <c r="K42" s="8">
        <f t="shared" si="4"/>
        <v>296.04883924294688</v>
      </c>
      <c r="L42" s="8">
        <f t="shared" si="15"/>
        <v>33.128022863775584</v>
      </c>
      <c r="M42" s="8">
        <f t="shared" si="16"/>
        <v>10.80578263236756</v>
      </c>
      <c r="N42" s="8">
        <f t="shared" si="16"/>
        <v>6.2170256241018853</v>
      </c>
      <c r="O42" s="8">
        <f t="shared" si="16"/>
        <v>28.568712986944377</v>
      </c>
      <c r="P42" s="8">
        <f t="shared" si="16"/>
        <v>17.762930354576813</v>
      </c>
      <c r="Q42" s="8">
        <f t="shared" si="13"/>
        <v>96.482474461766216</v>
      </c>
      <c r="R42" s="8">
        <f>'Rateio Custos Fixos'!F41</f>
        <v>0.33854586490407851</v>
      </c>
      <c r="S42" s="8">
        <f>'Rateio Custos Fixos'!G41</f>
        <v>1.0640012896985325</v>
      </c>
      <c r="T42" s="8">
        <f>'Rateio Custos Fixos'!H41</f>
        <v>1.450910849588908</v>
      </c>
      <c r="U42" s="8">
        <f>'Rateio Custos Fixos'!I41</f>
        <v>9.6727389972593864E-2</v>
      </c>
      <c r="V42" s="8">
        <f>'Rateio Custos Fixos'!J41</f>
        <v>0.17410930195066895</v>
      </c>
      <c r="W42" s="8">
        <f>'Rateio Custos Fixos'!K41</f>
        <v>0.47396421086570995</v>
      </c>
      <c r="X42" s="8">
        <f>'Rateio Custos Fixos'!L41</f>
        <v>1.0253103337094949</v>
      </c>
      <c r="Y42" s="8">
        <f>'Rateio Custos Fixos'!M41</f>
        <v>0.35402224729969356</v>
      </c>
      <c r="Z42" s="8">
        <f>'Rateio Custos Fixos'!N41</f>
        <v>2.0362253103337085</v>
      </c>
      <c r="AA42" s="8">
        <f>'Rateio Custos Fixos'!O41</f>
        <v>1.450910849588908</v>
      </c>
      <c r="AB42" s="8">
        <f>'Rateio Custos Fixos'!P41</f>
        <v>0.29018216991778162</v>
      </c>
      <c r="AC42" s="8">
        <f>'Rateio Custos Fixos'!Q41</f>
        <v>0.30984684829920989</v>
      </c>
      <c r="AD42" s="8">
        <f>'Rateio Custos Fixos'!R41</f>
        <v>0.19345477994518773</v>
      </c>
      <c r="AE42" s="8">
        <f>'Rateio Custos Fixos'!S41</f>
        <v>4.3527325487667241</v>
      </c>
      <c r="AF42" s="8">
        <f>'Rateio Custos Fixos'!T41</f>
        <v>8.031565371594386</v>
      </c>
      <c r="AG42" s="8">
        <f>'Rateio Custos Fixos'!U41</f>
        <v>1.2574560696437203</v>
      </c>
      <c r="AH42" s="8">
        <f t="shared" si="17"/>
        <v>22.899965436079306</v>
      </c>
      <c r="AI42" s="8">
        <f t="shared" si="18"/>
        <v>382.30325627701683</v>
      </c>
      <c r="AJ42" s="8">
        <f t="shared" si="19"/>
        <v>3.4754841479728804</v>
      </c>
    </row>
    <row r="43" spans="2:36" x14ac:dyDescent="0.3">
      <c r="B43" t="str">
        <f>'Lista de Compra'!B41</f>
        <v>REDUÇÃO CONCENTRICA ASTM A-234 ASME B16.9 SCH 40 8" X 6"</v>
      </c>
      <c r="C43" t="str">
        <f>'Lista de Compra'!C41</f>
        <v>7307.93.37</v>
      </c>
      <c r="D43" s="1">
        <f>'Lista de Compra'!I41</f>
        <v>60</v>
      </c>
      <c r="E43" s="70">
        <f>'Lista de Compra'!L41</f>
        <v>1.1538195803873698E-2</v>
      </c>
      <c r="F43" s="7">
        <f>'Lista de Compra'!J41</f>
        <v>5.01</v>
      </c>
      <c r="G43" s="7">
        <f t="shared" si="14"/>
        <v>300.59999999999997</v>
      </c>
      <c r="H43" s="8">
        <f t="shared" si="12"/>
        <v>1545.0839999999998</v>
      </c>
      <c r="I43" s="71">
        <f>'Rateio Custos Fixos'!E42</f>
        <v>303.61573823725831</v>
      </c>
      <c r="J43" s="8">
        <f t="shared" si="3"/>
        <v>1848.6997382372581</v>
      </c>
      <c r="K43" s="8">
        <f t="shared" si="4"/>
        <v>2081.6359052551525</v>
      </c>
      <c r="L43" s="8">
        <f t="shared" si="15"/>
        <v>232.93616701789452</v>
      </c>
      <c r="M43" s="8">
        <f t="shared" si="16"/>
        <v>75.979710541813063</v>
      </c>
      <c r="N43" s="8">
        <f t="shared" si="16"/>
        <v>43.714354010358207</v>
      </c>
      <c r="O43" s="8">
        <f t="shared" si="16"/>
        <v>200.8778648571222</v>
      </c>
      <c r="P43" s="8">
        <f t="shared" si="16"/>
        <v>124.89815431530914</v>
      </c>
      <c r="Q43" s="8">
        <f t="shared" si="13"/>
        <v>678.40625074249715</v>
      </c>
      <c r="R43" s="8">
        <f>'Rateio Custos Fixos'!F42</f>
        <v>4.0383685313557942</v>
      </c>
      <c r="S43" s="8">
        <f>'Rateio Custos Fixos'!G42</f>
        <v>12.692015384261067</v>
      </c>
      <c r="T43" s="8">
        <f>'Rateio Custos Fixos'!H42</f>
        <v>17.307293705810547</v>
      </c>
      <c r="U43" s="8">
        <f>'Rateio Custos Fixos'!I42</f>
        <v>1.1538195803873699</v>
      </c>
      <c r="V43" s="8">
        <f>'Rateio Custos Fixos'!J42</f>
        <v>2.0768752446972658</v>
      </c>
      <c r="W43" s="8">
        <f>'Rateio Custos Fixos'!K42</f>
        <v>5.6537159438981117</v>
      </c>
      <c r="X43" s="8">
        <f>'Rateio Custos Fixos'!L42</f>
        <v>12.230487552106119</v>
      </c>
      <c r="Y43" s="8">
        <f>'Rateio Custos Fixos'!M42</f>
        <v>4.2229796642177737</v>
      </c>
      <c r="Z43" s="8">
        <f>'Rateio Custos Fixos'!N42</f>
        <v>24.289259058980665</v>
      </c>
      <c r="AA43" s="8">
        <f>'Rateio Custos Fixos'!O42</f>
        <v>17.307293705810547</v>
      </c>
      <c r="AB43" s="8">
        <f>'Rateio Custos Fixos'!P42</f>
        <v>3.4614587411621094</v>
      </c>
      <c r="AC43" s="8">
        <f>'Rateio Custos Fixos'!Q42</f>
        <v>3.6960302618548613</v>
      </c>
      <c r="AD43" s="8">
        <f>'Rateio Custos Fixos'!R42</f>
        <v>2.3076391607747397</v>
      </c>
      <c r="AE43" s="8">
        <f>'Rateio Custos Fixos'!S42</f>
        <v>51.921881117431639</v>
      </c>
      <c r="AF43" s="8">
        <f>'Rateio Custos Fixos'!T42</f>
        <v>95.805101218304472</v>
      </c>
      <c r="AG43" s="8">
        <f>'Rateio Custos Fixos'!U42</f>
        <v>14.999654545035808</v>
      </c>
      <c r="AH43" s="8">
        <f t="shared" si="17"/>
        <v>273.1638734160889</v>
      </c>
      <c r="AI43" s="8">
        <f t="shared" si="18"/>
        <v>2800.269862395844</v>
      </c>
      <c r="AJ43" s="8">
        <f t="shared" si="19"/>
        <v>46.67116437326407</v>
      </c>
    </row>
    <row r="44" spans="2:36" x14ac:dyDescent="0.3">
      <c r="B44" t="str">
        <f>'Lista de Compra'!B42</f>
        <v>REDUÇÃO CONCENTRICA ASTM A-234 ASME B16.9 SCH 80 8" X 6"</v>
      </c>
      <c r="C44" t="str">
        <f>'Lista de Compra'!C42</f>
        <v>7307.93.38</v>
      </c>
      <c r="D44" s="1">
        <f>'Lista de Compra'!I42</f>
        <v>20</v>
      </c>
      <c r="E44" s="70">
        <f>'Lista de Compra'!L42</f>
        <v>1.9299417332627064E-2</v>
      </c>
      <c r="F44" s="7">
        <f>'Lista de Compra'!J42</f>
        <v>8.3800000000000008</v>
      </c>
      <c r="G44" s="7">
        <f t="shared" si="14"/>
        <v>167.60000000000002</v>
      </c>
      <c r="H44" s="8">
        <f t="shared" si="12"/>
        <v>861.46400000000006</v>
      </c>
      <c r="I44" s="71">
        <f>'Rateio Custos Fixos'!E43</f>
        <v>507.84428870822853</v>
      </c>
      <c r="J44" s="8">
        <f t="shared" si="3"/>
        <v>1369.3082887082287</v>
      </c>
      <c r="K44" s="8">
        <f t="shared" si="4"/>
        <v>1541.8411330854656</v>
      </c>
      <c r="L44" s="8">
        <f t="shared" si="15"/>
        <v>172.53284437723681</v>
      </c>
      <c r="M44" s="8">
        <f t="shared" si="16"/>
        <v>56.277201357619489</v>
      </c>
      <c r="N44" s="8">
        <f t="shared" si="16"/>
        <v>32.378663794794782</v>
      </c>
      <c r="O44" s="8">
        <f t="shared" si="16"/>
        <v>148.78766934274742</v>
      </c>
      <c r="P44" s="8">
        <f t="shared" si="16"/>
        <v>92.510467985127931</v>
      </c>
      <c r="Q44" s="8">
        <f t="shared" si="13"/>
        <v>502.48684685752647</v>
      </c>
      <c r="R44" s="8">
        <f>'Rateio Custos Fixos'!F43</f>
        <v>6.7547960664194724</v>
      </c>
      <c r="S44" s="8">
        <f>'Rateio Custos Fixos'!G43</f>
        <v>21.229359065889771</v>
      </c>
      <c r="T44" s="8">
        <f>'Rateio Custos Fixos'!H43</f>
        <v>28.949125998940595</v>
      </c>
      <c r="U44" s="8">
        <f>'Rateio Custos Fixos'!I43</f>
        <v>1.9299417332627065</v>
      </c>
      <c r="V44" s="8">
        <f>'Rateio Custos Fixos'!J43</f>
        <v>3.4738951198728714</v>
      </c>
      <c r="W44" s="8">
        <f>'Rateio Custos Fixos'!K43</f>
        <v>9.4567144929872615</v>
      </c>
      <c r="X44" s="8">
        <f>'Rateio Custos Fixos'!L43</f>
        <v>20.457382372584689</v>
      </c>
      <c r="Y44" s="8">
        <f>'Rateio Custos Fixos'!M43</f>
        <v>7.0635867437415056</v>
      </c>
      <c r="Z44" s="8">
        <f>'Rateio Custos Fixos'!N43</f>
        <v>40.627543096658286</v>
      </c>
      <c r="AA44" s="8">
        <f>'Rateio Custos Fixos'!O43</f>
        <v>28.949125998940595</v>
      </c>
      <c r="AB44" s="8">
        <f>'Rateio Custos Fixos'!P43</f>
        <v>5.7898251997881189</v>
      </c>
      <c r="AC44" s="8">
        <f>'Rateio Custos Fixos'!Q43</f>
        <v>6.1821823541604273</v>
      </c>
      <c r="AD44" s="8">
        <f>'Rateio Custos Fixos'!R43</f>
        <v>3.8598834665254129</v>
      </c>
      <c r="AE44" s="8">
        <f>'Rateio Custos Fixos'!S43</f>
        <v>86.847377996821791</v>
      </c>
      <c r="AF44" s="8">
        <f>'Rateio Custos Fixos'!T43</f>
        <v>160.24885193800228</v>
      </c>
      <c r="AG44" s="8">
        <f>'Rateio Custos Fixos'!U43</f>
        <v>25.089242532415184</v>
      </c>
      <c r="AH44" s="8">
        <f t="shared" si="17"/>
        <v>456.90883417701099</v>
      </c>
      <c r="AI44" s="8">
        <f t="shared" si="18"/>
        <v>2328.7039697427663</v>
      </c>
      <c r="AJ44" s="8">
        <f t="shared" si="19"/>
        <v>116.43519848713831</v>
      </c>
    </row>
    <row r="45" spans="2:36" x14ac:dyDescent="0.3">
      <c r="B45" t="str">
        <f>'Lista de Compra'!B43</f>
        <v>REDUÇÃO CONCENTRICA ASTM A-234 ASME B16.9 SCH 40 2" X 1.1/2"</v>
      </c>
      <c r="C45" t="str">
        <f>'Lista de Compra'!C43</f>
        <v>7307.93.39</v>
      </c>
      <c r="D45" s="1">
        <f>'Lista de Compra'!I43</f>
        <v>120</v>
      </c>
      <c r="E45" s="70">
        <f>'Lista de Compra'!L43</f>
        <v>1.0824255544552171E-3</v>
      </c>
      <c r="F45" s="7">
        <f>'Lista de Compra'!J43</f>
        <v>0.47</v>
      </c>
      <c r="G45" s="7">
        <f t="shared" si="14"/>
        <v>56.4</v>
      </c>
      <c r="H45" s="8">
        <f t="shared" si="12"/>
        <v>289.89599999999996</v>
      </c>
      <c r="I45" s="71">
        <f>'Rateio Custos Fixos'!E44</f>
        <v>28.482913567167948</v>
      </c>
      <c r="J45" s="8">
        <f t="shared" si="3"/>
        <v>318.3789135671679</v>
      </c>
      <c r="K45" s="8">
        <f t="shared" si="4"/>
        <v>358.49465667663105</v>
      </c>
      <c r="L45" s="8">
        <f t="shared" si="15"/>
        <v>40.115743109463153</v>
      </c>
      <c r="M45" s="8">
        <f t="shared" si="16"/>
        <v>13.085054968697033</v>
      </c>
      <c r="N45" s="8">
        <f t="shared" si="16"/>
        <v>7.5283877902092522</v>
      </c>
      <c r="O45" s="8">
        <f t="shared" si="16"/>
        <v>34.594734369294898</v>
      </c>
      <c r="P45" s="8">
        <f t="shared" si="16"/>
        <v>21.509679400597861</v>
      </c>
      <c r="Q45" s="8">
        <f t="shared" si="13"/>
        <v>116.8335996382622</v>
      </c>
      <c r="R45" s="8">
        <f>'Rateio Custos Fixos'!F44</f>
        <v>0.37884894405932601</v>
      </c>
      <c r="S45" s="8">
        <f>'Rateio Custos Fixos'!G44</f>
        <v>1.1906681099007388</v>
      </c>
      <c r="T45" s="8">
        <f>'Rateio Custos Fixos'!H44</f>
        <v>1.6236383316828258</v>
      </c>
      <c r="U45" s="8">
        <f>'Rateio Custos Fixos'!I44</f>
        <v>0.10824255544552171</v>
      </c>
      <c r="V45" s="8">
        <f>'Rateio Custos Fixos'!J44</f>
        <v>0.19483659980193907</v>
      </c>
      <c r="W45" s="8">
        <f>'Rateio Custos Fixos'!K44</f>
        <v>0.53038852168305639</v>
      </c>
      <c r="X45" s="8">
        <f>'Rateio Custos Fixos'!L44</f>
        <v>1.14737108772253</v>
      </c>
      <c r="Y45" s="8">
        <f>'Rateio Custos Fixos'!M44</f>
        <v>0.39616775293060946</v>
      </c>
      <c r="Z45" s="8">
        <f>'Rateio Custos Fixos'!N44</f>
        <v>2.278633085373436</v>
      </c>
      <c r="AA45" s="8">
        <f>'Rateio Custos Fixos'!O44</f>
        <v>1.6236383316828258</v>
      </c>
      <c r="AB45" s="8">
        <f>'Rateio Custos Fixos'!P44</f>
        <v>0.32472766633656514</v>
      </c>
      <c r="AC45" s="8">
        <f>'Rateio Custos Fixos'!Q44</f>
        <v>0.34673337785863967</v>
      </c>
      <c r="AD45" s="8">
        <f>'Rateio Custos Fixos'!R44</f>
        <v>0.21648511089104341</v>
      </c>
      <c r="AE45" s="8">
        <f>'Rateio Custos Fixos'!S44</f>
        <v>4.8709149950484774</v>
      </c>
      <c r="AF45" s="8">
        <f>'Rateio Custos Fixos'!T44</f>
        <v>8.9877041063080032</v>
      </c>
      <c r="AG45" s="8">
        <f>'Rateio Custos Fixos'!U44</f>
        <v>1.4071532207917823</v>
      </c>
      <c r="AH45" s="8">
        <f t="shared" si="17"/>
        <v>25.626151797517323</v>
      </c>
      <c r="AI45" s="8">
        <f t="shared" si="18"/>
        <v>460.83866500294744</v>
      </c>
      <c r="AJ45" s="8">
        <f t="shared" si="19"/>
        <v>3.8403222083578954</v>
      </c>
    </row>
    <row r="46" spans="2:36" x14ac:dyDescent="0.3">
      <c r="B46" t="str">
        <f>'Lista de Compra'!B44</f>
        <v>TEE 6" SCH-40 ASTM A-234 ASME B16.9</v>
      </c>
      <c r="C46" t="str">
        <f>'Lista de Compra'!C44</f>
        <v>7307.93.40</v>
      </c>
      <c r="D46" s="1">
        <f>'Lista de Compra'!I44</f>
        <v>30</v>
      </c>
      <c r="E46" s="70">
        <f>'Lista de Compra'!L44</f>
        <v>2.0243660901407143E-2</v>
      </c>
      <c r="F46" s="7">
        <f>'Lista de Compra'!J44</f>
        <v>8.7899999999999991</v>
      </c>
      <c r="G46" s="7">
        <f t="shared" si="14"/>
        <v>263.7</v>
      </c>
      <c r="H46" s="8">
        <f t="shared" si="12"/>
        <v>1355.4179999999999</v>
      </c>
      <c r="I46" s="71">
        <f>'Rateio Custos Fixos'!E45</f>
        <v>532.69108564980047</v>
      </c>
      <c r="J46" s="8">
        <f t="shared" si="3"/>
        <v>1888.1090856498004</v>
      </c>
      <c r="K46" s="8">
        <f t="shared" si="4"/>
        <v>2126.0108304416754</v>
      </c>
      <c r="L46" s="8">
        <f t="shared" si="15"/>
        <v>237.90174479187485</v>
      </c>
      <c r="M46" s="8">
        <f t="shared" ref="M46:P60" si="20">M$5*$K46</f>
        <v>77.599395311121143</v>
      </c>
      <c r="N46" s="8">
        <f t="shared" si="20"/>
        <v>44.646227439275187</v>
      </c>
      <c r="O46" s="8">
        <f t="shared" si="20"/>
        <v>205.16004513762167</v>
      </c>
      <c r="P46" s="8">
        <f t="shared" si="20"/>
        <v>127.56064982650052</v>
      </c>
      <c r="Q46" s="8">
        <f t="shared" si="13"/>
        <v>692.86806250639336</v>
      </c>
      <c r="R46" s="8">
        <f>'Rateio Custos Fixos'!F45</f>
        <v>7.0852813154924998</v>
      </c>
      <c r="S46" s="8">
        <f>'Rateio Custos Fixos'!G45</f>
        <v>22.268026991547856</v>
      </c>
      <c r="T46" s="8">
        <f>'Rateio Custos Fixos'!H45</f>
        <v>30.365491352110716</v>
      </c>
      <c r="U46" s="8">
        <f>'Rateio Custos Fixos'!I45</f>
        <v>2.0243660901407146</v>
      </c>
      <c r="V46" s="8">
        <f>'Rateio Custos Fixos'!J45</f>
        <v>3.6438589622532858</v>
      </c>
      <c r="W46" s="8">
        <f>'Rateio Custos Fixos'!K45</f>
        <v>9.9193938416894998</v>
      </c>
      <c r="X46" s="8">
        <f>'Rateio Custos Fixos'!L45</f>
        <v>21.458280555491573</v>
      </c>
      <c r="Y46" s="8">
        <f>'Rateio Custos Fixos'!M45</f>
        <v>7.4091798899150145</v>
      </c>
      <c r="Z46" s="8">
        <f>'Rateio Custos Fixos'!N45</f>
        <v>42.615286851984038</v>
      </c>
      <c r="AA46" s="8">
        <f>'Rateio Custos Fixos'!O45</f>
        <v>30.365491352110716</v>
      </c>
      <c r="AB46" s="8">
        <f>'Rateio Custos Fixos'!P45</f>
        <v>6.0730982704221432</v>
      </c>
      <c r="AC46" s="8">
        <f>'Rateio Custos Fixos'!Q45</f>
        <v>6.4846518965477502</v>
      </c>
      <c r="AD46" s="8">
        <f>'Rateio Custos Fixos'!R45</f>
        <v>4.0487321802814291</v>
      </c>
      <c r="AE46" s="8">
        <f>'Rateio Custos Fixos'!S45</f>
        <v>91.096474056332141</v>
      </c>
      <c r="AF46" s="8">
        <f>'Rateio Custos Fixos'!T45</f>
        <v>168.08918956265393</v>
      </c>
      <c r="AG46" s="8">
        <f>'Rateio Custos Fixos'!U45</f>
        <v>26.316759171829286</v>
      </c>
      <c r="AH46" s="8">
        <f t="shared" si="17"/>
        <v>479.26356234080259</v>
      </c>
      <c r="AI46" s="8">
        <f t="shared" si="18"/>
        <v>3060.2407104969966</v>
      </c>
      <c r="AJ46" s="8">
        <f t="shared" si="19"/>
        <v>102.00802368323322</v>
      </c>
    </row>
    <row r="47" spans="2:36" x14ac:dyDescent="0.3">
      <c r="B47" t="str">
        <f>'Lista de Compra'!B45</f>
        <v>TEE 3" SCH-40 ASTM A-234 ASME B16.9</v>
      </c>
      <c r="C47" t="str">
        <f>'Lista de Compra'!C45</f>
        <v>7307.93.41</v>
      </c>
      <c r="D47" s="1">
        <f>'Lista de Compra'!I45</f>
        <v>30</v>
      </c>
      <c r="E47" s="70">
        <f>'Lista de Compra'!L45</f>
        <v>5.987886045922478E-3</v>
      </c>
      <c r="F47" s="7">
        <f>'Lista de Compra'!J45</f>
        <v>2.6</v>
      </c>
      <c r="G47" s="7">
        <f t="shared" si="14"/>
        <v>78</v>
      </c>
      <c r="H47" s="8">
        <f t="shared" si="12"/>
        <v>400.91999999999996</v>
      </c>
      <c r="I47" s="71">
        <f>'Rateio Custos Fixos'!E46</f>
        <v>157.56505377582269</v>
      </c>
      <c r="J47" s="8">
        <f t="shared" si="3"/>
        <v>558.48505377582262</v>
      </c>
      <c r="K47" s="8">
        <f t="shared" si="4"/>
        <v>628.85417055157632</v>
      </c>
      <c r="L47" s="8">
        <f t="shared" si="15"/>
        <v>70.369116775753653</v>
      </c>
      <c r="M47" s="8">
        <f t="shared" si="20"/>
        <v>22.953177225132535</v>
      </c>
      <c r="N47" s="8">
        <f t="shared" si="20"/>
        <v>13.205937581583104</v>
      </c>
      <c r="O47" s="8">
        <f t="shared" si="20"/>
        <v>60.684427458227113</v>
      </c>
      <c r="P47" s="8">
        <f t="shared" si="20"/>
        <v>37.731250233094578</v>
      </c>
      <c r="Q47" s="8">
        <f t="shared" si="13"/>
        <v>204.94390927379098</v>
      </c>
      <c r="R47" s="8">
        <f>'Rateio Custos Fixos'!F46</f>
        <v>2.0957601160728672</v>
      </c>
      <c r="S47" s="8">
        <f>'Rateio Custos Fixos'!G46</f>
        <v>6.586674650514726</v>
      </c>
      <c r="T47" s="8">
        <f>'Rateio Custos Fixos'!H46</f>
        <v>8.9818290688837177</v>
      </c>
      <c r="U47" s="8">
        <f>'Rateio Custos Fixos'!I46</f>
        <v>0.59878860459224781</v>
      </c>
      <c r="V47" s="8">
        <f>'Rateio Custos Fixos'!J46</f>
        <v>1.0778194882660461</v>
      </c>
      <c r="W47" s="8">
        <f>'Rateio Custos Fixos'!K46</f>
        <v>2.9340641625020143</v>
      </c>
      <c r="X47" s="8">
        <f>'Rateio Custos Fixos'!L46</f>
        <v>6.3471592086778266</v>
      </c>
      <c r="Y47" s="8">
        <f>'Rateio Custos Fixos'!M46</f>
        <v>2.1915662928076269</v>
      </c>
      <c r="Z47" s="8">
        <f>'Rateio Custos Fixos'!N46</f>
        <v>12.605204302065815</v>
      </c>
      <c r="AA47" s="8">
        <f>'Rateio Custos Fixos'!O46</f>
        <v>8.9818290688837177</v>
      </c>
      <c r="AB47" s="8">
        <f>'Rateio Custos Fixos'!P46</f>
        <v>1.7963658137767433</v>
      </c>
      <c r="AC47" s="8">
        <f>'Rateio Custos Fixos'!Q46</f>
        <v>1.9180995370903473</v>
      </c>
      <c r="AD47" s="8">
        <f>'Rateio Custos Fixos'!R46</f>
        <v>1.1975772091844956</v>
      </c>
      <c r="AE47" s="8">
        <f>'Rateio Custos Fixos'!S46</f>
        <v>26.945487206651151</v>
      </c>
      <c r="AF47" s="8">
        <f>'Rateio Custos Fixos'!T46</f>
        <v>49.719214205108109</v>
      </c>
      <c r="AG47" s="8">
        <f>'Rateio Custos Fixos'!U46</f>
        <v>7.7842518596992214</v>
      </c>
      <c r="AH47" s="8">
        <f t="shared" si="17"/>
        <v>141.76169079477668</v>
      </c>
      <c r="AI47" s="8">
        <f t="shared" si="18"/>
        <v>905.19065384439023</v>
      </c>
      <c r="AJ47" s="8">
        <f t="shared" si="19"/>
        <v>30.173021794813007</v>
      </c>
    </row>
    <row r="48" spans="2:36" x14ac:dyDescent="0.3">
      <c r="B48" t="str">
        <f>'Lista de Compra'!B46</f>
        <v>TEE 2" SCH-40 ASTM A-234 ASME B16.9</v>
      </c>
      <c r="C48" t="str">
        <f>'Lista de Compra'!C46</f>
        <v>7307.93.42</v>
      </c>
      <c r="D48" s="1">
        <f>'Lista de Compra'!I46</f>
        <v>50</v>
      </c>
      <c r="E48" s="70">
        <f>'Lista de Compra'!L46</f>
        <v>2.5793970659358369E-3</v>
      </c>
      <c r="F48" s="7">
        <f>'Lista de Compra'!J46</f>
        <v>1.1200000000000001</v>
      </c>
      <c r="G48" s="7">
        <f t="shared" si="14"/>
        <v>56.000000000000007</v>
      </c>
      <c r="H48" s="8">
        <f t="shared" si="12"/>
        <v>287.84000000000003</v>
      </c>
      <c r="I48" s="71">
        <f>'Rateio Custos Fixos'!E47</f>
        <v>67.874177011123621</v>
      </c>
      <c r="J48" s="8">
        <f t="shared" si="3"/>
        <v>355.71417701112364</v>
      </c>
      <c r="K48" s="8">
        <f t="shared" si="4"/>
        <v>400.53416331452524</v>
      </c>
      <c r="L48" s="8">
        <f t="shared" si="15"/>
        <v>44.819986303401578</v>
      </c>
      <c r="M48" s="8">
        <f t="shared" si="20"/>
        <v>14.61949696098017</v>
      </c>
      <c r="N48" s="8">
        <f t="shared" si="20"/>
        <v>8.4112174296050313</v>
      </c>
      <c r="O48" s="8">
        <f t="shared" si="20"/>
        <v>38.651546759851684</v>
      </c>
      <c r="P48" s="8">
        <f t="shared" si="20"/>
        <v>24.032049798871515</v>
      </c>
      <c r="Q48" s="8">
        <f t="shared" si="13"/>
        <v>130.53429725270999</v>
      </c>
      <c r="R48" s="8">
        <f>'Rateio Custos Fixos'!F47</f>
        <v>0.90278897307754291</v>
      </c>
      <c r="S48" s="8">
        <f>'Rateio Custos Fixos'!G47</f>
        <v>2.8373367725294205</v>
      </c>
      <c r="T48" s="8">
        <f>'Rateio Custos Fixos'!H47</f>
        <v>3.8690955989037552</v>
      </c>
      <c r="U48" s="8">
        <f>'Rateio Custos Fixos'!I47</f>
        <v>0.25793970659358367</v>
      </c>
      <c r="V48" s="8">
        <f>'Rateio Custos Fixos'!J47</f>
        <v>0.46429147186845066</v>
      </c>
      <c r="W48" s="8">
        <f>'Rateio Custos Fixos'!K47</f>
        <v>1.2639045623085601</v>
      </c>
      <c r="X48" s="8">
        <f>'Rateio Custos Fixos'!L47</f>
        <v>2.7341608898919869</v>
      </c>
      <c r="Y48" s="8">
        <f>'Rateio Custos Fixos'!M47</f>
        <v>0.94405932613251631</v>
      </c>
      <c r="Z48" s="8">
        <f>'Rateio Custos Fixos'!N47</f>
        <v>5.4299341608898901</v>
      </c>
      <c r="AA48" s="8">
        <f>'Rateio Custos Fixos'!O47</f>
        <v>3.8690955989037552</v>
      </c>
      <c r="AB48" s="8">
        <f>'Rateio Custos Fixos'!P47</f>
        <v>0.77381911978075102</v>
      </c>
      <c r="AC48" s="8">
        <f>'Rateio Custos Fixos'!Q47</f>
        <v>0.82625826213122655</v>
      </c>
      <c r="AD48" s="8">
        <f>'Rateio Custos Fixos'!R47</f>
        <v>0.51587941318716735</v>
      </c>
      <c r="AE48" s="8">
        <f>'Rateio Custos Fixos'!S47</f>
        <v>11.607286796711266</v>
      </c>
      <c r="AF48" s="8">
        <f>'Rateio Custos Fixos'!T47</f>
        <v>21.417507657585031</v>
      </c>
      <c r="AG48" s="8">
        <f>'Rateio Custos Fixos'!U47</f>
        <v>3.3532161857165881</v>
      </c>
      <c r="AH48" s="8">
        <f t="shared" si="17"/>
        <v>61.066574496211487</v>
      </c>
      <c r="AI48" s="8">
        <f t="shared" si="18"/>
        <v>547.3150487600451</v>
      </c>
      <c r="AJ48" s="8">
        <f t="shared" si="19"/>
        <v>10.946300975200902</v>
      </c>
    </row>
    <row r="49" spans="2:36" x14ac:dyDescent="0.3">
      <c r="B49" t="str">
        <f>'Lista de Compra'!B47</f>
        <v>TEE 1.1/2" SCH-40 ASTM A-234 ASME B16.9</v>
      </c>
      <c r="C49" t="str">
        <f>'Lista de Compra'!C47</f>
        <v>7307.93.43</v>
      </c>
      <c r="D49" s="1">
        <f>'Lista de Compra'!I47</f>
        <v>60</v>
      </c>
      <c r="E49" s="70">
        <f>'Lista de Compra'!L47</f>
        <v>2.118790447018723E-3</v>
      </c>
      <c r="F49" s="7">
        <f>'Lista de Compra'!J47</f>
        <v>0.92</v>
      </c>
      <c r="G49" s="7">
        <f t="shared" si="14"/>
        <v>55.2</v>
      </c>
      <c r="H49" s="8">
        <f t="shared" si="12"/>
        <v>283.72800000000001</v>
      </c>
      <c r="I49" s="71">
        <f>'Rateio Custos Fixos'!E48</f>
        <v>55.753788259137259</v>
      </c>
      <c r="J49" s="8">
        <f t="shared" si="3"/>
        <v>339.48178825913726</v>
      </c>
      <c r="K49" s="8">
        <f t="shared" si="4"/>
        <v>382.25649357978853</v>
      </c>
      <c r="L49" s="8">
        <f t="shared" si="15"/>
        <v>42.774705320651293</v>
      </c>
      <c r="M49" s="8">
        <f t="shared" si="20"/>
        <v>13.952362015662281</v>
      </c>
      <c r="N49" s="8">
        <f t="shared" si="20"/>
        <v>8.027386365175559</v>
      </c>
      <c r="O49" s="8">
        <f t="shared" si="20"/>
        <v>36.887751630449593</v>
      </c>
      <c r="P49" s="8">
        <f t="shared" si="20"/>
        <v>22.935389614787312</v>
      </c>
      <c r="Q49" s="8">
        <f t="shared" si="13"/>
        <v>124.57759494672604</v>
      </c>
      <c r="R49" s="8">
        <f>'Rateio Custos Fixos'!F48</f>
        <v>0.74157665645655302</v>
      </c>
      <c r="S49" s="8">
        <f>'Rateio Custos Fixos'!G48</f>
        <v>2.3306694917205952</v>
      </c>
      <c r="T49" s="8">
        <f>'Rateio Custos Fixos'!H48</f>
        <v>3.1781856705280846</v>
      </c>
      <c r="U49" s="8">
        <f>'Rateio Custos Fixos'!I48</f>
        <v>0.2118790447018723</v>
      </c>
      <c r="V49" s="8">
        <f>'Rateio Custos Fixos'!J48</f>
        <v>0.38138228046337014</v>
      </c>
      <c r="W49" s="8">
        <f>'Rateio Custos Fixos'!K48</f>
        <v>1.0382073190391743</v>
      </c>
      <c r="X49" s="8">
        <f>'Rateio Custos Fixos'!L48</f>
        <v>2.2459178738398462</v>
      </c>
      <c r="Y49" s="8">
        <f>'Rateio Custos Fixos'!M48</f>
        <v>0.77547730360885259</v>
      </c>
      <c r="Z49" s="8">
        <f>'Rateio Custos Fixos'!N48</f>
        <v>4.4603030607309808</v>
      </c>
      <c r="AA49" s="8">
        <f>'Rateio Custos Fixos'!O48</f>
        <v>3.1781856705280846</v>
      </c>
      <c r="AB49" s="8">
        <f>'Rateio Custos Fixos'!P48</f>
        <v>0.63563713410561684</v>
      </c>
      <c r="AC49" s="8">
        <f>'Rateio Custos Fixos'!Q48</f>
        <v>0.67871214389350754</v>
      </c>
      <c r="AD49" s="8">
        <f>'Rateio Custos Fixos'!R48</f>
        <v>0.4237580894037446</v>
      </c>
      <c r="AE49" s="8">
        <f>'Rateio Custos Fixos'!S48</f>
        <v>9.5345570115842531</v>
      </c>
      <c r="AF49" s="8">
        <f>'Rateio Custos Fixos'!T48</f>
        <v>17.592952718730562</v>
      </c>
      <c r="AG49" s="8">
        <f>'Rateio Custos Fixos'!U48</f>
        <v>2.7544275811243399</v>
      </c>
      <c r="AH49" s="8">
        <f t="shared" si="17"/>
        <v>50.161829050459438</v>
      </c>
      <c r="AI49" s="8">
        <f t="shared" si="18"/>
        <v>514.2212122563227</v>
      </c>
      <c r="AJ49" s="8">
        <f t="shared" si="19"/>
        <v>8.5703535376053779</v>
      </c>
    </row>
    <row r="50" spans="2:36" x14ac:dyDescent="0.3">
      <c r="B50" t="str">
        <f>'Lista de Compra'!B48</f>
        <v>FLANGE CEGO ASTM A105 GR WPB B16.5 150 LBS 5"</v>
      </c>
      <c r="C50" t="str">
        <f>'Lista de Compra'!C48</f>
        <v>7307.93.44</v>
      </c>
      <c r="D50" s="1">
        <f>'Lista de Compra'!I48</f>
        <v>145</v>
      </c>
      <c r="E50" s="70">
        <f>'Lista de Compra'!L48</f>
        <v>1.6351534971557533E-2</v>
      </c>
      <c r="F50" s="7">
        <f>'Lista de Compra'!J48</f>
        <v>7.1</v>
      </c>
      <c r="G50" s="7">
        <f t="shared" si="14"/>
        <v>1029.5</v>
      </c>
      <c r="H50" s="8">
        <f t="shared" si="12"/>
        <v>5291.63</v>
      </c>
      <c r="I50" s="71">
        <f>'Rateio Custos Fixos'!E49</f>
        <v>430.27380069551572</v>
      </c>
      <c r="J50" s="8">
        <f t="shared" si="3"/>
        <v>5721.9038006955161</v>
      </c>
      <c r="K50" s="8">
        <f t="shared" si="4"/>
        <v>6442.8636795831508</v>
      </c>
      <c r="L50" s="8">
        <f t="shared" si="15"/>
        <v>720.959878887635</v>
      </c>
      <c r="M50" s="8">
        <f t="shared" si="20"/>
        <v>235.16452430478498</v>
      </c>
      <c r="N50" s="8">
        <f t="shared" si="20"/>
        <v>135.30013727124617</v>
      </c>
      <c r="O50" s="8">
        <f t="shared" si="20"/>
        <v>621.73634507977408</v>
      </c>
      <c r="P50" s="8">
        <f t="shared" si="20"/>
        <v>386.57182077498902</v>
      </c>
      <c r="Q50" s="8">
        <f t="shared" si="13"/>
        <v>2099.7327063184293</v>
      </c>
      <c r="R50" s="8">
        <f>'Rateio Custos Fixos'!F49</f>
        <v>5.7230372400451364</v>
      </c>
      <c r="S50" s="8">
        <f>'Rateio Custos Fixos'!G49</f>
        <v>17.986688468713286</v>
      </c>
      <c r="T50" s="8">
        <f>'Rateio Custos Fixos'!H49</f>
        <v>24.527302457336301</v>
      </c>
      <c r="U50" s="8">
        <f>'Rateio Custos Fixos'!I49</f>
        <v>1.6351534971557533</v>
      </c>
      <c r="V50" s="8">
        <f>'Rateio Custos Fixos'!J49</f>
        <v>2.9432762948803561</v>
      </c>
      <c r="W50" s="8">
        <f>'Rateio Custos Fixos'!K49</f>
        <v>8.0122521360631911</v>
      </c>
      <c r="X50" s="8">
        <f>'Rateio Custos Fixos'!L49</f>
        <v>17.332627069850986</v>
      </c>
      <c r="Y50" s="8">
        <f>'Rateio Custos Fixos'!M49</f>
        <v>5.9846617995900573</v>
      </c>
      <c r="Z50" s="8">
        <f>'Rateio Custos Fixos'!N49</f>
        <v>34.421904055641257</v>
      </c>
      <c r="AA50" s="8">
        <f>'Rateio Custos Fixos'!O49</f>
        <v>24.527302457336301</v>
      </c>
      <c r="AB50" s="8">
        <f>'Rateio Custos Fixos'!P49</f>
        <v>4.9054604914672604</v>
      </c>
      <c r="AC50" s="8">
        <f>'Rateio Custos Fixos'!Q49</f>
        <v>5.237887197439024</v>
      </c>
      <c r="AD50" s="8">
        <f>'Rateio Custos Fixos'!R49</f>
        <v>3.2703069943115066</v>
      </c>
      <c r="AE50" s="8">
        <f>'Rateio Custos Fixos'!S49</f>
        <v>73.581907372008899</v>
      </c>
      <c r="AF50" s="8">
        <f>'Rateio Custos Fixos'!T49</f>
        <v>135.77170032933364</v>
      </c>
      <c r="AG50" s="8">
        <f>'Rateio Custos Fixos'!U49</f>
        <v>21.256995463024793</v>
      </c>
      <c r="AH50" s="8">
        <f t="shared" si="17"/>
        <v>387.11846332419776</v>
      </c>
      <c r="AI50" s="8">
        <f t="shared" si="18"/>
        <v>8208.7549703381428</v>
      </c>
      <c r="AJ50" s="8">
        <f t="shared" si="19"/>
        <v>56.612103243711331</v>
      </c>
    </row>
    <row r="51" spans="2:36" x14ac:dyDescent="0.3">
      <c r="B51" t="str">
        <f>'Lista de Compra'!B49</f>
        <v>FLANGE CEGO ASTM A105 GR WPB B16.5 150 LBS 6"</v>
      </c>
      <c r="C51" t="str">
        <f>'Lista de Compra'!C49</f>
        <v>7307.93.45</v>
      </c>
      <c r="D51" s="1">
        <f>'Lista de Compra'!I49</f>
        <v>260</v>
      </c>
      <c r="E51" s="70">
        <f>'Lista de Compra'!L49</f>
        <v>2.1970935722346322E-2</v>
      </c>
      <c r="F51" s="7">
        <f>'Lista de Compra'!J49</f>
        <v>9.5399999999999991</v>
      </c>
      <c r="G51" s="7">
        <f t="shared" si="14"/>
        <v>2480.3999999999996</v>
      </c>
      <c r="H51" s="8">
        <f t="shared" si="12"/>
        <v>12749.255999999998</v>
      </c>
      <c r="I51" s="71">
        <f>'Rateio Custos Fixos'!E50</f>
        <v>578.1425434697494</v>
      </c>
      <c r="J51" s="8">
        <f t="shared" si="3"/>
        <v>13327.398543469746</v>
      </c>
      <c r="K51" s="8">
        <f t="shared" si="4"/>
        <v>15006.650759946933</v>
      </c>
      <c r="L51" s="8">
        <f t="shared" si="15"/>
        <v>1679.2522164771881</v>
      </c>
      <c r="M51" s="8">
        <f t="shared" si="20"/>
        <v>547.74275273806302</v>
      </c>
      <c r="N51" s="8">
        <f t="shared" si="20"/>
        <v>315.13966595888564</v>
      </c>
      <c r="O51" s="8">
        <f t="shared" si="20"/>
        <v>1448.141798334879</v>
      </c>
      <c r="P51" s="8">
        <f t="shared" si="20"/>
        <v>900.39904559681599</v>
      </c>
      <c r="Q51" s="8">
        <f t="shared" si="13"/>
        <v>4890.675479105832</v>
      </c>
      <c r="R51" s="8">
        <f>'Rateio Custos Fixos'!F50</f>
        <v>7.6898275028212124</v>
      </c>
      <c r="S51" s="8">
        <f>'Rateio Custos Fixos'!G50</f>
        <v>24.168029294580954</v>
      </c>
      <c r="T51" s="8">
        <f>'Rateio Custos Fixos'!H50</f>
        <v>32.956403583519482</v>
      </c>
      <c r="U51" s="8">
        <f>'Rateio Custos Fixos'!I50</f>
        <v>2.1970935722346323</v>
      </c>
      <c r="V51" s="8">
        <f>'Rateio Custos Fixos'!J50</f>
        <v>3.9547684300223378</v>
      </c>
      <c r="W51" s="8">
        <f>'Rateio Custos Fixos'!K50</f>
        <v>10.765758503949698</v>
      </c>
      <c r="X51" s="8">
        <f>'Rateio Custos Fixos'!L50</f>
        <v>23.289191865687101</v>
      </c>
      <c r="Y51" s="8">
        <f>'Rateio Custos Fixos'!M50</f>
        <v>8.0413624743787544</v>
      </c>
      <c r="Z51" s="8">
        <f>'Rateio Custos Fixos'!N50</f>
        <v>46.251403477579956</v>
      </c>
      <c r="AA51" s="8">
        <f>'Rateio Custos Fixos'!O50</f>
        <v>32.956403583519482</v>
      </c>
      <c r="AB51" s="8">
        <f>'Rateio Custos Fixos'!P50</f>
        <v>6.5912807167038965</v>
      </c>
      <c r="AC51" s="8">
        <f>'Rateio Custos Fixos'!Q50</f>
        <v>7.0379498399391967</v>
      </c>
      <c r="AD51" s="8">
        <f>'Rateio Custos Fixos'!R50</f>
        <v>4.3941871444692646</v>
      </c>
      <c r="AE51" s="8">
        <f>'Rateio Custos Fixos'!S50</f>
        <v>98.869210750558452</v>
      </c>
      <c r="AF51" s="8">
        <f>'Rateio Custos Fixos'!T50</f>
        <v>182.43127058335821</v>
      </c>
      <c r="AG51" s="8">
        <f>'Rateio Custos Fixos'!U50</f>
        <v>28.562216439050218</v>
      </c>
      <c r="AH51" s="8">
        <f t="shared" si="17"/>
        <v>520.15635776237286</v>
      </c>
      <c r="AI51" s="8">
        <f t="shared" si="18"/>
        <v>18738.230380337955</v>
      </c>
      <c r="AJ51" s="8">
        <f t="shared" si="19"/>
        <v>72.070116847453676</v>
      </c>
    </row>
    <row r="52" spans="2:36" x14ac:dyDescent="0.3">
      <c r="B52" t="str">
        <f>'Lista de Compra'!B50</f>
        <v>FLANGE CEGO ASTM A105 GR WPB B16.5 150 LBS 8"</v>
      </c>
      <c r="C52" t="str">
        <f>'Lista de Compra'!C50</f>
        <v>7307.93.46</v>
      </c>
      <c r="D52" s="1">
        <f>'Lista de Compra'!I50</f>
        <v>50</v>
      </c>
      <c r="E52" s="70">
        <f>'Lista de Compra'!L50</f>
        <v>3.5996407268372436E-2</v>
      </c>
      <c r="F52" s="7">
        <f>'Lista de Compra'!J50</f>
        <v>15.63</v>
      </c>
      <c r="G52" s="7">
        <f t="shared" si="14"/>
        <v>781.5</v>
      </c>
      <c r="H52" s="8">
        <f t="shared" si="12"/>
        <v>4016.91</v>
      </c>
      <c r="I52" s="71">
        <f>'Rateio Custos Fixos'!E51</f>
        <v>947.20838096773412</v>
      </c>
      <c r="J52" s="8">
        <f t="shared" si="3"/>
        <v>4964.1183809677341</v>
      </c>
      <c r="K52" s="8">
        <f t="shared" si="4"/>
        <v>5589.5972969696686</v>
      </c>
      <c r="L52" s="8">
        <f t="shared" si="15"/>
        <v>625.47891600193452</v>
      </c>
      <c r="M52" s="8">
        <f t="shared" si="20"/>
        <v>204.02030133939289</v>
      </c>
      <c r="N52" s="8">
        <f t="shared" si="20"/>
        <v>117.38154323636304</v>
      </c>
      <c r="O52" s="8">
        <f t="shared" si="20"/>
        <v>539.39613915757309</v>
      </c>
      <c r="P52" s="8">
        <f t="shared" si="20"/>
        <v>335.37583781818012</v>
      </c>
      <c r="Q52" s="8">
        <f t="shared" si="13"/>
        <v>1821.6527375534438</v>
      </c>
      <c r="R52" s="8">
        <f>'Rateio Custos Fixos'!F51</f>
        <v>12.598742543930353</v>
      </c>
      <c r="S52" s="8">
        <f>'Rateio Custos Fixos'!G51</f>
        <v>39.59604799520968</v>
      </c>
      <c r="T52" s="8">
        <f>'Rateio Custos Fixos'!H51</f>
        <v>53.994610902558655</v>
      </c>
      <c r="U52" s="8">
        <f>'Rateio Custos Fixos'!I51</f>
        <v>3.5996407268372437</v>
      </c>
      <c r="V52" s="8">
        <f>'Rateio Custos Fixos'!J51</f>
        <v>6.4793533083070383</v>
      </c>
      <c r="W52" s="8">
        <f>'Rateio Custos Fixos'!K51</f>
        <v>17.638239561502495</v>
      </c>
      <c r="X52" s="8">
        <f>'Rateio Custos Fixos'!L51</f>
        <v>38.156191704474786</v>
      </c>
      <c r="Y52" s="8">
        <f>'Rateio Custos Fixos'!M51</f>
        <v>13.174685060224311</v>
      </c>
      <c r="Z52" s="8">
        <f>'Rateio Custos Fixos'!N51</f>
        <v>75.776670477418733</v>
      </c>
      <c r="AA52" s="8">
        <f>'Rateio Custos Fixos'!O51</f>
        <v>53.994610902558655</v>
      </c>
      <c r="AB52" s="8">
        <f>'Rateio Custos Fixos'!P51</f>
        <v>10.798922180511731</v>
      </c>
      <c r="AC52" s="8">
        <f>'Rateio Custos Fixos'!Q51</f>
        <v>11.530729140277742</v>
      </c>
      <c r="AD52" s="8">
        <f>'Rateio Custos Fixos'!R51</f>
        <v>7.1992814536744874</v>
      </c>
      <c r="AE52" s="8">
        <f>'Rateio Custos Fixos'!S51</f>
        <v>161.98383270767596</v>
      </c>
      <c r="AF52" s="8">
        <f>'Rateio Custos Fixos'!T51</f>
        <v>298.8889684714768</v>
      </c>
      <c r="AG52" s="8">
        <f>'Rateio Custos Fixos'!U51</f>
        <v>46.795329448884168</v>
      </c>
      <c r="AH52" s="8">
        <f t="shared" si="17"/>
        <v>852.20585658552284</v>
      </c>
      <c r="AI52" s="8">
        <f t="shared" si="18"/>
        <v>7637.9769751067006</v>
      </c>
      <c r="AJ52" s="8">
        <f t="shared" si="19"/>
        <v>152.759539502134</v>
      </c>
    </row>
    <row r="53" spans="2:36" x14ac:dyDescent="0.3">
      <c r="B53" t="str">
        <f>'Lista de Compra'!B51</f>
        <v>CURVA SOLD RL 90° ASTM A-234 ASME B16.9 SCH 40 - 1"</v>
      </c>
      <c r="C53" t="str">
        <f>'Lista de Compra'!C51</f>
        <v>7307.93.47</v>
      </c>
      <c r="D53" s="1">
        <f>'Lista de Compra'!I51</f>
        <v>550</v>
      </c>
      <c r="E53" s="70">
        <f>'Lista de Compra'!L51</f>
        <v>4.606066189171137E-4</v>
      </c>
      <c r="F53" s="7">
        <f>'Lista de Compra'!J51</f>
        <v>0.2</v>
      </c>
      <c r="G53" s="7">
        <f t="shared" si="14"/>
        <v>110</v>
      </c>
      <c r="H53" s="8">
        <f t="shared" si="12"/>
        <v>565.4</v>
      </c>
      <c r="I53" s="71">
        <f>'Rateio Custos Fixos'!E52</f>
        <v>12.120388751986361</v>
      </c>
      <c r="J53" s="8">
        <f t="shared" si="3"/>
        <v>577.52038875198639</v>
      </c>
      <c r="K53" s="8">
        <f t="shared" si="4"/>
        <v>650.28795773473666</v>
      </c>
      <c r="L53" s="8">
        <f t="shared" si="15"/>
        <v>72.767568982750291</v>
      </c>
      <c r="M53" s="8">
        <f t="shared" si="20"/>
        <v>23.735510457317886</v>
      </c>
      <c r="N53" s="8">
        <f t="shared" si="20"/>
        <v>13.656047112429471</v>
      </c>
      <c r="O53" s="8">
        <f t="shared" si="20"/>
        <v>62.752787921402089</v>
      </c>
      <c r="P53" s="8">
        <f t="shared" si="20"/>
        <v>39.017277464084195</v>
      </c>
      <c r="Q53" s="8">
        <f t="shared" si="13"/>
        <v>211.92919193798394</v>
      </c>
      <c r="R53" s="8">
        <f>'Rateio Custos Fixos'!F52</f>
        <v>0.16121231662098978</v>
      </c>
      <c r="S53" s="8">
        <f>'Rateio Custos Fixos'!G52</f>
        <v>0.50666728080882506</v>
      </c>
      <c r="T53" s="8">
        <f>'Rateio Custos Fixos'!H52</f>
        <v>0.69090992837567056</v>
      </c>
      <c r="U53" s="8">
        <f>'Rateio Custos Fixos'!I52</f>
        <v>4.6060661891711367E-2</v>
      </c>
      <c r="V53" s="8">
        <f>'Rateio Custos Fixos'!J52</f>
        <v>8.2909191405080462E-2</v>
      </c>
      <c r="W53" s="8">
        <f>'Rateio Custos Fixos'!K52</f>
        <v>0.2256972432693857</v>
      </c>
      <c r="X53" s="8">
        <f>'Rateio Custos Fixos'!L52</f>
        <v>0.48824301605214054</v>
      </c>
      <c r="Y53" s="8">
        <f>'Rateio Custos Fixos'!M52</f>
        <v>0.16858202252366361</v>
      </c>
      <c r="Z53" s="8">
        <f>'Rateio Custos Fixos'!N52</f>
        <v>0.96963110015890897</v>
      </c>
      <c r="AA53" s="8">
        <f>'Rateio Custos Fixos'!O52</f>
        <v>0.69090992837567056</v>
      </c>
      <c r="AB53" s="8">
        <f>'Rateio Custos Fixos'!P52</f>
        <v>0.13818198567513412</v>
      </c>
      <c r="AC53" s="8">
        <f>'Rateio Custos Fixos'!Q52</f>
        <v>0.14754611823771902</v>
      </c>
      <c r="AD53" s="8">
        <f>'Rateio Custos Fixos'!R52</f>
        <v>9.2121323783422734E-2</v>
      </c>
      <c r="AE53" s="8">
        <f>'Rateio Custos Fixos'!S52</f>
        <v>2.0727297851270117</v>
      </c>
      <c r="AF53" s="8">
        <f>'Rateio Custos Fixos'!T52</f>
        <v>3.8245549388544697</v>
      </c>
      <c r="AG53" s="8">
        <f>'Rateio Custos Fixos'!U52</f>
        <v>0.59878860459224781</v>
      </c>
      <c r="AH53" s="8">
        <f t="shared" si="17"/>
        <v>10.904745445752052</v>
      </c>
      <c r="AI53" s="8">
        <f t="shared" si="18"/>
        <v>800.35432613572243</v>
      </c>
      <c r="AJ53" s="8">
        <f t="shared" si="19"/>
        <v>1.4551896838831317</v>
      </c>
    </row>
    <row r="54" spans="2:36" x14ac:dyDescent="0.3">
      <c r="B54" t="str">
        <f>'Lista de Compra'!B52</f>
        <v>FLANGE CEGO ASTM A105 GR WPB B16.5 150 LBS 3"</v>
      </c>
      <c r="C54" t="str">
        <f>'Lista de Compra'!C52</f>
        <v>7307.93.48</v>
      </c>
      <c r="D54" s="1">
        <f>'Lista de Compra'!I52</f>
        <v>55</v>
      </c>
      <c r="E54" s="70">
        <f>'Lista de Compra'!L52</f>
        <v>8.8897077451002941E-3</v>
      </c>
      <c r="F54" s="7">
        <f>'Lista de Compra'!J52</f>
        <v>3.86</v>
      </c>
      <c r="G54" s="7">
        <f t="shared" si="14"/>
        <v>212.29999999999998</v>
      </c>
      <c r="H54" s="8">
        <f t="shared" si="12"/>
        <v>1091.2219999999998</v>
      </c>
      <c r="I54" s="71">
        <f>'Rateio Custos Fixos'!E53</f>
        <v>233.92350291333676</v>
      </c>
      <c r="J54" s="8">
        <f t="shared" si="3"/>
        <v>1325.1455029133365</v>
      </c>
      <c r="K54" s="8">
        <f t="shared" si="4"/>
        <v>1492.1138362804168</v>
      </c>
      <c r="L54" s="8">
        <f t="shared" si="15"/>
        <v>166.96833336708039</v>
      </c>
      <c r="M54" s="8">
        <f t="shared" si="20"/>
        <v>54.462155024235209</v>
      </c>
      <c r="N54" s="8">
        <f t="shared" si="20"/>
        <v>31.334390561888753</v>
      </c>
      <c r="O54" s="8">
        <f t="shared" si="20"/>
        <v>143.98898520106022</v>
      </c>
      <c r="P54" s="8">
        <f t="shared" si="20"/>
        <v>89.526830176825001</v>
      </c>
      <c r="Q54" s="8">
        <f t="shared" si="13"/>
        <v>486.28069433108953</v>
      </c>
      <c r="R54" s="8">
        <f>'Rateio Custos Fixos'!F53</f>
        <v>3.111397710785103</v>
      </c>
      <c r="S54" s="8">
        <f>'Rateio Custos Fixos'!G53</f>
        <v>9.7786785196103239</v>
      </c>
      <c r="T54" s="8">
        <f>'Rateio Custos Fixos'!H53</f>
        <v>13.334561617650442</v>
      </c>
      <c r="U54" s="8">
        <f>'Rateio Custos Fixos'!I53</f>
        <v>0.88897077451002937</v>
      </c>
      <c r="V54" s="8">
        <f>'Rateio Custos Fixos'!J53</f>
        <v>1.6001473941180528</v>
      </c>
      <c r="W54" s="8">
        <f>'Rateio Custos Fixos'!K53</f>
        <v>4.3559567950991438</v>
      </c>
      <c r="X54" s="8">
        <f>'Rateio Custos Fixos'!L53</f>
        <v>9.4230902098063112</v>
      </c>
      <c r="Y54" s="8">
        <f>'Rateio Custos Fixos'!M53</f>
        <v>3.2536330347067075</v>
      </c>
      <c r="Z54" s="8">
        <f>'Rateio Custos Fixos'!N53</f>
        <v>18.713880233066941</v>
      </c>
      <c r="AA54" s="8">
        <f>'Rateio Custos Fixos'!O53</f>
        <v>13.334561617650442</v>
      </c>
      <c r="AB54" s="8">
        <f>'Rateio Custos Fixos'!P53</f>
        <v>2.6669123235300884</v>
      </c>
      <c r="AC54" s="8">
        <f>'Rateio Custos Fixos'!Q53</f>
        <v>2.847640081987977</v>
      </c>
      <c r="AD54" s="8">
        <f>'Rateio Custos Fixos'!R53</f>
        <v>1.7779415490200587</v>
      </c>
      <c r="AE54" s="8">
        <f>'Rateio Custos Fixos'!S53</f>
        <v>40.003684852951324</v>
      </c>
      <c r="AF54" s="8">
        <f>'Rateio Custos Fixos'!T53</f>
        <v>73.813910319891264</v>
      </c>
      <c r="AG54" s="8">
        <f>'Rateio Custos Fixos'!U53</f>
        <v>11.556620068630382</v>
      </c>
      <c r="AH54" s="8">
        <f t="shared" si="17"/>
        <v>210.46158710301458</v>
      </c>
      <c r="AI54" s="8">
        <f t="shared" si="18"/>
        <v>2021.8877843474406</v>
      </c>
      <c r="AJ54" s="8">
        <f t="shared" si="19"/>
        <v>36.761596079044374</v>
      </c>
    </row>
    <row r="55" spans="2:36" x14ac:dyDescent="0.3">
      <c r="B55" t="str">
        <f>'Lista de Compra'!B53</f>
        <v>FLANGE CEGO ASTM A105 GR WPB B16.5 300 LBS 1/2"</v>
      </c>
      <c r="C55" t="str">
        <f>'Lista de Compra'!C53</f>
        <v>7307.93.49</v>
      </c>
      <c r="D55" s="1">
        <f>'Lista de Compra'!I53</f>
        <v>140</v>
      </c>
      <c r="E55" s="70">
        <f>'Lista de Compra'!L53</f>
        <v>3.270306994311507E-3</v>
      </c>
      <c r="F55" s="7">
        <f>'Lista de Compra'!J53</f>
        <v>1.42</v>
      </c>
      <c r="G55" s="7">
        <f t="shared" si="14"/>
        <v>198.79999999999998</v>
      </c>
      <c r="H55" s="8">
        <f t="shared" si="12"/>
        <v>1021.8319999999999</v>
      </c>
      <c r="I55" s="71">
        <f>'Rateio Custos Fixos'!E54</f>
        <v>86.054760139103152</v>
      </c>
      <c r="J55" s="8">
        <f t="shared" si="3"/>
        <v>1107.886760139103</v>
      </c>
      <c r="K55" s="8">
        <f t="shared" si="4"/>
        <v>1247.4804919166299</v>
      </c>
      <c r="L55" s="8">
        <f t="shared" si="15"/>
        <v>139.59373177752698</v>
      </c>
      <c r="M55" s="8">
        <f t="shared" si="20"/>
        <v>45.533037954956988</v>
      </c>
      <c r="N55" s="8">
        <f t="shared" si="20"/>
        <v>26.197090330249232</v>
      </c>
      <c r="O55" s="8">
        <f t="shared" si="20"/>
        <v>120.3818674699548</v>
      </c>
      <c r="P55" s="8">
        <f t="shared" si="20"/>
        <v>74.848829514997789</v>
      </c>
      <c r="Q55" s="8">
        <f t="shared" si="13"/>
        <v>406.55455704768576</v>
      </c>
      <c r="R55" s="8">
        <f>'Rateio Custos Fixos'!F54</f>
        <v>1.1446074480090274</v>
      </c>
      <c r="S55" s="8">
        <f>'Rateio Custos Fixos'!G54</f>
        <v>3.5973376937426575</v>
      </c>
      <c r="T55" s="8">
        <f>'Rateio Custos Fixos'!H54</f>
        <v>4.9054604914672604</v>
      </c>
      <c r="U55" s="8">
        <f>'Rateio Custos Fixos'!I54</f>
        <v>0.32703069943115071</v>
      </c>
      <c r="V55" s="8">
        <f>'Rateio Custos Fixos'!J54</f>
        <v>0.58865525897607129</v>
      </c>
      <c r="W55" s="8">
        <f>'Rateio Custos Fixos'!K54</f>
        <v>1.6024504272126385</v>
      </c>
      <c r="X55" s="8">
        <f>'Rateio Custos Fixos'!L54</f>
        <v>3.4665254139701975</v>
      </c>
      <c r="Y55" s="8">
        <f>'Rateio Custos Fixos'!M54</f>
        <v>1.1969323599180115</v>
      </c>
      <c r="Z55" s="8">
        <f>'Rateio Custos Fixos'!N54</f>
        <v>6.8843808111282527</v>
      </c>
      <c r="AA55" s="8">
        <f>'Rateio Custos Fixos'!O54</f>
        <v>4.9054604914672604</v>
      </c>
      <c r="AB55" s="8">
        <f>'Rateio Custos Fixos'!P54</f>
        <v>0.98109209829345212</v>
      </c>
      <c r="AC55" s="8">
        <f>'Rateio Custos Fixos'!Q54</f>
        <v>1.047577439487805</v>
      </c>
      <c r="AD55" s="8">
        <f>'Rateio Custos Fixos'!R54</f>
        <v>0.65406139886230141</v>
      </c>
      <c r="AE55" s="8">
        <f>'Rateio Custos Fixos'!S54</f>
        <v>14.716381474401782</v>
      </c>
      <c r="AF55" s="8">
        <f>'Rateio Custos Fixos'!T54</f>
        <v>27.154340065866734</v>
      </c>
      <c r="AG55" s="8">
        <f>'Rateio Custos Fixos'!U54</f>
        <v>4.2513990926049594</v>
      </c>
      <c r="AH55" s="8">
        <f t="shared" si="17"/>
        <v>77.42369266483955</v>
      </c>
      <c r="AI55" s="8">
        <f t="shared" si="18"/>
        <v>1591.8650098516282</v>
      </c>
      <c r="AJ55" s="8">
        <f t="shared" si="19"/>
        <v>11.370464356083058</v>
      </c>
    </row>
    <row r="56" spans="2:36" x14ac:dyDescent="0.3">
      <c r="B56" t="str">
        <f>'Lista de Compra'!B54</f>
        <v>FLANGE CEGO ASTM A105 GR WPB B16.5 300 LBS 4"</v>
      </c>
      <c r="C56" t="str">
        <f>'Lista de Compra'!C54</f>
        <v>7307.93.50</v>
      </c>
      <c r="D56" s="1">
        <f>'Lista de Compra'!I54</f>
        <v>40</v>
      </c>
      <c r="E56" s="70">
        <f>'Lista de Compra'!L54</f>
        <v>2.2892148960180547E-2</v>
      </c>
      <c r="F56" s="7">
        <f>'Lista de Compra'!J54</f>
        <v>9.94</v>
      </c>
      <c r="G56" s="7">
        <f t="shared" si="14"/>
        <v>397.59999999999997</v>
      </c>
      <c r="H56" s="8">
        <f t="shared" si="12"/>
        <v>2043.6639999999998</v>
      </c>
      <c r="I56" s="71">
        <f>'Rateio Custos Fixos'!E55</f>
        <v>602.38332097372211</v>
      </c>
      <c r="J56" s="8">
        <f t="shared" si="3"/>
        <v>2646.047320973722</v>
      </c>
      <c r="K56" s="8">
        <f t="shared" si="4"/>
        <v>2979.4492834164112</v>
      </c>
      <c r="L56" s="8">
        <f t="shared" si="15"/>
        <v>333.40196244268895</v>
      </c>
      <c r="M56" s="8">
        <f t="shared" si="20"/>
        <v>108.749898844699</v>
      </c>
      <c r="N56" s="8">
        <f t="shared" si="20"/>
        <v>62.568434951744635</v>
      </c>
      <c r="O56" s="8">
        <f t="shared" si="20"/>
        <v>287.51685584968368</v>
      </c>
      <c r="P56" s="8">
        <f t="shared" si="20"/>
        <v>178.76695700498468</v>
      </c>
      <c r="Q56" s="8">
        <f t="shared" si="13"/>
        <v>971.00410909380093</v>
      </c>
      <c r="R56" s="8">
        <f>'Rateio Custos Fixos'!F55</f>
        <v>8.0122521360631911</v>
      </c>
      <c r="S56" s="8">
        <f>'Rateio Custos Fixos'!G55</f>
        <v>25.181363856198601</v>
      </c>
      <c r="T56" s="8">
        <f>'Rateio Custos Fixos'!H55</f>
        <v>34.338223440270824</v>
      </c>
      <c r="U56" s="8">
        <f>'Rateio Custos Fixos'!I55</f>
        <v>2.2892148960180547</v>
      </c>
      <c r="V56" s="8">
        <f>'Rateio Custos Fixos'!J55</f>
        <v>4.1205868128324985</v>
      </c>
      <c r="W56" s="8">
        <f>'Rateio Custos Fixos'!K55</f>
        <v>11.217152990488469</v>
      </c>
      <c r="X56" s="8">
        <f>'Rateio Custos Fixos'!L55</f>
        <v>24.265677897791381</v>
      </c>
      <c r="Y56" s="8">
        <f>'Rateio Custos Fixos'!M55</f>
        <v>8.3785265194260798</v>
      </c>
      <c r="Z56" s="8">
        <f>'Rateio Custos Fixos'!N55</f>
        <v>48.190665677897769</v>
      </c>
      <c r="AA56" s="8">
        <f>'Rateio Custos Fixos'!O55</f>
        <v>34.338223440270824</v>
      </c>
      <c r="AB56" s="8">
        <f>'Rateio Custos Fixos'!P55</f>
        <v>6.8676446880541642</v>
      </c>
      <c r="AC56" s="8">
        <f>'Rateio Custos Fixos'!Q55</f>
        <v>7.3330420764146345</v>
      </c>
      <c r="AD56" s="8">
        <f>'Rateio Custos Fixos'!R55</f>
        <v>4.5784297920361094</v>
      </c>
      <c r="AE56" s="8">
        <f>'Rateio Custos Fixos'!S55</f>
        <v>103.01467032081246</v>
      </c>
      <c r="AF56" s="8">
        <f>'Rateio Custos Fixos'!T55</f>
        <v>190.08038046106711</v>
      </c>
      <c r="AG56" s="8">
        <f>'Rateio Custos Fixos'!U55</f>
        <v>29.759793648234712</v>
      </c>
      <c r="AH56" s="8">
        <f t="shared" si="17"/>
        <v>541.96584865387683</v>
      </c>
      <c r="AI56" s="8">
        <f t="shared" si="18"/>
        <v>4159.0172787213996</v>
      </c>
      <c r="AJ56" s="8">
        <f t="shared" si="19"/>
        <v>103.975431968035</v>
      </c>
    </row>
    <row r="57" spans="2:36" x14ac:dyDescent="0.3">
      <c r="B57" t="str">
        <f>'Lista de Compra'!B55</f>
        <v>FLANGE CEGO ASTM A105 GR WPB B16.5 300 LBS 6"</v>
      </c>
      <c r="C57" t="str">
        <f>'Lista de Compra'!C55</f>
        <v>7307.93.51</v>
      </c>
      <c r="D57" s="1">
        <f>'Lista de Compra'!I55</f>
        <v>60</v>
      </c>
      <c r="E57" s="70">
        <f>'Lista de Compra'!L55</f>
        <v>4.113217106929825E-2</v>
      </c>
      <c r="F57" s="7">
        <f>'Lista de Compra'!J55</f>
        <v>17.86</v>
      </c>
      <c r="G57" s="7">
        <f t="shared" si="14"/>
        <v>1071.5999999999999</v>
      </c>
      <c r="H57" s="8">
        <f t="shared" si="12"/>
        <v>5508.0239999999994</v>
      </c>
      <c r="I57" s="71">
        <f>'Rateio Custos Fixos'!E56</f>
        <v>1082.3507155523819</v>
      </c>
      <c r="J57" s="8">
        <f t="shared" si="3"/>
        <v>6590.3747155523815</v>
      </c>
      <c r="K57" s="8">
        <f t="shared" si="4"/>
        <v>7420.7619297119818</v>
      </c>
      <c r="L57" s="8">
        <f t="shared" si="15"/>
        <v>830.38721415960003</v>
      </c>
      <c r="M57" s="8">
        <f t="shared" si="20"/>
        <v>270.85781043448731</v>
      </c>
      <c r="N57" s="8">
        <f t="shared" si="20"/>
        <v>155.83600052395164</v>
      </c>
      <c r="O57" s="8">
        <f t="shared" si="20"/>
        <v>716.10352621720631</v>
      </c>
      <c r="P57" s="8">
        <f t="shared" si="20"/>
        <v>445.24571578271889</v>
      </c>
      <c r="Q57" s="8">
        <f t="shared" si="13"/>
        <v>2418.4302671179639</v>
      </c>
      <c r="R57" s="8">
        <f>'Rateio Custos Fixos'!F56</f>
        <v>14.396259874254387</v>
      </c>
      <c r="S57" s="8">
        <f>'Rateio Custos Fixos'!G56</f>
        <v>45.245388176228076</v>
      </c>
      <c r="T57" s="8">
        <f>'Rateio Custos Fixos'!H56</f>
        <v>61.698256603947378</v>
      </c>
      <c r="U57" s="8">
        <f>'Rateio Custos Fixos'!I56</f>
        <v>4.1132171069298247</v>
      </c>
      <c r="V57" s="8">
        <f>'Rateio Custos Fixos'!J56</f>
        <v>7.4037907924736848</v>
      </c>
      <c r="W57" s="8">
        <f>'Rateio Custos Fixos'!K56</f>
        <v>20.154763823956142</v>
      </c>
      <c r="X57" s="8">
        <f>'Rateio Custos Fixos'!L56</f>
        <v>43.600101333456145</v>
      </c>
      <c r="Y57" s="8">
        <f>'Rateio Custos Fixos'!M56</f>
        <v>15.05437461136316</v>
      </c>
      <c r="Z57" s="8">
        <f>'Rateio Custos Fixos'!N56</f>
        <v>86.588057244190551</v>
      </c>
      <c r="AA57" s="8">
        <f>'Rateio Custos Fixos'!O56</f>
        <v>61.698256603947378</v>
      </c>
      <c r="AB57" s="8">
        <f>'Rateio Custos Fixos'!P56</f>
        <v>12.339651320789475</v>
      </c>
      <c r="AC57" s="8">
        <f>'Rateio Custos Fixos'!Q56</f>
        <v>13.175868358628307</v>
      </c>
      <c r="AD57" s="8">
        <f>'Rateio Custos Fixos'!R56</f>
        <v>8.2264342138596493</v>
      </c>
      <c r="AE57" s="8">
        <f>'Rateio Custos Fixos'!S56</f>
        <v>185.09476981184213</v>
      </c>
      <c r="AF57" s="8">
        <f>'Rateio Custos Fixos'!T56</f>
        <v>341.53275603970411</v>
      </c>
      <c r="AG57" s="8">
        <f>'Rateio Custos Fixos'!U56</f>
        <v>53.471822390087723</v>
      </c>
      <c r="AH57" s="8">
        <f t="shared" si="17"/>
        <v>973.79376830565798</v>
      </c>
      <c r="AI57" s="8">
        <f t="shared" si="18"/>
        <v>9982.5987509760052</v>
      </c>
      <c r="AJ57" s="8">
        <f t="shared" si="19"/>
        <v>166.3766458496001</v>
      </c>
    </row>
    <row r="58" spans="2:36" x14ac:dyDescent="0.3">
      <c r="B58" t="str">
        <f>'Lista de Compra'!B56</f>
        <v>FLANGE CEGO ASTM A105 GR WPB B16.5 300 LBS 8"</v>
      </c>
      <c r="C58" t="str">
        <f>'Lista de Compra'!C56</f>
        <v>7307.93.52</v>
      </c>
      <c r="D58" s="1">
        <f>'Lista de Compra'!I56</f>
        <v>30</v>
      </c>
      <c r="E58" s="70">
        <f>'Lista de Compra'!L56</f>
        <v>6.7755233642707427E-2</v>
      </c>
      <c r="F58" s="7">
        <f>'Lista de Compra'!J56</f>
        <v>29.42</v>
      </c>
      <c r="G58" s="7">
        <f t="shared" si="14"/>
        <v>882.6</v>
      </c>
      <c r="H58" s="8">
        <f t="shared" si="12"/>
        <v>4536.5639999999994</v>
      </c>
      <c r="I58" s="71">
        <f>'Rateio Custos Fixos'!E57</f>
        <v>1782.9091854171938</v>
      </c>
      <c r="J58" s="8">
        <f t="shared" si="3"/>
        <v>6319.4731854171932</v>
      </c>
      <c r="K58" s="8">
        <f t="shared" si="4"/>
        <v>7115.7268067797595</v>
      </c>
      <c r="L58" s="8">
        <f t="shared" si="15"/>
        <v>796.25362136256638</v>
      </c>
      <c r="M58" s="8">
        <f t="shared" si="20"/>
        <v>259.72402844746119</v>
      </c>
      <c r="N58" s="8">
        <f t="shared" si="20"/>
        <v>149.43026294237495</v>
      </c>
      <c r="O58" s="8">
        <f t="shared" si="20"/>
        <v>686.66763685424678</v>
      </c>
      <c r="P58" s="8">
        <f t="shared" si="20"/>
        <v>426.94360840678553</v>
      </c>
      <c r="Q58" s="8">
        <f t="shared" si="13"/>
        <v>2319.0191580134347</v>
      </c>
      <c r="R58" s="8">
        <f>'Rateio Custos Fixos'!F57</f>
        <v>23.714331774947599</v>
      </c>
      <c r="S58" s="8">
        <f>'Rateio Custos Fixos'!G57</f>
        <v>74.530757006978163</v>
      </c>
      <c r="T58" s="8">
        <f>'Rateio Custos Fixos'!H57</f>
        <v>101.63285046406114</v>
      </c>
      <c r="U58" s="8">
        <f>'Rateio Custos Fixos'!I57</f>
        <v>6.7755233642707431</v>
      </c>
      <c r="V58" s="8">
        <f>'Rateio Custos Fixos'!J57</f>
        <v>12.195942055687336</v>
      </c>
      <c r="W58" s="8">
        <f>'Rateio Custos Fixos'!K57</f>
        <v>33.200064484926642</v>
      </c>
      <c r="X58" s="8">
        <f>'Rateio Custos Fixos'!L57</f>
        <v>71.82054766126987</v>
      </c>
      <c r="Y58" s="8">
        <f>'Rateio Custos Fixos'!M57</f>
        <v>24.798415513230918</v>
      </c>
      <c r="Z58" s="8">
        <f>'Rateio Custos Fixos'!N57</f>
        <v>142.63273483337551</v>
      </c>
      <c r="AA58" s="8">
        <f>'Rateio Custos Fixos'!O57</f>
        <v>101.63285046406114</v>
      </c>
      <c r="AB58" s="8">
        <f>'Rateio Custos Fixos'!P57</f>
        <v>20.326570092812229</v>
      </c>
      <c r="AC58" s="8">
        <f>'Rateio Custos Fixos'!Q57</f>
        <v>21.704033992768469</v>
      </c>
      <c r="AD58" s="8">
        <f>'Rateio Custos Fixos'!R57</f>
        <v>13.551046728541486</v>
      </c>
      <c r="AE58" s="8">
        <f>'Rateio Custos Fixos'!S57</f>
        <v>304.89855139218344</v>
      </c>
      <c r="AF58" s="8">
        <f>'Rateio Custos Fixos'!T57</f>
        <v>562.59203150549251</v>
      </c>
      <c r="AG58" s="8">
        <f>'Rateio Custos Fixos'!U57</f>
        <v>88.081803735519657</v>
      </c>
      <c r="AH58" s="8">
        <f t="shared" si="17"/>
        <v>1604.0880550701268</v>
      </c>
      <c r="AI58" s="8">
        <f t="shared" si="18"/>
        <v>10242.580398500755</v>
      </c>
      <c r="AJ58" s="8">
        <f t="shared" si="19"/>
        <v>341.41934661669183</v>
      </c>
    </row>
    <row r="59" spans="2:36" x14ac:dyDescent="0.3">
      <c r="B59" t="str">
        <f>'Lista de Compra'!B57</f>
        <v>FLANGE LISO ASTM A105 GR WPB B16.5 300 LBS 3/4"</v>
      </c>
      <c r="C59" t="str">
        <f>'Lista de Compra'!C57</f>
        <v>7307.93.53</v>
      </c>
      <c r="D59" s="1">
        <f>'Lista de Compra'!I57</f>
        <v>50</v>
      </c>
      <c r="E59" s="70">
        <f>'Lista de Compra'!L57</f>
        <v>3.7539439441744761E-3</v>
      </c>
      <c r="F59" s="7">
        <f>'Lista de Compra'!J57</f>
        <v>1.63</v>
      </c>
      <c r="G59" s="7">
        <f t="shared" si="14"/>
        <v>81.5</v>
      </c>
      <c r="H59" s="8">
        <f t="shared" si="12"/>
        <v>418.90999999999997</v>
      </c>
      <c r="I59" s="71">
        <f>'Rateio Custos Fixos'!E58</f>
        <v>98.781168328688835</v>
      </c>
      <c r="J59" s="8">
        <f t="shared" si="3"/>
        <v>517.69116832868883</v>
      </c>
      <c r="K59" s="8">
        <f t="shared" si="4"/>
        <v>582.92025553810367</v>
      </c>
      <c r="L59" s="8">
        <f t="shared" si="15"/>
        <v>65.2290872094148</v>
      </c>
      <c r="M59" s="8">
        <f t="shared" si="20"/>
        <v>21.276589327140783</v>
      </c>
      <c r="N59" s="8">
        <f t="shared" si="20"/>
        <v>12.241325366300178</v>
      </c>
      <c r="O59" s="8">
        <f t="shared" si="20"/>
        <v>56.251804659427009</v>
      </c>
      <c r="P59" s="8">
        <f t="shared" si="20"/>
        <v>34.975215332286218</v>
      </c>
      <c r="Q59" s="8">
        <f t="shared" si="13"/>
        <v>189.97402189456898</v>
      </c>
      <c r="R59" s="8">
        <f>'Rateio Custos Fixos'!F58</f>
        <v>1.3138803804610666</v>
      </c>
      <c r="S59" s="8">
        <f>'Rateio Custos Fixos'!G58</f>
        <v>4.129338338591924</v>
      </c>
      <c r="T59" s="8">
        <f>'Rateio Custos Fixos'!H58</f>
        <v>5.6309159162617144</v>
      </c>
      <c r="U59" s="8">
        <f>'Rateio Custos Fixos'!I58</f>
        <v>0.3753943944174476</v>
      </c>
      <c r="V59" s="8">
        <f>'Rateio Custos Fixos'!J58</f>
        <v>0.67570990995140567</v>
      </c>
      <c r="W59" s="8">
        <f>'Rateio Custos Fixos'!K58</f>
        <v>1.8394325326454932</v>
      </c>
      <c r="X59" s="8">
        <f>'Rateio Custos Fixos'!L58</f>
        <v>3.9791805808249445</v>
      </c>
      <c r="Y59" s="8">
        <f>'Rateio Custos Fixos'!M58</f>
        <v>1.3739434835678583</v>
      </c>
      <c r="Z59" s="8">
        <f>'Rateio Custos Fixos'!N58</f>
        <v>7.9024934662951072</v>
      </c>
      <c r="AA59" s="8">
        <f>'Rateio Custos Fixos'!O58</f>
        <v>5.6309159162617144</v>
      </c>
      <c r="AB59" s="8">
        <f>'Rateio Custos Fixos'!P58</f>
        <v>1.1261831832523428</v>
      </c>
      <c r="AC59" s="8">
        <f>'Rateio Custos Fixos'!Q58</f>
        <v>1.2025008636374099</v>
      </c>
      <c r="AD59" s="8">
        <f>'Rateio Custos Fixos'!R58</f>
        <v>0.75078878883489519</v>
      </c>
      <c r="AE59" s="8">
        <f>'Rateio Custos Fixos'!S58</f>
        <v>16.892747748785141</v>
      </c>
      <c r="AF59" s="8">
        <f>'Rateio Custos Fixos'!T58</f>
        <v>31.170122751663925</v>
      </c>
      <c r="AG59" s="8">
        <f>'Rateio Custos Fixos'!U58</f>
        <v>4.8801271274268192</v>
      </c>
      <c r="AH59" s="8">
        <f t="shared" si="17"/>
        <v>88.873675382879213</v>
      </c>
      <c r="AI59" s="8">
        <f t="shared" si="18"/>
        <v>796.53886560613705</v>
      </c>
      <c r="AJ59" s="8">
        <f t="shared" si="19"/>
        <v>15.930777312122741</v>
      </c>
    </row>
    <row r="60" spans="2:36" x14ac:dyDescent="0.3">
      <c r="B60" t="str">
        <f>'Lista de Compra'!B58</f>
        <v>FLANGE LISO ASTM A105 GR WPB B16.5 300 LBS 1/2"</v>
      </c>
      <c r="C60" t="str">
        <f>'Lista de Compra'!C58</f>
        <v>7307.93.54</v>
      </c>
      <c r="D60" s="1">
        <f>'Lista de Compra'!I58</f>
        <v>300</v>
      </c>
      <c r="E60" s="70">
        <f>'Lista de Compra'!L58</f>
        <v>2.8787913682319605E-3</v>
      </c>
      <c r="F60" s="7">
        <f>'Lista de Compra'!J58</f>
        <v>1.25</v>
      </c>
      <c r="G60" s="7">
        <f t="shared" si="14"/>
        <v>375</v>
      </c>
      <c r="H60" s="8">
        <f t="shared" si="12"/>
        <v>1927.4999999999998</v>
      </c>
      <c r="I60" s="71">
        <f>'Rateio Custos Fixos'!E59</f>
        <v>75.752429699914757</v>
      </c>
      <c r="J60" s="8">
        <f t="shared" si="3"/>
        <v>2003.2524296999145</v>
      </c>
      <c r="K60" s="8">
        <f t="shared" si="4"/>
        <v>2255.6622358421037</v>
      </c>
      <c r="L60" s="8">
        <f t="shared" si="15"/>
        <v>252.40980614218924</v>
      </c>
      <c r="M60" s="8">
        <f t="shared" si="20"/>
        <v>82.331671608236775</v>
      </c>
      <c r="N60" s="8">
        <f t="shared" si="20"/>
        <v>47.368906952684178</v>
      </c>
      <c r="O60" s="8">
        <f t="shared" si="20"/>
        <v>217.671405758763</v>
      </c>
      <c r="P60" s="8">
        <f t="shared" si="20"/>
        <v>135.33973415052623</v>
      </c>
      <c r="Q60" s="8">
        <f t="shared" si="13"/>
        <v>735.12152461239953</v>
      </c>
      <c r="R60" s="8">
        <f>'Rateio Custos Fixos'!F59</f>
        <v>1.0075769788811861</v>
      </c>
      <c r="S60" s="8">
        <f>'Rateio Custos Fixos'!G59</f>
        <v>3.1666705050551567</v>
      </c>
      <c r="T60" s="8">
        <f>'Rateio Custos Fixos'!H59</f>
        <v>4.3181870523479411</v>
      </c>
      <c r="U60" s="8">
        <f>'Rateio Custos Fixos'!I59</f>
        <v>0.28787913682319605</v>
      </c>
      <c r="V60" s="8">
        <f>'Rateio Custos Fixos'!J59</f>
        <v>0.51818244628175292</v>
      </c>
      <c r="W60" s="8">
        <f>'Rateio Custos Fixos'!K59</f>
        <v>1.4106077704336606</v>
      </c>
      <c r="X60" s="8">
        <f>'Rateio Custos Fixos'!L59</f>
        <v>3.0515188503258779</v>
      </c>
      <c r="Y60" s="8">
        <f>'Rateio Custos Fixos'!M59</f>
        <v>1.0536376407728976</v>
      </c>
      <c r="Z60" s="8">
        <f>'Rateio Custos Fixos'!N59</f>
        <v>6.0601943759931807</v>
      </c>
      <c r="AA60" s="8">
        <f>'Rateio Custos Fixos'!O59</f>
        <v>4.3181870523479411</v>
      </c>
      <c r="AB60" s="8">
        <f>'Rateio Custos Fixos'!P59</f>
        <v>0.86363741046958808</v>
      </c>
      <c r="AC60" s="8">
        <f>'Rateio Custos Fixos'!Q59</f>
        <v>0.92216323898574382</v>
      </c>
      <c r="AD60" s="8">
        <f>'Rateio Custos Fixos'!R59</f>
        <v>0.57575827364639209</v>
      </c>
      <c r="AE60" s="8">
        <f>'Rateio Custos Fixos'!S59</f>
        <v>12.954561157043821</v>
      </c>
      <c r="AF60" s="8">
        <f>'Rateio Custos Fixos'!T59</f>
        <v>23.903468367840436</v>
      </c>
      <c r="AG60" s="8">
        <f>'Rateio Custos Fixos'!U59</f>
        <v>3.7424287787015484</v>
      </c>
      <c r="AH60" s="8">
        <f t="shared" si="17"/>
        <v>68.154659035950331</v>
      </c>
      <c r="AI60" s="8">
        <f t="shared" si="18"/>
        <v>2806.5286133482641</v>
      </c>
      <c r="AJ60" s="8">
        <f t="shared" si="19"/>
        <v>9.3550953778275474</v>
      </c>
    </row>
    <row r="61" spans="2:36" x14ac:dyDescent="0.3">
      <c r="B61" s="51"/>
    </row>
    <row r="62" spans="2:36" x14ac:dyDescent="0.3">
      <c r="B62" s="51"/>
    </row>
    <row r="63" spans="2:36" x14ac:dyDescent="0.3">
      <c r="B63" s="51"/>
    </row>
    <row r="64" spans="2:36" x14ac:dyDescent="0.3">
      <c r="B64" s="51"/>
    </row>
    <row r="65" spans="2:2" x14ac:dyDescent="0.3">
      <c r="B65" s="51"/>
    </row>
    <row r="66" spans="2:2" x14ac:dyDescent="0.3">
      <c r="B66" s="51"/>
    </row>
  </sheetData>
  <autoFilter ref="A4:AJ6" xr:uid="{5657F730-3338-4C15-B194-26A8EB2D236B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1A8FE-AE3F-4721-8745-DDAAECFC927C}">
  <dimension ref="A2:V68"/>
  <sheetViews>
    <sheetView zoomScale="110" zoomScaleNormal="110" workbookViewId="0">
      <selection activeCell="B5" sqref="B5:B59"/>
    </sheetView>
  </sheetViews>
  <sheetFormatPr defaultRowHeight="14.4" x14ac:dyDescent="0.3"/>
  <cols>
    <col min="1" max="1" width="10.5546875" bestFit="1" customWidth="1"/>
    <col min="2" max="2" width="12.5546875" customWidth="1"/>
    <col min="3" max="3" width="23" customWidth="1"/>
    <col min="4" max="4" width="9.109375" customWidth="1"/>
    <col min="5" max="5" width="16.33203125" customWidth="1"/>
    <col min="6" max="21" width="15.6640625" customWidth="1"/>
    <col min="22" max="22" width="17.88671875" bestFit="1" customWidth="1"/>
  </cols>
  <sheetData>
    <row r="2" spans="1:22" x14ac:dyDescent="0.3">
      <c r="N2" s="169">
        <f>SUM(N5:N59)</f>
        <v>2105.1175999999991</v>
      </c>
    </row>
    <row r="3" spans="1:22" s="1" customFormat="1" ht="43.2" x14ac:dyDescent="0.3">
      <c r="A3" s="9" t="s">
        <v>40</v>
      </c>
      <c r="B3" s="9" t="s">
        <v>46</v>
      </c>
      <c r="C3" s="9" t="str">
        <f>'Lista de Compra'!K2</f>
        <v>% Rateio Quantidade</v>
      </c>
      <c r="E3" s="4" t="s">
        <v>20</v>
      </c>
      <c r="F3" s="4" t="s">
        <v>66</v>
      </c>
      <c r="G3" s="4" t="s">
        <v>67</v>
      </c>
      <c r="H3" s="4" t="s">
        <v>68</v>
      </c>
      <c r="I3" s="4" t="s">
        <v>69</v>
      </c>
      <c r="J3" s="4" t="s">
        <v>70</v>
      </c>
      <c r="K3" s="4" t="s">
        <v>71</v>
      </c>
      <c r="L3" s="4" t="s">
        <v>72</v>
      </c>
      <c r="M3" s="4" t="s">
        <v>88</v>
      </c>
      <c r="N3" s="4" t="s">
        <v>74</v>
      </c>
      <c r="O3" s="4" t="s">
        <v>75</v>
      </c>
      <c r="P3" s="4" t="s">
        <v>89</v>
      </c>
      <c r="Q3" s="4" t="s">
        <v>90</v>
      </c>
      <c r="R3" s="4" t="s">
        <v>78</v>
      </c>
      <c r="S3" s="4" t="s">
        <v>79</v>
      </c>
      <c r="T3" s="4" t="s">
        <v>181</v>
      </c>
      <c r="U3" s="4" t="s">
        <v>80</v>
      </c>
      <c r="V3" s="65"/>
    </row>
    <row r="4" spans="1:22" x14ac:dyDescent="0.3">
      <c r="B4">
        <f>SUM(B5:B64)</f>
        <v>11873</v>
      </c>
      <c r="C4" s="3">
        <f>SUM(C5:C64)</f>
        <v>0.99999999999999967</v>
      </c>
      <c r="E4" s="5">
        <f>G67</f>
        <v>26313.969999999998</v>
      </c>
      <c r="F4" s="5">
        <v>350</v>
      </c>
      <c r="G4" s="5">
        <v>1100</v>
      </c>
      <c r="H4" s="5">
        <v>1500</v>
      </c>
      <c r="I4" s="5">
        <v>100</v>
      </c>
      <c r="J4" s="5">
        <v>180</v>
      </c>
      <c r="K4" s="5">
        <v>490</v>
      </c>
      <c r="L4" s="5">
        <v>1060</v>
      </c>
      <c r="M4" s="5">
        <v>366</v>
      </c>
      <c r="N4" s="50">
        <v>0.08</v>
      </c>
      <c r="O4" s="5">
        <v>1500</v>
      </c>
      <c r="P4" s="5">
        <v>300</v>
      </c>
      <c r="Q4" s="5">
        <v>320.33</v>
      </c>
      <c r="R4" s="5">
        <v>200</v>
      </c>
      <c r="S4" s="5">
        <v>4500</v>
      </c>
      <c r="T4" s="5">
        <v>8303.2999999999993</v>
      </c>
      <c r="U4" s="5">
        <v>1300</v>
      </c>
      <c r="V4" s="8">
        <f t="shared" ref="V4:V35" si="0">SUM(F4:U4)</f>
        <v>21569.71</v>
      </c>
    </row>
    <row r="5" spans="1:22" x14ac:dyDescent="0.3">
      <c r="A5" s="1">
        <f>'Lista de Compra'!A4</f>
        <v>1</v>
      </c>
      <c r="B5">
        <f>'Lista de Compra'!I4</f>
        <v>200</v>
      </c>
      <c r="C5" s="44">
        <f>'Lista de Compra'!L4</f>
        <v>2.3951544183689914E-3</v>
      </c>
      <c r="E5" s="6">
        <f t="shared" ref="E5:E59" si="1">E$4*$C5</f>
        <v>63.02602151032908</v>
      </c>
      <c r="F5" s="6">
        <f t="shared" ref="F5:G59" si="2">F$4*$C5</f>
        <v>0.83830404642914702</v>
      </c>
      <c r="G5" s="6">
        <f t="shared" ref="G5:G17" si="3">G$4*$C5</f>
        <v>2.6346698602058907</v>
      </c>
      <c r="H5" s="6">
        <f t="shared" ref="H5:U18" si="4">H$4*$C5</f>
        <v>3.5927316275534871</v>
      </c>
      <c r="I5" s="6">
        <f t="shared" si="4"/>
        <v>0.23951544183689913</v>
      </c>
      <c r="J5" s="6">
        <f t="shared" si="4"/>
        <v>0.43112779530641843</v>
      </c>
      <c r="K5" s="6">
        <f t="shared" si="4"/>
        <v>1.1736256650008057</v>
      </c>
      <c r="L5" s="6">
        <f t="shared" si="4"/>
        <v>2.5388636834711309</v>
      </c>
      <c r="M5" s="6">
        <f t="shared" si="4"/>
        <v>0.87662651712305084</v>
      </c>
      <c r="N5" s="6">
        <f t="shared" ref="N5:N12" si="5">$N$4*E5</f>
        <v>5.0420817208263262</v>
      </c>
      <c r="O5" s="6">
        <f t="shared" si="4"/>
        <v>3.5927316275534871</v>
      </c>
      <c r="P5" s="6">
        <f t="shared" si="4"/>
        <v>0.71854632551069741</v>
      </c>
      <c r="Q5" s="6">
        <f t="shared" si="4"/>
        <v>0.76723981483613901</v>
      </c>
      <c r="R5" s="6">
        <f t="shared" si="4"/>
        <v>0.47903088367379826</v>
      </c>
      <c r="S5" s="6">
        <f t="shared" si="4"/>
        <v>10.778194882660461</v>
      </c>
      <c r="T5" s="169">
        <f>T$4*C5</f>
        <v>19.887685682043244</v>
      </c>
      <c r="U5" s="6">
        <f t="shared" si="4"/>
        <v>3.1137007438796886</v>
      </c>
      <c r="V5" s="8">
        <f t="shared" si="0"/>
        <v>56.704676317910668</v>
      </c>
    </row>
    <row r="6" spans="1:22" x14ac:dyDescent="0.3">
      <c r="A6" s="1">
        <f>'Lista de Compra'!A5</f>
        <v>2</v>
      </c>
      <c r="B6">
        <f>'Lista de Compra'!I5</f>
        <v>50</v>
      </c>
      <c r="C6" s="44">
        <f>'Lista de Compra'!L5</f>
        <v>4.237580894037446E-3</v>
      </c>
      <c r="E6" s="6">
        <f t="shared" si="1"/>
        <v>111.50757651827452</v>
      </c>
      <c r="F6" s="6">
        <f t="shared" si="2"/>
        <v>1.483153312913106</v>
      </c>
      <c r="G6" s="6">
        <f t="shared" si="3"/>
        <v>4.6613389834411905</v>
      </c>
      <c r="H6" s="6">
        <f t="shared" si="4"/>
        <v>6.3563713410561693</v>
      </c>
      <c r="I6" s="6">
        <f t="shared" si="4"/>
        <v>0.4237580894037446</v>
      </c>
      <c r="J6" s="6">
        <f t="shared" si="4"/>
        <v>0.76276456092674028</v>
      </c>
      <c r="K6" s="6">
        <f t="shared" si="4"/>
        <v>2.0764146380783486</v>
      </c>
      <c r="L6" s="6">
        <f t="shared" si="4"/>
        <v>4.4918357476796924</v>
      </c>
      <c r="M6" s="6">
        <f t="shared" si="4"/>
        <v>1.5509546072177052</v>
      </c>
      <c r="N6" s="6">
        <f t="shared" si="5"/>
        <v>8.9206061214619616</v>
      </c>
      <c r="O6" s="6">
        <f t="shared" si="4"/>
        <v>6.3563713410561693</v>
      </c>
      <c r="P6" s="6">
        <f t="shared" si="4"/>
        <v>1.2712742682112337</v>
      </c>
      <c r="Q6" s="6">
        <f t="shared" si="4"/>
        <v>1.3574242877870151</v>
      </c>
      <c r="R6" s="6">
        <f t="shared" si="4"/>
        <v>0.8475161788074892</v>
      </c>
      <c r="S6" s="6">
        <f t="shared" si="4"/>
        <v>19.069114023168506</v>
      </c>
      <c r="T6" s="169">
        <f t="shared" ref="T6:T59" si="6">T$4*C6</f>
        <v>35.185905437461123</v>
      </c>
      <c r="U6" s="6">
        <f t="shared" si="4"/>
        <v>5.5088551622486799</v>
      </c>
      <c r="V6" s="8">
        <f t="shared" si="0"/>
        <v>100.32365810091888</v>
      </c>
    </row>
    <row r="7" spans="1:22" x14ac:dyDescent="0.3">
      <c r="A7" s="1">
        <f>'Lista de Compra'!A6</f>
        <v>3</v>
      </c>
      <c r="B7">
        <f>'Lista de Compra'!I6</f>
        <v>800</v>
      </c>
      <c r="C7" s="44">
        <f>'Lista de Compra'!L6</f>
        <v>3.6157619584993427E-3</v>
      </c>
      <c r="E7" s="6">
        <f t="shared" si="1"/>
        <v>95.145051703092946</v>
      </c>
      <c r="F7" s="6">
        <f t="shared" si="2"/>
        <v>1.2655166854747699</v>
      </c>
      <c r="G7" s="6">
        <f t="shared" si="3"/>
        <v>3.977338154349277</v>
      </c>
      <c r="H7" s="6">
        <f t="shared" si="4"/>
        <v>5.4236429377490145</v>
      </c>
      <c r="I7" s="6">
        <f t="shared" si="4"/>
        <v>0.36157619584993428</v>
      </c>
      <c r="J7" s="6">
        <f t="shared" si="4"/>
        <v>0.65083715252988172</v>
      </c>
      <c r="K7" s="6">
        <f t="shared" si="4"/>
        <v>1.771723359664678</v>
      </c>
      <c r="L7" s="6">
        <f t="shared" si="4"/>
        <v>3.8327076760093033</v>
      </c>
      <c r="M7" s="6">
        <f t="shared" si="4"/>
        <v>1.3233688768107594</v>
      </c>
      <c r="N7" s="6">
        <f t="shared" si="5"/>
        <v>7.6116041362474363</v>
      </c>
      <c r="O7" s="6">
        <f t="shared" si="4"/>
        <v>5.4236429377490145</v>
      </c>
      <c r="P7" s="6">
        <f t="shared" si="4"/>
        <v>1.0847285875498027</v>
      </c>
      <c r="Q7" s="6">
        <f t="shared" si="4"/>
        <v>1.1582370281660943</v>
      </c>
      <c r="R7" s="6">
        <f t="shared" si="4"/>
        <v>0.72315239169986856</v>
      </c>
      <c r="S7" s="6">
        <f t="shared" si="4"/>
        <v>16.270928813247043</v>
      </c>
      <c r="T7" s="169">
        <f t="shared" si="6"/>
        <v>30.022756270007591</v>
      </c>
      <c r="U7" s="6">
        <f t="shared" si="4"/>
        <v>4.7004905460491457</v>
      </c>
      <c r="V7" s="8">
        <f t="shared" si="0"/>
        <v>85.602251749153623</v>
      </c>
    </row>
    <row r="8" spans="1:22" x14ac:dyDescent="0.3">
      <c r="A8" s="1">
        <f>'Lista de Compra'!A7</f>
        <v>4</v>
      </c>
      <c r="B8">
        <f>'Lista de Compra'!I7</f>
        <v>50</v>
      </c>
      <c r="C8" s="44">
        <f>'Lista de Compra'!L7</f>
        <v>6.2642500172727465E-3</v>
      </c>
      <c r="E8" s="6">
        <f t="shared" si="1"/>
        <v>164.83728702701453</v>
      </c>
      <c r="F8" s="6">
        <f t="shared" si="2"/>
        <v>2.1924875060454614</v>
      </c>
      <c r="G8" s="6">
        <f t="shared" si="3"/>
        <v>6.890675019000021</v>
      </c>
      <c r="H8" s="6">
        <f t="shared" si="4"/>
        <v>9.3963750259091192</v>
      </c>
      <c r="I8" s="6">
        <f t="shared" si="4"/>
        <v>0.62642500172727467</v>
      </c>
      <c r="J8" s="6">
        <f t="shared" si="4"/>
        <v>1.1275650031090945</v>
      </c>
      <c r="K8" s="6">
        <f t="shared" si="4"/>
        <v>3.0694825084636457</v>
      </c>
      <c r="L8" s="6">
        <f t="shared" si="4"/>
        <v>6.6401050183091108</v>
      </c>
      <c r="M8" s="6">
        <f t="shared" si="4"/>
        <v>2.2927155063218252</v>
      </c>
      <c r="N8" s="6">
        <f t="shared" si="5"/>
        <v>13.186982962161162</v>
      </c>
      <c r="O8" s="6">
        <f t="shared" si="4"/>
        <v>9.3963750259091192</v>
      </c>
      <c r="P8" s="6">
        <f t="shared" si="4"/>
        <v>1.8792750051818239</v>
      </c>
      <c r="Q8" s="6">
        <f t="shared" si="4"/>
        <v>2.0066272080329788</v>
      </c>
      <c r="R8" s="6">
        <f t="shared" si="4"/>
        <v>1.2528500034545493</v>
      </c>
      <c r="S8" s="6">
        <f t="shared" si="4"/>
        <v>28.189125077727358</v>
      </c>
      <c r="T8" s="169">
        <f t="shared" si="6"/>
        <v>52.013947168420792</v>
      </c>
      <c r="U8" s="6">
        <f t="shared" si="4"/>
        <v>8.1435250224545701</v>
      </c>
      <c r="V8" s="8">
        <f t="shared" si="0"/>
        <v>148.30453806222792</v>
      </c>
    </row>
    <row r="9" spans="1:22" x14ac:dyDescent="0.3">
      <c r="A9" s="1">
        <f>'Lista de Compra'!A8</f>
        <v>5</v>
      </c>
      <c r="B9">
        <f>'Lista de Compra'!I8</f>
        <v>30</v>
      </c>
      <c r="C9" s="44">
        <f>'Lista de Compra'!L8</f>
        <v>3.1321250086363732E-3</v>
      </c>
      <c r="E9" s="6">
        <f t="shared" si="1"/>
        <v>82.418643513507263</v>
      </c>
      <c r="F9" s="6">
        <f t="shared" si="2"/>
        <v>1.0962437530227307</v>
      </c>
      <c r="G9" s="6">
        <f t="shared" si="3"/>
        <v>3.4453375095000105</v>
      </c>
      <c r="H9" s="6">
        <f t="shared" si="4"/>
        <v>4.6981875129545596</v>
      </c>
      <c r="I9" s="6">
        <f t="shared" si="4"/>
        <v>0.31321250086363733</v>
      </c>
      <c r="J9" s="6">
        <f t="shared" si="4"/>
        <v>0.56378250155454723</v>
      </c>
      <c r="K9" s="6">
        <f t="shared" si="4"/>
        <v>1.5347412542318228</v>
      </c>
      <c r="L9" s="6">
        <f t="shared" si="4"/>
        <v>3.3200525091545554</v>
      </c>
      <c r="M9" s="6">
        <f t="shared" si="4"/>
        <v>1.1463577531609126</v>
      </c>
      <c r="N9" s="6">
        <f t="shared" si="5"/>
        <v>6.5934914810805809</v>
      </c>
      <c r="O9" s="6">
        <f t="shared" si="4"/>
        <v>4.6981875129545596</v>
      </c>
      <c r="P9" s="6">
        <f t="shared" si="4"/>
        <v>0.93963750259091194</v>
      </c>
      <c r="Q9" s="6">
        <f t="shared" si="4"/>
        <v>1.0033136040164894</v>
      </c>
      <c r="R9" s="6">
        <f t="shared" si="4"/>
        <v>0.62642500172727467</v>
      </c>
      <c r="S9" s="6">
        <f t="shared" si="4"/>
        <v>14.094562538863679</v>
      </c>
      <c r="T9" s="169">
        <f t="shared" si="6"/>
        <v>26.006973584210396</v>
      </c>
      <c r="U9" s="6">
        <f t="shared" si="4"/>
        <v>4.0717625112272851</v>
      </c>
      <c r="V9" s="8">
        <f t="shared" si="0"/>
        <v>74.15226903111396</v>
      </c>
    </row>
    <row r="10" spans="1:22" x14ac:dyDescent="0.3">
      <c r="A10" s="1">
        <f>'Lista de Compra'!A9</f>
        <v>6</v>
      </c>
      <c r="B10">
        <f>'Lista de Compra'!I9</f>
        <v>1500</v>
      </c>
      <c r="C10" s="44">
        <f>'Lista de Compra'!L9</f>
        <v>5.0436424771423943E-3</v>
      </c>
      <c r="E10" s="6">
        <f t="shared" si="1"/>
        <v>132.71825683425064</v>
      </c>
      <c r="F10" s="6">
        <f t="shared" si="2"/>
        <v>1.7652748669998379</v>
      </c>
      <c r="G10" s="6">
        <f t="shared" si="3"/>
        <v>5.5480067248566334</v>
      </c>
      <c r="H10" s="6">
        <f t="shared" si="4"/>
        <v>7.5654637157135918</v>
      </c>
      <c r="I10" s="6">
        <f t="shared" si="4"/>
        <v>0.50436424771423938</v>
      </c>
      <c r="J10" s="6">
        <f t="shared" si="4"/>
        <v>0.90785564588563095</v>
      </c>
      <c r="K10" s="6">
        <f t="shared" si="4"/>
        <v>2.4713848137997734</v>
      </c>
      <c r="L10" s="6">
        <f t="shared" si="4"/>
        <v>5.3462610257709375</v>
      </c>
      <c r="M10" s="6">
        <f t="shared" si="4"/>
        <v>1.8459731466341163</v>
      </c>
      <c r="N10" s="6">
        <f t="shared" si="5"/>
        <v>10.617460546740052</v>
      </c>
      <c r="O10" s="6">
        <f t="shared" si="4"/>
        <v>7.5654637157135918</v>
      </c>
      <c r="P10" s="6">
        <f t="shared" si="4"/>
        <v>1.5130927431427184</v>
      </c>
      <c r="Q10" s="6">
        <f t="shared" si="4"/>
        <v>1.615629994703023</v>
      </c>
      <c r="R10" s="6">
        <f t="shared" si="4"/>
        <v>1.0087284954284788</v>
      </c>
      <c r="S10" s="6">
        <f t="shared" si="4"/>
        <v>22.696391147140773</v>
      </c>
      <c r="T10" s="169">
        <f t="shared" si="6"/>
        <v>41.878876580456442</v>
      </c>
      <c r="U10" s="6">
        <f t="shared" si="4"/>
        <v>6.5567352202851126</v>
      </c>
      <c r="V10" s="8">
        <f t="shared" si="0"/>
        <v>119.40696263098494</v>
      </c>
    </row>
    <row r="11" spans="1:22" x14ac:dyDescent="0.3">
      <c r="A11" s="1">
        <f>'Lista de Compra'!A10</f>
        <v>7</v>
      </c>
      <c r="B11">
        <f>'Lista de Compra'!I10</f>
        <v>400</v>
      </c>
      <c r="C11" s="44">
        <f>'Lista de Compra'!L10</f>
        <v>7.6000092121323755E-3</v>
      </c>
      <c r="E11" s="6">
        <f t="shared" si="1"/>
        <v>199.98641440777496</v>
      </c>
      <c r="F11" s="6">
        <f t="shared" si="2"/>
        <v>2.6600032242463314</v>
      </c>
      <c r="G11" s="6">
        <f t="shared" si="3"/>
        <v>8.3600101333456127</v>
      </c>
      <c r="H11" s="6">
        <f t="shared" si="4"/>
        <v>11.400013818198563</v>
      </c>
      <c r="I11" s="6">
        <f t="shared" si="4"/>
        <v>0.76000092121323759</v>
      </c>
      <c r="J11" s="6">
        <f t="shared" si="4"/>
        <v>1.3680016581838277</v>
      </c>
      <c r="K11" s="6">
        <f t="shared" si="4"/>
        <v>3.7240045139448639</v>
      </c>
      <c r="L11" s="6">
        <f t="shared" si="4"/>
        <v>8.0560097648603186</v>
      </c>
      <c r="M11" s="6">
        <f t="shared" si="4"/>
        <v>2.7816033716404496</v>
      </c>
      <c r="N11" s="6">
        <f t="shared" si="5"/>
        <v>15.998913152621997</v>
      </c>
      <c r="O11" s="6">
        <f t="shared" si="4"/>
        <v>11.400013818198563</v>
      </c>
      <c r="P11" s="6">
        <f t="shared" si="4"/>
        <v>2.2800027636397124</v>
      </c>
      <c r="Q11" s="6">
        <f t="shared" si="4"/>
        <v>2.4345109509223639</v>
      </c>
      <c r="R11" s="6">
        <f t="shared" si="4"/>
        <v>1.5200018424264752</v>
      </c>
      <c r="S11" s="6">
        <f t="shared" si="4"/>
        <v>34.200041454595691</v>
      </c>
      <c r="T11" s="169">
        <f t="shared" si="6"/>
        <v>63.105156491098747</v>
      </c>
      <c r="U11" s="6">
        <f t="shared" si="4"/>
        <v>9.8800119757720886</v>
      </c>
      <c r="V11" s="8">
        <f t="shared" si="0"/>
        <v>179.92829985490883</v>
      </c>
    </row>
    <row r="12" spans="1:22" x14ac:dyDescent="0.3">
      <c r="A12" s="1">
        <f>'Lista de Compra'!A11</f>
        <v>8</v>
      </c>
      <c r="B12">
        <f>'Lista de Compra'!I11</f>
        <v>50</v>
      </c>
      <c r="C12" s="44">
        <f>'Lista de Compra'!L11</f>
        <v>7.6000092121323755E-3</v>
      </c>
      <c r="E12" s="6">
        <f t="shared" si="1"/>
        <v>199.98641440777496</v>
      </c>
      <c r="F12" s="6">
        <f t="shared" si="2"/>
        <v>2.6600032242463314</v>
      </c>
      <c r="G12" s="6">
        <f t="shared" si="3"/>
        <v>8.3600101333456127</v>
      </c>
      <c r="H12" s="6">
        <f t="shared" si="4"/>
        <v>11.400013818198563</v>
      </c>
      <c r="I12" s="6">
        <f t="shared" si="4"/>
        <v>0.76000092121323759</v>
      </c>
      <c r="J12" s="6">
        <f t="shared" si="4"/>
        <v>1.3680016581838277</v>
      </c>
      <c r="K12" s="6">
        <f t="shared" si="4"/>
        <v>3.7240045139448639</v>
      </c>
      <c r="L12" s="6">
        <f t="shared" si="4"/>
        <v>8.0560097648603186</v>
      </c>
      <c r="M12" s="6">
        <f t="shared" si="4"/>
        <v>2.7816033716404496</v>
      </c>
      <c r="N12" s="6">
        <f t="shared" si="5"/>
        <v>15.998913152621997</v>
      </c>
      <c r="O12" s="6">
        <f t="shared" si="4"/>
        <v>11.400013818198563</v>
      </c>
      <c r="P12" s="6">
        <f t="shared" si="4"/>
        <v>2.2800027636397124</v>
      </c>
      <c r="Q12" s="6">
        <f t="shared" si="4"/>
        <v>2.4345109509223639</v>
      </c>
      <c r="R12" s="6">
        <f t="shared" si="4"/>
        <v>1.5200018424264752</v>
      </c>
      <c r="S12" s="6">
        <f t="shared" si="4"/>
        <v>34.200041454595691</v>
      </c>
      <c r="T12" s="169">
        <f t="shared" si="6"/>
        <v>63.105156491098747</v>
      </c>
      <c r="U12" s="6">
        <f t="shared" si="4"/>
        <v>9.8800119757720886</v>
      </c>
      <c r="V12" s="8">
        <f t="shared" si="0"/>
        <v>179.92829985490883</v>
      </c>
    </row>
    <row r="13" spans="1:22" x14ac:dyDescent="0.3">
      <c r="A13" s="1">
        <f>'Lista de Compra'!A12</f>
        <v>9</v>
      </c>
      <c r="B13">
        <f>'Lista de Compra'!I12</f>
        <v>30</v>
      </c>
      <c r="C13" s="44">
        <f>'Lista de Compra'!L12</f>
        <v>1.227516639414108E-2</v>
      </c>
      <c r="E13" s="6">
        <f t="shared" si="1"/>
        <v>323.0083602404365</v>
      </c>
      <c r="F13" s="6">
        <f t="shared" si="2"/>
        <v>4.2963082379493782</v>
      </c>
      <c r="G13" s="6">
        <f t="shared" si="3"/>
        <v>13.502683033555188</v>
      </c>
      <c r="H13" s="6">
        <f t="shared" si="4"/>
        <v>18.412749591211618</v>
      </c>
      <c r="I13" s="6">
        <f t="shared" si="4"/>
        <v>1.2275166394141079</v>
      </c>
      <c r="J13" s="6">
        <f t="shared" si="4"/>
        <v>2.2095299509453943</v>
      </c>
      <c r="K13" s="6">
        <f t="shared" si="4"/>
        <v>6.0148315331291293</v>
      </c>
      <c r="L13" s="6">
        <f t="shared" si="4"/>
        <v>13.011676377789545</v>
      </c>
      <c r="M13" s="6">
        <f t="shared" si="4"/>
        <v>4.4927109002556351</v>
      </c>
      <c r="N13" s="6">
        <f t="shared" ref="N13:N59" si="7">$N$4*E13</f>
        <v>25.840668819234921</v>
      </c>
      <c r="O13" s="6">
        <f t="shared" si="4"/>
        <v>18.412749591211618</v>
      </c>
      <c r="P13" s="6">
        <f t="shared" si="4"/>
        <v>3.6825499182423238</v>
      </c>
      <c r="Q13" s="6">
        <f t="shared" si="4"/>
        <v>3.9321040510352119</v>
      </c>
      <c r="R13" s="6">
        <f t="shared" si="4"/>
        <v>2.4550332788282159</v>
      </c>
      <c r="S13" s="6">
        <f t="shared" si="4"/>
        <v>55.238248773634858</v>
      </c>
      <c r="T13" s="169">
        <f t="shared" si="6"/>
        <v>101.92438912047162</v>
      </c>
      <c r="U13" s="6">
        <f t="shared" si="4"/>
        <v>15.957716312383404</v>
      </c>
      <c r="V13" s="8">
        <f t="shared" si="0"/>
        <v>290.61146612929218</v>
      </c>
    </row>
    <row r="14" spans="1:22" x14ac:dyDescent="0.3">
      <c r="A14" s="1">
        <f>'Lista de Compra'!A13</f>
        <v>10</v>
      </c>
      <c r="B14">
        <f>'Lista de Compra'!I13</f>
        <v>150</v>
      </c>
      <c r="C14" s="44">
        <f>'Lista de Compra'!L13</f>
        <v>8.9127380760461502E-3</v>
      </c>
      <c r="E14" s="6">
        <f t="shared" si="1"/>
        <v>234.52952235093611</v>
      </c>
      <c r="F14" s="6">
        <f t="shared" si="2"/>
        <v>3.1194583266161526</v>
      </c>
      <c r="G14" s="6">
        <f t="shared" si="3"/>
        <v>9.8040118836507659</v>
      </c>
      <c r="H14" s="6">
        <f t="shared" si="4"/>
        <v>13.369107114069225</v>
      </c>
      <c r="I14" s="6">
        <f t="shared" si="4"/>
        <v>0.89127380760461505</v>
      </c>
      <c r="J14" s="6">
        <f t="shared" si="4"/>
        <v>1.604292853688307</v>
      </c>
      <c r="K14" s="6">
        <f t="shared" si="4"/>
        <v>4.3672416572626132</v>
      </c>
      <c r="L14" s="6">
        <f t="shared" si="4"/>
        <v>9.4475023606089188</v>
      </c>
      <c r="M14" s="6">
        <f t="shared" si="4"/>
        <v>3.262062135832891</v>
      </c>
      <c r="N14" s="6">
        <f t="shared" si="7"/>
        <v>18.762361788074887</v>
      </c>
      <c r="O14" s="6">
        <f t="shared" si="4"/>
        <v>13.369107114069225</v>
      </c>
      <c r="P14" s="6">
        <f t="shared" si="4"/>
        <v>2.6738214228138451</v>
      </c>
      <c r="Q14" s="6">
        <f t="shared" si="4"/>
        <v>2.855017387899863</v>
      </c>
      <c r="R14" s="6">
        <f t="shared" si="4"/>
        <v>1.7825476152092301</v>
      </c>
      <c r="S14" s="6">
        <f t="shared" si="4"/>
        <v>40.107321342207676</v>
      </c>
      <c r="T14" s="169">
        <f t="shared" si="6"/>
        <v>74.005138066833993</v>
      </c>
      <c r="U14" s="6">
        <f t="shared" si="4"/>
        <v>11.586559498859994</v>
      </c>
      <c r="V14" s="8">
        <f t="shared" si="0"/>
        <v>211.00682437530222</v>
      </c>
    </row>
    <row r="15" spans="1:22" x14ac:dyDescent="0.3">
      <c r="A15" s="1">
        <f>'Lista de Compra'!A14</f>
        <v>11</v>
      </c>
      <c r="B15">
        <f>'Lista de Compra'!I14</f>
        <v>200</v>
      </c>
      <c r="C15" s="44">
        <f>'Lista de Compra'!L14</f>
        <v>1.2505469703599635E-2</v>
      </c>
      <c r="E15" s="6">
        <f t="shared" si="1"/>
        <v>329.06855461642965</v>
      </c>
      <c r="F15" s="6">
        <f t="shared" si="2"/>
        <v>4.3769143962598722</v>
      </c>
      <c r="G15" s="6">
        <f t="shared" si="3"/>
        <v>13.756016673959598</v>
      </c>
      <c r="H15" s="6">
        <f t="shared" si="4"/>
        <v>18.758204555399452</v>
      </c>
      <c r="I15" s="6">
        <f t="shared" si="4"/>
        <v>1.2505469703599634</v>
      </c>
      <c r="J15" s="6">
        <f t="shared" si="4"/>
        <v>2.2509845466479343</v>
      </c>
      <c r="K15" s="6">
        <f t="shared" si="4"/>
        <v>6.1276801547638211</v>
      </c>
      <c r="L15" s="6">
        <f t="shared" si="4"/>
        <v>13.255797885815614</v>
      </c>
      <c r="M15" s="6">
        <f t="shared" si="4"/>
        <v>4.577001911517466</v>
      </c>
      <c r="N15" s="6">
        <f t="shared" si="7"/>
        <v>26.325484369314374</v>
      </c>
      <c r="O15" s="6">
        <f t="shared" si="4"/>
        <v>18.758204555399452</v>
      </c>
      <c r="P15" s="6">
        <f t="shared" si="4"/>
        <v>3.7516409110798907</v>
      </c>
      <c r="Q15" s="6">
        <f t="shared" si="4"/>
        <v>4.0058771101540707</v>
      </c>
      <c r="R15" s="6">
        <f t="shared" si="4"/>
        <v>2.5010939407199269</v>
      </c>
      <c r="S15" s="6">
        <f t="shared" si="4"/>
        <v>56.274613666198356</v>
      </c>
      <c r="T15" s="169">
        <f t="shared" si="6"/>
        <v>103.83666658989884</v>
      </c>
      <c r="U15" s="6">
        <f t="shared" si="4"/>
        <v>16.257110614679526</v>
      </c>
      <c r="V15" s="8">
        <f t="shared" si="0"/>
        <v>296.06383885216815</v>
      </c>
    </row>
    <row r="16" spans="1:22" x14ac:dyDescent="0.3">
      <c r="A16" s="1">
        <f>'Lista de Compra'!A15</f>
        <v>12</v>
      </c>
      <c r="B16">
        <f>'Lista de Compra'!I15</f>
        <v>60</v>
      </c>
      <c r="C16" s="44">
        <f>'Lista de Compra'!L15</f>
        <v>2.4550332788282159E-2</v>
      </c>
      <c r="E16" s="6">
        <f t="shared" si="1"/>
        <v>646.016720480873</v>
      </c>
      <c r="F16" s="6">
        <f t="shared" si="2"/>
        <v>8.5926164758987564</v>
      </c>
      <c r="G16" s="6">
        <f t="shared" si="3"/>
        <v>27.005366067110376</v>
      </c>
      <c r="H16" s="6">
        <f t="shared" si="4"/>
        <v>36.825499182423236</v>
      </c>
      <c r="I16" s="6">
        <f t="shared" si="4"/>
        <v>2.4550332788282159</v>
      </c>
      <c r="J16" s="6">
        <f t="shared" si="4"/>
        <v>4.4190599018907886</v>
      </c>
      <c r="K16" s="6">
        <f t="shared" si="4"/>
        <v>12.029663066258259</v>
      </c>
      <c r="L16" s="6">
        <f t="shared" si="4"/>
        <v>26.02335275557909</v>
      </c>
      <c r="M16" s="6">
        <f t="shared" si="4"/>
        <v>8.9854218005112703</v>
      </c>
      <c r="N16" s="6">
        <f t="shared" si="7"/>
        <v>51.681337638469842</v>
      </c>
      <c r="O16" s="6">
        <f t="shared" si="4"/>
        <v>36.825499182423236</v>
      </c>
      <c r="P16" s="6">
        <f t="shared" si="4"/>
        <v>7.3650998364846476</v>
      </c>
      <c r="Q16" s="6">
        <f t="shared" si="4"/>
        <v>7.8642081020704238</v>
      </c>
      <c r="R16" s="6">
        <f t="shared" si="4"/>
        <v>4.9100665576564317</v>
      </c>
      <c r="S16" s="6">
        <f t="shared" si="4"/>
        <v>110.47649754726972</v>
      </c>
      <c r="T16" s="169">
        <f t="shared" si="6"/>
        <v>203.84877824094323</v>
      </c>
      <c r="U16" s="6">
        <f t="shared" si="4"/>
        <v>31.915432624766808</v>
      </c>
      <c r="V16" s="8">
        <f t="shared" si="0"/>
        <v>581.22293225858436</v>
      </c>
    </row>
    <row r="17" spans="1:22" x14ac:dyDescent="0.3">
      <c r="A17" s="1">
        <f>'Lista de Compra'!A16</f>
        <v>13</v>
      </c>
      <c r="B17">
        <f>'Lista de Compra'!I16</f>
        <v>1300</v>
      </c>
      <c r="C17" s="44">
        <f>'Lista de Compra'!L16</f>
        <v>9.212132378342274E-4</v>
      </c>
      <c r="E17" s="6">
        <f t="shared" si="1"/>
        <v>24.240777503972723</v>
      </c>
      <c r="F17" s="6">
        <f t="shared" si="2"/>
        <v>0.32242463324197956</v>
      </c>
      <c r="G17" s="6">
        <f t="shared" si="3"/>
        <v>1.0133345616176501</v>
      </c>
      <c r="H17" s="6">
        <f t="shared" si="4"/>
        <v>1.3818198567513411</v>
      </c>
      <c r="I17" s="6">
        <f t="shared" si="4"/>
        <v>9.2121323783422734E-2</v>
      </c>
      <c r="J17" s="6">
        <f t="shared" si="4"/>
        <v>0.16581838281016092</v>
      </c>
      <c r="K17" s="6">
        <f t="shared" si="4"/>
        <v>0.4513944865387714</v>
      </c>
      <c r="L17" s="6">
        <f t="shared" si="4"/>
        <v>0.97648603210428109</v>
      </c>
      <c r="M17" s="6">
        <f t="shared" si="4"/>
        <v>0.33716404504732722</v>
      </c>
      <c r="N17" s="6">
        <f t="shared" si="7"/>
        <v>1.9392622003178179</v>
      </c>
      <c r="O17" s="6">
        <f t="shared" si="4"/>
        <v>1.3818198567513411</v>
      </c>
      <c r="P17" s="6">
        <f t="shared" si="4"/>
        <v>0.27636397135026824</v>
      </c>
      <c r="Q17" s="6">
        <f t="shared" si="4"/>
        <v>0.29509223647543803</v>
      </c>
      <c r="R17" s="6">
        <f t="shared" si="4"/>
        <v>0.18424264756684547</v>
      </c>
      <c r="S17" s="6">
        <f t="shared" si="4"/>
        <v>4.1454595702540233</v>
      </c>
      <c r="T17" s="169">
        <f t="shared" si="6"/>
        <v>7.6491098777089395</v>
      </c>
      <c r="U17" s="6">
        <f t="shared" si="4"/>
        <v>1.1975772091844956</v>
      </c>
      <c r="V17" s="8">
        <f t="shared" si="0"/>
        <v>21.809490891504105</v>
      </c>
    </row>
    <row r="18" spans="1:22" x14ac:dyDescent="0.3">
      <c r="A18" s="1">
        <f>'Lista de Compra'!A17</f>
        <v>14</v>
      </c>
      <c r="B18">
        <f>'Lista de Compra'!I17</f>
        <v>1700</v>
      </c>
      <c r="C18" s="44">
        <f>'Lista de Compra'!L17</f>
        <v>1.450910849588908E-3</v>
      </c>
      <c r="E18" s="6">
        <f t="shared" si="1"/>
        <v>38.179224568757036</v>
      </c>
      <c r="F18" s="6">
        <f t="shared" si="2"/>
        <v>0.50781879735611779</v>
      </c>
      <c r="G18" s="6">
        <f t="shared" si="2"/>
        <v>1.5960019345477989</v>
      </c>
      <c r="H18" s="6">
        <f t="shared" si="4"/>
        <v>2.1763662743833621</v>
      </c>
      <c r="I18" s="6">
        <f t="shared" si="4"/>
        <v>0.14509108495889081</v>
      </c>
      <c r="J18" s="6">
        <f t="shared" si="4"/>
        <v>0.26116395292600347</v>
      </c>
      <c r="K18" s="6">
        <f t="shared" ref="H18:U39" si="8">K$4*$C18</f>
        <v>0.71094631629856497</v>
      </c>
      <c r="L18" s="6">
        <f t="shared" si="8"/>
        <v>1.5379655005642425</v>
      </c>
      <c r="M18" s="6">
        <f t="shared" si="8"/>
        <v>0.5310333709495404</v>
      </c>
      <c r="N18" s="6">
        <f t="shared" si="7"/>
        <v>3.0543379655005629</v>
      </c>
      <c r="O18" s="6">
        <f t="shared" si="8"/>
        <v>2.1763662743833621</v>
      </c>
      <c r="P18" s="6">
        <f t="shared" si="8"/>
        <v>0.4352732548766724</v>
      </c>
      <c r="Q18" s="6">
        <f t="shared" si="8"/>
        <v>0.46477027244881491</v>
      </c>
      <c r="R18" s="6">
        <f t="shared" si="8"/>
        <v>0.29018216991778162</v>
      </c>
      <c r="S18" s="6">
        <f t="shared" si="8"/>
        <v>6.5290988231500862</v>
      </c>
      <c r="T18" s="169">
        <f t="shared" si="6"/>
        <v>12.047348057391579</v>
      </c>
      <c r="U18" s="6">
        <f t="shared" si="8"/>
        <v>1.8861841044655805</v>
      </c>
      <c r="V18" s="8">
        <f t="shared" si="0"/>
        <v>34.349948154118955</v>
      </c>
    </row>
    <row r="19" spans="1:22" x14ac:dyDescent="0.3">
      <c r="A19" s="1">
        <f>'Lista de Compra'!A18</f>
        <v>15</v>
      </c>
      <c r="B19">
        <f>'Lista de Compra'!I18</f>
        <v>220</v>
      </c>
      <c r="C19" s="44">
        <f>'Lista de Compra'!L18</f>
        <v>6.9781902765942722E-3</v>
      </c>
      <c r="E19" s="6">
        <f t="shared" si="1"/>
        <v>183.62388959259337</v>
      </c>
      <c r="F19" s="6">
        <f t="shared" si="2"/>
        <v>2.4423665968079953</v>
      </c>
      <c r="G19" s="6">
        <f t="shared" si="2"/>
        <v>7.6760093042536992</v>
      </c>
      <c r="H19" s="6">
        <f t="shared" si="8"/>
        <v>10.467285414891409</v>
      </c>
      <c r="I19" s="6">
        <f t="shared" si="8"/>
        <v>0.69781902765942727</v>
      </c>
      <c r="J19" s="6">
        <f t="shared" si="8"/>
        <v>1.256074249786969</v>
      </c>
      <c r="K19" s="6">
        <f t="shared" si="8"/>
        <v>3.4193132355311935</v>
      </c>
      <c r="L19" s="6">
        <f t="shared" si="8"/>
        <v>7.3968816931899282</v>
      </c>
      <c r="M19" s="6">
        <f t="shared" si="8"/>
        <v>2.5540176412335036</v>
      </c>
      <c r="N19" s="6">
        <f t="shared" si="7"/>
        <v>14.68991116740747</v>
      </c>
      <c r="O19" s="6">
        <f t="shared" si="8"/>
        <v>10.467285414891409</v>
      </c>
      <c r="P19" s="6">
        <f t="shared" si="8"/>
        <v>2.0934570829782815</v>
      </c>
      <c r="Q19" s="6">
        <f t="shared" si="8"/>
        <v>2.2353236913014429</v>
      </c>
      <c r="R19" s="6">
        <f t="shared" si="8"/>
        <v>1.3956380553188545</v>
      </c>
      <c r="S19" s="6">
        <f t="shared" si="8"/>
        <v>31.401856244674224</v>
      </c>
      <c r="T19" s="169">
        <f t="shared" si="6"/>
        <v>57.942007323645214</v>
      </c>
      <c r="U19" s="6">
        <f t="shared" si="8"/>
        <v>9.0716473595725535</v>
      </c>
      <c r="V19" s="8">
        <f t="shared" si="0"/>
        <v>165.20689350314356</v>
      </c>
    </row>
    <row r="20" spans="1:22" x14ac:dyDescent="0.3">
      <c r="A20" s="1">
        <f>'Lista de Compra'!A19</f>
        <v>16</v>
      </c>
      <c r="B20">
        <f>'Lista de Compra'!I19</f>
        <v>210</v>
      </c>
      <c r="C20" s="44">
        <f>'Lista de Compra'!L19</f>
        <v>1.1215771170631718E-2</v>
      </c>
      <c r="E20" s="6">
        <f t="shared" si="1"/>
        <v>295.1314661108679</v>
      </c>
      <c r="F20" s="6">
        <f t="shared" si="2"/>
        <v>3.9255199097211015</v>
      </c>
      <c r="G20" s="6">
        <f t="shared" si="2"/>
        <v>12.337348287694891</v>
      </c>
      <c r="H20" s="6">
        <f t="shared" si="8"/>
        <v>16.823656755947578</v>
      </c>
      <c r="I20" s="6">
        <f t="shared" si="8"/>
        <v>1.1215771170631719</v>
      </c>
      <c r="J20" s="6">
        <f t="shared" si="8"/>
        <v>2.0188388107137092</v>
      </c>
      <c r="K20" s="6">
        <f t="shared" si="8"/>
        <v>5.4957278736095416</v>
      </c>
      <c r="L20" s="6">
        <f t="shared" si="8"/>
        <v>11.888717440869621</v>
      </c>
      <c r="M20" s="6">
        <f t="shared" si="8"/>
        <v>4.104972248451209</v>
      </c>
      <c r="N20" s="6">
        <f t="shared" si="7"/>
        <v>23.610517288869431</v>
      </c>
      <c r="O20" s="6">
        <f t="shared" si="8"/>
        <v>16.823656755947578</v>
      </c>
      <c r="P20" s="6">
        <f t="shared" si="8"/>
        <v>3.3647313511895156</v>
      </c>
      <c r="Q20" s="6">
        <f t="shared" si="8"/>
        <v>3.592747979088458</v>
      </c>
      <c r="R20" s="6">
        <f t="shared" si="8"/>
        <v>2.2431542341263437</v>
      </c>
      <c r="S20" s="6">
        <f t="shared" si="8"/>
        <v>50.470970267842731</v>
      </c>
      <c r="T20" s="169">
        <f t="shared" si="6"/>
        <v>93.127912761106344</v>
      </c>
      <c r="U20" s="6">
        <f t="shared" si="8"/>
        <v>14.580502521821234</v>
      </c>
      <c r="V20" s="8">
        <f t="shared" si="0"/>
        <v>265.53055160406245</v>
      </c>
    </row>
    <row r="21" spans="1:22" x14ac:dyDescent="0.3">
      <c r="A21" s="1">
        <f>'Lista de Compra'!A20</f>
        <v>17</v>
      </c>
      <c r="B21">
        <f>'Lista de Compra'!I20</f>
        <v>200</v>
      </c>
      <c r="C21" s="44">
        <f>'Lista de Compra'!L20</f>
        <v>1.685820225236636E-2</v>
      </c>
      <c r="E21" s="6">
        <f t="shared" si="1"/>
        <v>443.60622832270076</v>
      </c>
      <c r="F21" s="6">
        <f t="shared" si="2"/>
        <v>5.9003707883282255</v>
      </c>
      <c r="G21" s="6">
        <f t="shared" si="2"/>
        <v>18.544022477602997</v>
      </c>
      <c r="H21" s="6">
        <f t="shared" si="8"/>
        <v>25.287303378549538</v>
      </c>
      <c r="I21" s="6">
        <f t="shared" si="8"/>
        <v>1.6858202252366359</v>
      </c>
      <c r="J21" s="6">
        <f t="shared" si="8"/>
        <v>3.0344764054259445</v>
      </c>
      <c r="K21" s="6">
        <f t="shared" si="8"/>
        <v>8.2605191036595169</v>
      </c>
      <c r="L21" s="6">
        <f t="shared" si="8"/>
        <v>17.869694387508343</v>
      </c>
      <c r="M21" s="6">
        <f t="shared" si="8"/>
        <v>6.1701020243660878</v>
      </c>
      <c r="N21" s="6">
        <f t="shared" si="7"/>
        <v>35.488498265816062</v>
      </c>
      <c r="O21" s="6">
        <f t="shared" si="8"/>
        <v>25.287303378549538</v>
      </c>
      <c r="P21" s="6">
        <f t="shared" si="8"/>
        <v>5.0574606757099083</v>
      </c>
      <c r="Q21" s="6">
        <f t="shared" si="8"/>
        <v>5.4001879275005154</v>
      </c>
      <c r="R21" s="6">
        <f t="shared" si="8"/>
        <v>3.3716404504732718</v>
      </c>
      <c r="S21" s="6">
        <f t="shared" si="8"/>
        <v>75.861910135648614</v>
      </c>
      <c r="T21" s="169">
        <f t="shared" si="6"/>
        <v>139.97871076207358</v>
      </c>
      <c r="U21" s="6">
        <f t="shared" si="8"/>
        <v>21.915662928076266</v>
      </c>
      <c r="V21" s="8">
        <f t="shared" si="0"/>
        <v>399.11368331452502</v>
      </c>
    </row>
    <row r="22" spans="1:22" x14ac:dyDescent="0.3">
      <c r="A22" s="1">
        <f>'Lista de Compra'!A21</f>
        <v>18</v>
      </c>
      <c r="B22">
        <f>'Lista de Compra'!I21</f>
        <v>10</v>
      </c>
      <c r="C22" s="44">
        <f>'Lista de Compra'!L21</f>
        <v>1.6351534971557533E-2</v>
      </c>
      <c r="E22" s="6">
        <f t="shared" si="1"/>
        <v>430.27380069551572</v>
      </c>
      <c r="F22" s="6">
        <f t="shared" si="2"/>
        <v>5.7230372400451364</v>
      </c>
      <c r="G22" s="6">
        <f t="shared" si="2"/>
        <v>17.986688468713286</v>
      </c>
      <c r="H22" s="6">
        <f t="shared" si="8"/>
        <v>24.527302457336301</v>
      </c>
      <c r="I22" s="6">
        <f t="shared" si="8"/>
        <v>1.6351534971557533</v>
      </c>
      <c r="J22" s="6">
        <f t="shared" si="8"/>
        <v>2.9432762948803561</v>
      </c>
      <c r="K22" s="6">
        <f t="shared" si="8"/>
        <v>8.0122521360631911</v>
      </c>
      <c r="L22" s="6">
        <f t="shared" si="8"/>
        <v>17.332627069850986</v>
      </c>
      <c r="M22" s="6">
        <f t="shared" si="8"/>
        <v>5.9846617995900573</v>
      </c>
      <c r="N22" s="6">
        <f t="shared" si="7"/>
        <v>34.421904055641257</v>
      </c>
      <c r="O22" s="6">
        <f t="shared" si="8"/>
        <v>24.527302457336301</v>
      </c>
      <c r="P22" s="6">
        <f t="shared" si="8"/>
        <v>4.9054604914672604</v>
      </c>
      <c r="Q22" s="6">
        <f t="shared" si="8"/>
        <v>5.237887197439024</v>
      </c>
      <c r="R22" s="6">
        <f t="shared" si="8"/>
        <v>3.2703069943115066</v>
      </c>
      <c r="S22" s="6">
        <f t="shared" si="8"/>
        <v>73.581907372008899</v>
      </c>
      <c r="T22" s="169">
        <f t="shared" si="6"/>
        <v>135.77170032933364</v>
      </c>
      <c r="U22" s="6">
        <f t="shared" si="8"/>
        <v>21.256995463024793</v>
      </c>
      <c r="V22" s="8">
        <f t="shared" si="0"/>
        <v>387.11846332419776</v>
      </c>
    </row>
    <row r="23" spans="1:22" x14ac:dyDescent="0.3">
      <c r="A23" s="1">
        <f>'Lista de Compra'!A22</f>
        <v>19</v>
      </c>
      <c r="B23">
        <f>'Lista de Compra'!I22</f>
        <v>20</v>
      </c>
      <c r="C23" s="44">
        <f>'Lista de Compra'!L22</f>
        <v>1.8286082771009415E-2</v>
      </c>
      <c r="E23" s="6">
        <f t="shared" si="1"/>
        <v>481.17943345385856</v>
      </c>
      <c r="F23" s="6">
        <f t="shared" si="2"/>
        <v>6.400128969853295</v>
      </c>
      <c r="G23" s="6">
        <f t="shared" si="2"/>
        <v>20.114691048110355</v>
      </c>
      <c r="H23" s="6">
        <f t="shared" si="8"/>
        <v>27.429124156514121</v>
      </c>
      <c r="I23" s="6">
        <f t="shared" si="8"/>
        <v>1.8286082771009415</v>
      </c>
      <c r="J23" s="6">
        <f t="shared" si="8"/>
        <v>3.2914948987816945</v>
      </c>
      <c r="K23" s="6">
        <f t="shared" si="8"/>
        <v>8.9601805577946134</v>
      </c>
      <c r="L23" s="6">
        <f t="shared" si="8"/>
        <v>19.383247737269979</v>
      </c>
      <c r="M23" s="6">
        <f t="shared" si="8"/>
        <v>6.6927062941894455</v>
      </c>
      <c r="N23" s="6">
        <f t="shared" si="7"/>
        <v>38.494354676308689</v>
      </c>
      <c r="O23" s="6">
        <f t="shared" si="8"/>
        <v>27.429124156514121</v>
      </c>
      <c r="P23" s="6">
        <f t="shared" si="8"/>
        <v>5.4858248313028248</v>
      </c>
      <c r="Q23" s="6">
        <f t="shared" si="8"/>
        <v>5.8575808940374454</v>
      </c>
      <c r="R23" s="6">
        <f t="shared" si="8"/>
        <v>3.6572165542018831</v>
      </c>
      <c r="S23" s="6">
        <f t="shared" si="8"/>
        <v>82.287372469542362</v>
      </c>
      <c r="T23" s="169">
        <f t="shared" si="6"/>
        <v>151.83483107252246</v>
      </c>
      <c r="U23" s="6">
        <f t="shared" si="8"/>
        <v>23.77190760231224</v>
      </c>
      <c r="V23" s="8">
        <f t="shared" si="0"/>
        <v>432.91839419635642</v>
      </c>
    </row>
    <row r="24" spans="1:22" x14ac:dyDescent="0.3">
      <c r="A24" s="1">
        <f>'Lista de Compra'!A23</f>
        <v>20</v>
      </c>
      <c r="B24">
        <f>'Lista de Compra'!I23</f>
        <v>8</v>
      </c>
      <c r="C24" s="44">
        <f>'Lista de Compra'!L23</f>
        <v>3.1275189424472022E-2</v>
      </c>
      <c r="E24" s="6">
        <f t="shared" si="1"/>
        <v>822.97439625987397</v>
      </c>
      <c r="F24" s="6">
        <f t="shared" si="2"/>
        <v>10.946316298565208</v>
      </c>
      <c r="G24" s="6">
        <f t="shared" si="2"/>
        <v>34.402708366919221</v>
      </c>
      <c r="H24" s="6">
        <f t="shared" si="8"/>
        <v>46.912784136708034</v>
      </c>
      <c r="I24" s="6">
        <f t="shared" si="8"/>
        <v>3.1275189424472023</v>
      </c>
      <c r="J24" s="6">
        <f t="shared" si="8"/>
        <v>5.6295340964049636</v>
      </c>
      <c r="K24" s="6">
        <f t="shared" si="8"/>
        <v>15.324842817991291</v>
      </c>
      <c r="L24" s="6">
        <f t="shared" si="8"/>
        <v>33.151700789940342</v>
      </c>
      <c r="M24" s="6">
        <f t="shared" si="8"/>
        <v>11.44671932935676</v>
      </c>
      <c r="N24" s="6">
        <f t="shared" si="7"/>
        <v>65.837951700789915</v>
      </c>
      <c r="O24" s="6">
        <f t="shared" si="8"/>
        <v>46.912784136708034</v>
      </c>
      <c r="P24" s="6">
        <f t="shared" si="8"/>
        <v>9.382556827341606</v>
      </c>
      <c r="Q24" s="6">
        <f t="shared" si="8"/>
        <v>10.018381428341122</v>
      </c>
      <c r="R24" s="6">
        <f t="shared" si="8"/>
        <v>6.2550378848944046</v>
      </c>
      <c r="S24" s="6">
        <f t="shared" si="8"/>
        <v>140.73835241012409</v>
      </c>
      <c r="T24" s="169">
        <f t="shared" si="6"/>
        <v>259.68728034821851</v>
      </c>
      <c r="U24" s="6">
        <f t="shared" si="8"/>
        <v>40.657746251813627</v>
      </c>
      <c r="V24" s="8">
        <f t="shared" si="0"/>
        <v>740.43221576656435</v>
      </c>
    </row>
    <row r="25" spans="1:22" x14ac:dyDescent="0.3">
      <c r="A25" s="1">
        <f>'Lista de Compra'!A24</f>
        <v>21</v>
      </c>
      <c r="B25">
        <f>'Lista de Compra'!I24</f>
        <v>5</v>
      </c>
      <c r="C25" s="44">
        <f>'Lista de Compra'!L24</f>
        <v>5.9671587480712079E-2</v>
      </c>
      <c r="E25" s="6">
        <f t="shared" si="1"/>
        <v>1570.196362819833</v>
      </c>
      <c r="F25" s="6">
        <f t="shared" si="2"/>
        <v>20.885055618249229</v>
      </c>
      <c r="G25" s="6">
        <f t="shared" si="2"/>
        <v>65.63874622878329</v>
      </c>
      <c r="H25" s="6">
        <f t="shared" si="8"/>
        <v>89.507381221068115</v>
      </c>
      <c r="I25" s="6">
        <f t="shared" si="8"/>
        <v>5.9671587480712081</v>
      </c>
      <c r="J25" s="6">
        <f t="shared" si="8"/>
        <v>10.740885746528175</v>
      </c>
      <c r="K25" s="6">
        <f t="shared" si="8"/>
        <v>29.239077865548918</v>
      </c>
      <c r="L25" s="6">
        <f t="shared" si="8"/>
        <v>63.251882729554801</v>
      </c>
      <c r="M25" s="6">
        <f t="shared" si="8"/>
        <v>21.839801017940623</v>
      </c>
      <c r="N25" s="6">
        <f t="shared" si="7"/>
        <v>125.61570902558664</v>
      </c>
      <c r="O25" s="6">
        <f t="shared" si="8"/>
        <v>89.507381221068115</v>
      </c>
      <c r="P25" s="6">
        <f t="shared" si="8"/>
        <v>17.901476244213622</v>
      </c>
      <c r="Q25" s="6">
        <f t="shared" si="8"/>
        <v>19.114599617696499</v>
      </c>
      <c r="R25" s="6">
        <f t="shared" si="8"/>
        <v>11.934317496142416</v>
      </c>
      <c r="S25" s="6">
        <f t="shared" si="8"/>
        <v>268.52214366320436</v>
      </c>
      <c r="T25" s="169">
        <f t="shared" si="6"/>
        <v>495.47109232859657</v>
      </c>
      <c r="U25" s="6">
        <f t="shared" si="8"/>
        <v>77.573063724925703</v>
      </c>
      <c r="V25" s="8">
        <f t="shared" si="0"/>
        <v>1412.7097724971782</v>
      </c>
    </row>
    <row r="26" spans="1:22" x14ac:dyDescent="0.3">
      <c r="A26" s="1">
        <f>'Lista de Compra'!A25</f>
        <v>22</v>
      </c>
      <c r="B26">
        <f>'Lista de Compra'!I25</f>
        <v>10</v>
      </c>
      <c r="C26" s="44">
        <f>'Lista de Compra'!L25</f>
        <v>4.3320052509154536E-2</v>
      </c>
      <c r="E26" s="6">
        <f t="shared" si="1"/>
        <v>1139.922562124317</v>
      </c>
      <c r="F26" s="6">
        <f t="shared" si="2"/>
        <v>15.162018378204088</v>
      </c>
      <c r="G26" s="6">
        <f t="shared" si="2"/>
        <v>47.652057760069987</v>
      </c>
      <c r="H26" s="6">
        <f t="shared" si="8"/>
        <v>64.980078763731797</v>
      </c>
      <c r="I26" s="6">
        <f t="shared" si="8"/>
        <v>4.3320052509154534</v>
      </c>
      <c r="J26" s="6">
        <f t="shared" si="8"/>
        <v>7.7976094516478165</v>
      </c>
      <c r="K26" s="6">
        <f t="shared" si="8"/>
        <v>21.226825729485721</v>
      </c>
      <c r="L26" s="6">
        <f t="shared" si="8"/>
        <v>45.919255659703808</v>
      </c>
      <c r="M26" s="6">
        <f t="shared" si="8"/>
        <v>15.85513921835056</v>
      </c>
      <c r="N26" s="6">
        <f t="shared" si="7"/>
        <v>91.193804969945361</v>
      </c>
      <c r="O26" s="6">
        <f t="shared" si="8"/>
        <v>64.980078763731797</v>
      </c>
      <c r="P26" s="6">
        <f t="shared" si="8"/>
        <v>12.996015752746361</v>
      </c>
      <c r="Q26" s="6">
        <f t="shared" si="8"/>
        <v>13.876712420257471</v>
      </c>
      <c r="R26" s="6">
        <f t="shared" si="8"/>
        <v>8.6640105018309068</v>
      </c>
      <c r="S26" s="6">
        <f t="shared" si="8"/>
        <v>194.94023629119542</v>
      </c>
      <c r="T26" s="169">
        <f t="shared" si="6"/>
        <v>359.69939199926284</v>
      </c>
      <c r="U26" s="6">
        <f t="shared" si="8"/>
        <v>56.316068261900895</v>
      </c>
      <c r="V26" s="8">
        <f t="shared" si="0"/>
        <v>1025.5913091729803</v>
      </c>
    </row>
    <row r="27" spans="1:22" x14ac:dyDescent="0.3">
      <c r="A27" s="1">
        <f>'Lista de Compra'!A26</f>
        <v>23</v>
      </c>
      <c r="B27">
        <f>'Lista de Compra'!I26</f>
        <v>5</v>
      </c>
      <c r="C27" s="44">
        <f>'Lista de Compra'!L26</f>
        <v>1.6351534971557533E-2</v>
      </c>
      <c r="E27" s="6">
        <f t="shared" si="1"/>
        <v>430.27380069551572</v>
      </c>
      <c r="F27" s="6">
        <f t="shared" si="2"/>
        <v>5.7230372400451364</v>
      </c>
      <c r="G27" s="6">
        <f t="shared" si="2"/>
        <v>17.986688468713286</v>
      </c>
      <c r="H27" s="6">
        <f t="shared" si="8"/>
        <v>24.527302457336301</v>
      </c>
      <c r="I27" s="6">
        <f t="shared" si="8"/>
        <v>1.6351534971557533</v>
      </c>
      <c r="J27" s="6">
        <f t="shared" si="8"/>
        <v>2.9432762948803561</v>
      </c>
      <c r="K27" s="6">
        <f t="shared" si="8"/>
        <v>8.0122521360631911</v>
      </c>
      <c r="L27" s="6">
        <f t="shared" si="8"/>
        <v>17.332627069850986</v>
      </c>
      <c r="M27" s="6">
        <f t="shared" si="8"/>
        <v>5.9846617995900573</v>
      </c>
      <c r="N27" s="6">
        <f t="shared" si="7"/>
        <v>34.421904055641257</v>
      </c>
      <c r="O27" s="6">
        <f t="shared" si="8"/>
        <v>24.527302457336301</v>
      </c>
      <c r="P27" s="6">
        <f t="shared" si="8"/>
        <v>4.9054604914672604</v>
      </c>
      <c r="Q27" s="6">
        <f t="shared" si="8"/>
        <v>5.237887197439024</v>
      </c>
      <c r="R27" s="6">
        <f t="shared" si="8"/>
        <v>3.2703069943115066</v>
      </c>
      <c r="S27" s="6">
        <f t="shared" si="8"/>
        <v>73.581907372008899</v>
      </c>
      <c r="T27" s="169">
        <f t="shared" si="6"/>
        <v>135.77170032933364</v>
      </c>
      <c r="U27" s="6">
        <f t="shared" si="8"/>
        <v>21.256995463024793</v>
      </c>
      <c r="V27" s="8">
        <f t="shared" si="0"/>
        <v>387.11846332419776</v>
      </c>
    </row>
    <row r="28" spans="1:22" x14ac:dyDescent="0.3">
      <c r="A28" s="1">
        <f>'Lista de Compra'!A27</f>
        <v>24</v>
      </c>
      <c r="B28">
        <f>'Lista de Compra'!I27</f>
        <v>150</v>
      </c>
      <c r="C28" s="44">
        <f>'Lista de Compra'!L27</f>
        <v>2.1786693074779481E-2</v>
      </c>
      <c r="E28" s="6">
        <f t="shared" si="1"/>
        <v>573.29438796895499</v>
      </c>
      <c r="F28" s="6">
        <f t="shared" si="2"/>
        <v>7.6253425761728186</v>
      </c>
      <c r="G28" s="6">
        <f t="shared" si="2"/>
        <v>23.965362382257428</v>
      </c>
      <c r="H28" s="6">
        <f t="shared" si="8"/>
        <v>32.680039612169217</v>
      </c>
      <c r="I28" s="6">
        <f t="shared" si="8"/>
        <v>2.1786693074779482</v>
      </c>
      <c r="J28" s="6">
        <f t="shared" si="8"/>
        <v>3.9216047534603065</v>
      </c>
      <c r="K28" s="6">
        <f t="shared" si="8"/>
        <v>10.675479606641945</v>
      </c>
      <c r="L28" s="6">
        <f t="shared" si="8"/>
        <v>23.093894659266251</v>
      </c>
      <c r="M28" s="6">
        <f t="shared" si="8"/>
        <v>7.9739296653692895</v>
      </c>
      <c r="N28" s="6">
        <f t="shared" si="7"/>
        <v>45.863551037516402</v>
      </c>
      <c r="O28" s="6">
        <f t="shared" si="8"/>
        <v>32.680039612169217</v>
      </c>
      <c r="P28" s="6">
        <f t="shared" si="8"/>
        <v>6.5360079224338445</v>
      </c>
      <c r="Q28" s="6">
        <f t="shared" si="8"/>
        <v>6.9789313926441103</v>
      </c>
      <c r="R28" s="6">
        <f t="shared" si="8"/>
        <v>4.3573386149558964</v>
      </c>
      <c r="S28" s="6">
        <f t="shared" si="8"/>
        <v>98.040118836507659</v>
      </c>
      <c r="T28" s="169">
        <f t="shared" si="6"/>
        <v>180.90144860781643</v>
      </c>
      <c r="U28" s="6">
        <f t="shared" si="8"/>
        <v>28.322700997213325</v>
      </c>
      <c r="V28" s="8">
        <f t="shared" si="0"/>
        <v>515.79445958407211</v>
      </c>
    </row>
    <row r="29" spans="1:22" x14ac:dyDescent="0.3">
      <c r="A29" s="1">
        <f>'Lista de Compra'!A28</f>
        <v>25</v>
      </c>
      <c r="B29">
        <f>'Lista de Compra'!I28</f>
        <v>250</v>
      </c>
      <c r="C29" s="44">
        <f>'Lista de Compra'!L28</f>
        <v>2.6507910918679892E-2</v>
      </c>
      <c r="E29" s="6">
        <f t="shared" si="1"/>
        <v>697.52837267681502</v>
      </c>
      <c r="F29" s="6">
        <f t="shared" si="2"/>
        <v>9.2777688215379612</v>
      </c>
      <c r="G29" s="6">
        <f t="shared" si="2"/>
        <v>29.158702010547881</v>
      </c>
      <c r="H29" s="6">
        <f t="shared" si="8"/>
        <v>39.761866378019839</v>
      </c>
      <c r="I29" s="6">
        <f t="shared" si="8"/>
        <v>2.6507910918679891</v>
      </c>
      <c r="J29" s="6">
        <f t="shared" si="8"/>
        <v>4.7714239653623807</v>
      </c>
      <c r="K29" s="6">
        <f t="shared" si="8"/>
        <v>12.988876350153147</v>
      </c>
      <c r="L29" s="6">
        <f t="shared" si="8"/>
        <v>28.098385573800684</v>
      </c>
      <c r="M29" s="6">
        <f t="shared" si="8"/>
        <v>9.7018953962368411</v>
      </c>
      <c r="N29" s="6">
        <f t="shared" si="7"/>
        <v>55.802269814145205</v>
      </c>
      <c r="O29" s="6">
        <f t="shared" si="8"/>
        <v>39.761866378019839</v>
      </c>
      <c r="P29" s="6">
        <f t="shared" si="8"/>
        <v>7.9523732756039678</v>
      </c>
      <c r="Q29" s="6">
        <f t="shared" si="8"/>
        <v>8.4912791045807285</v>
      </c>
      <c r="R29" s="6">
        <f t="shared" si="8"/>
        <v>5.3015821837359782</v>
      </c>
      <c r="S29" s="6">
        <f t="shared" si="8"/>
        <v>119.28559913405951</v>
      </c>
      <c r="T29" s="169">
        <f t="shared" si="6"/>
        <v>220.10313673107473</v>
      </c>
      <c r="U29" s="6">
        <f t="shared" si="8"/>
        <v>34.460284194283858</v>
      </c>
      <c r="V29" s="8">
        <f t="shared" si="0"/>
        <v>627.5681004030306</v>
      </c>
    </row>
    <row r="30" spans="1:22" x14ac:dyDescent="0.3">
      <c r="A30" s="1">
        <f>'Lista de Compra'!A29</f>
        <v>26</v>
      </c>
      <c r="B30">
        <f>'Lista de Compra'!I29</f>
        <v>50</v>
      </c>
      <c r="C30" s="44">
        <f>'Lista de Compra'!L29</f>
        <v>4.2652172911724726E-2</v>
      </c>
      <c r="E30" s="6">
        <f t="shared" si="1"/>
        <v>1122.3479984339369</v>
      </c>
      <c r="F30" s="6">
        <f t="shared" si="2"/>
        <v>14.928260519103654</v>
      </c>
      <c r="G30" s="6">
        <f t="shared" si="2"/>
        <v>46.917390202897195</v>
      </c>
      <c r="H30" s="6">
        <f t="shared" si="8"/>
        <v>63.978259367587086</v>
      </c>
      <c r="I30" s="6">
        <f t="shared" si="8"/>
        <v>4.2652172911724726</v>
      </c>
      <c r="J30" s="6">
        <f t="shared" si="8"/>
        <v>7.6773911241104509</v>
      </c>
      <c r="K30" s="6">
        <f t="shared" si="8"/>
        <v>20.899564726745115</v>
      </c>
      <c r="L30" s="6">
        <f t="shared" si="8"/>
        <v>45.211303286428212</v>
      </c>
      <c r="M30" s="6">
        <f t="shared" si="8"/>
        <v>15.61069528569125</v>
      </c>
      <c r="N30" s="6">
        <f t="shared" si="7"/>
        <v>89.787839874714962</v>
      </c>
      <c r="O30" s="6">
        <f t="shared" si="8"/>
        <v>63.978259367587086</v>
      </c>
      <c r="P30" s="6">
        <f t="shared" si="8"/>
        <v>12.795651873517418</v>
      </c>
      <c r="Q30" s="6">
        <f t="shared" si="8"/>
        <v>13.66277054881278</v>
      </c>
      <c r="R30" s="6">
        <f t="shared" si="8"/>
        <v>8.5304345823449452</v>
      </c>
      <c r="S30" s="6">
        <f t="shared" si="8"/>
        <v>191.93477810276127</v>
      </c>
      <c r="T30" s="169">
        <f t="shared" si="6"/>
        <v>354.15378733792386</v>
      </c>
      <c r="U30" s="6">
        <f t="shared" si="8"/>
        <v>55.44782478524214</v>
      </c>
      <c r="V30" s="8">
        <f t="shared" si="0"/>
        <v>1009.7794282766399</v>
      </c>
    </row>
    <row r="31" spans="1:22" x14ac:dyDescent="0.3">
      <c r="A31" s="1">
        <f>'Lista de Compra'!A30</f>
        <v>27</v>
      </c>
      <c r="B31">
        <f>'Lista de Compra'!I30</f>
        <v>40</v>
      </c>
      <c r="C31" s="44">
        <f>'Lista de Compra'!L30</f>
        <v>8.8482531493977543E-2</v>
      </c>
      <c r="E31" s="6">
        <f t="shared" si="1"/>
        <v>2328.3266792565801</v>
      </c>
      <c r="F31" s="6">
        <f t="shared" si="2"/>
        <v>30.968886022892139</v>
      </c>
      <c r="G31" s="6">
        <f t="shared" si="2"/>
        <v>97.330784643375296</v>
      </c>
      <c r="H31" s="6">
        <f t="shared" si="8"/>
        <v>132.72379724096632</v>
      </c>
      <c r="I31" s="6">
        <f t="shared" si="8"/>
        <v>8.8482531493977543</v>
      </c>
      <c r="J31" s="6">
        <f t="shared" si="8"/>
        <v>15.926855668915957</v>
      </c>
      <c r="K31" s="6">
        <f t="shared" si="8"/>
        <v>43.356440432048998</v>
      </c>
      <c r="L31" s="6">
        <f t="shared" si="8"/>
        <v>93.791483383616196</v>
      </c>
      <c r="M31" s="6">
        <f t="shared" si="8"/>
        <v>32.384606526795778</v>
      </c>
      <c r="N31" s="6">
        <f t="shared" si="7"/>
        <v>186.26613434052641</v>
      </c>
      <c r="O31" s="6">
        <f t="shared" si="8"/>
        <v>132.72379724096632</v>
      </c>
      <c r="P31" s="6">
        <f t="shared" si="8"/>
        <v>26.544759448193261</v>
      </c>
      <c r="Q31" s="6">
        <f t="shared" si="8"/>
        <v>28.343609313465826</v>
      </c>
      <c r="R31" s="6">
        <f t="shared" si="8"/>
        <v>17.696506298795509</v>
      </c>
      <c r="S31" s="6">
        <f t="shared" si="8"/>
        <v>398.17139172289893</v>
      </c>
      <c r="T31" s="169">
        <f t="shared" si="6"/>
        <v>734.6970037539437</v>
      </c>
      <c r="U31" s="6">
        <f t="shared" si="8"/>
        <v>115.02729094217081</v>
      </c>
      <c r="V31" s="8">
        <f t="shared" si="0"/>
        <v>2094.8016001289693</v>
      </c>
    </row>
    <row r="32" spans="1:22" x14ac:dyDescent="0.3">
      <c r="A32" s="1">
        <f>'Lista de Compra'!A31</f>
        <v>28</v>
      </c>
      <c r="B32">
        <f>'Lista de Compra'!I31</f>
        <v>50</v>
      </c>
      <c r="C32" s="44">
        <f>'Lista de Compra'!L31</f>
        <v>4.9008544252780901E-2</v>
      </c>
      <c r="E32" s="6">
        <f t="shared" si="1"/>
        <v>1289.6093632113489</v>
      </c>
      <c r="F32" s="6">
        <f t="shared" si="2"/>
        <v>17.152990488473314</v>
      </c>
      <c r="G32" s="6">
        <f t="shared" si="2"/>
        <v>53.909398678058992</v>
      </c>
      <c r="H32" s="6">
        <f t="shared" si="8"/>
        <v>73.512816379171355</v>
      </c>
      <c r="I32" s="6">
        <f t="shared" si="8"/>
        <v>4.9008544252780899</v>
      </c>
      <c r="J32" s="6">
        <f t="shared" si="8"/>
        <v>8.8215379655005624</v>
      </c>
      <c r="K32" s="6">
        <f t="shared" si="8"/>
        <v>24.014186683862643</v>
      </c>
      <c r="L32" s="6">
        <f t="shared" si="8"/>
        <v>51.949056907947757</v>
      </c>
      <c r="M32" s="6">
        <f t="shared" si="8"/>
        <v>17.93712719651781</v>
      </c>
      <c r="N32" s="6">
        <f t="shared" si="7"/>
        <v>103.16874905690791</v>
      </c>
      <c r="O32" s="6">
        <f t="shared" si="8"/>
        <v>73.512816379171355</v>
      </c>
      <c r="P32" s="6">
        <f t="shared" si="8"/>
        <v>14.702563275834271</v>
      </c>
      <c r="Q32" s="6">
        <f t="shared" si="8"/>
        <v>15.698906980493305</v>
      </c>
      <c r="R32" s="6">
        <f t="shared" si="8"/>
        <v>9.8017088505561798</v>
      </c>
      <c r="S32" s="6">
        <f t="shared" si="8"/>
        <v>220.53844913751405</v>
      </c>
      <c r="T32" s="169">
        <f t="shared" si="6"/>
        <v>406.9326454941156</v>
      </c>
      <c r="U32" s="6">
        <f t="shared" si="8"/>
        <v>63.711107528615173</v>
      </c>
      <c r="V32" s="8">
        <f t="shared" si="0"/>
        <v>1160.2649154280184</v>
      </c>
    </row>
    <row r="33" spans="1:22" x14ac:dyDescent="0.3">
      <c r="A33" s="1">
        <f>'Lista de Compra'!A32</f>
        <v>29</v>
      </c>
      <c r="B33">
        <f>'Lista de Compra'!I32</f>
        <v>15</v>
      </c>
      <c r="C33" s="44">
        <f>'Lista de Compra'!L32</f>
        <v>4.6290965201169931E-2</v>
      </c>
      <c r="E33" s="6">
        <f t="shared" si="1"/>
        <v>1218.0990695746293</v>
      </c>
      <c r="F33" s="6">
        <f t="shared" si="2"/>
        <v>16.201837820409477</v>
      </c>
      <c r="G33" s="6">
        <f t="shared" si="2"/>
        <v>50.920061721286928</v>
      </c>
      <c r="H33" s="6">
        <f t="shared" si="8"/>
        <v>69.436447801754895</v>
      </c>
      <c r="I33" s="6">
        <f t="shared" si="8"/>
        <v>4.6290965201169936</v>
      </c>
      <c r="J33" s="6">
        <f t="shared" si="8"/>
        <v>8.3323737362105881</v>
      </c>
      <c r="K33" s="6">
        <f t="shared" si="8"/>
        <v>22.682572948573267</v>
      </c>
      <c r="L33" s="6">
        <f t="shared" si="8"/>
        <v>49.068423113240129</v>
      </c>
      <c r="M33" s="6">
        <f t="shared" si="8"/>
        <v>16.942493263628194</v>
      </c>
      <c r="N33" s="6">
        <f t="shared" si="7"/>
        <v>97.447925565970351</v>
      </c>
      <c r="O33" s="6">
        <f t="shared" si="8"/>
        <v>69.436447801754895</v>
      </c>
      <c r="P33" s="6">
        <f t="shared" si="8"/>
        <v>13.887289560350979</v>
      </c>
      <c r="Q33" s="6">
        <f t="shared" si="8"/>
        <v>14.828384882890763</v>
      </c>
      <c r="R33" s="6">
        <f t="shared" si="8"/>
        <v>9.2581930402339871</v>
      </c>
      <c r="S33" s="6">
        <f t="shared" si="8"/>
        <v>208.30934340526468</v>
      </c>
      <c r="T33" s="169">
        <f t="shared" si="6"/>
        <v>384.36777135487426</v>
      </c>
      <c r="U33" s="6">
        <f t="shared" si="8"/>
        <v>60.178254761520911</v>
      </c>
      <c r="V33" s="8">
        <f t="shared" si="0"/>
        <v>1095.9269172980814</v>
      </c>
    </row>
    <row r="34" spans="1:22" x14ac:dyDescent="0.3">
      <c r="A34" s="1">
        <f>'Lista de Compra'!A33</f>
        <v>30</v>
      </c>
      <c r="B34">
        <f>'Lista de Compra'!I33</f>
        <v>1600</v>
      </c>
      <c r="C34" s="44">
        <f>'Lista de Compra'!L33</f>
        <v>1.9806084613435888E-3</v>
      </c>
      <c r="E34" s="6">
        <f t="shared" si="1"/>
        <v>52.117671633541349</v>
      </c>
      <c r="F34" s="6">
        <f t="shared" si="2"/>
        <v>0.69321296147025613</v>
      </c>
      <c r="G34" s="6">
        <f t="shared" si="2"/>
        <v>2.1786693074779477</v>
      </c>
      <c r="H34" s="6">
        <f t="shared" si="8"/>
        <v>2.970912692015383</v>
      </c>
      <c r="I34" s="6">
        <f t="shared" si="8"/>
        <v>0.19806084613435887</v>
      </c>
      <c r="J34" s="6">
        <f t="shared" si="8"/>
        <v>0.35650952304184597</v>
      </c>
      <c r="K34" s="6">
        <f t="shared" si="8"/>
        <v>0.97049814605835849</v>
      </c>
      <c r="L34" s="6">
        <f t="shared" si="8"/>
        <v>2.0994449690242041</v>
      </c>
      <c r="M34" s="6">
        <f t="shared" si="8"/>
        <v>0.72490269685175346</v>
      </c>
      <c r="N34" s="6">
        <f t="shared" si="7"/>
        <v>4.1694137306833081</v>
      </c>
      <c r="O34" s="6">
        <f t="shared" si="8"/>
        <v>2.970912692015383</v>
      </c>
      <c r="P34" s="6">
        <f t="shared" si="8"/>
        <v>0.59418253840307667</v>
      </c>
      <c r="Q34" s="6">
        <f t="shared" si="8"/>
        <v>0.6344483084221918</v>
      </c>
      <c r="R34" s="6">
        <f t="shared" si="8"/>
        <v>0.39612169226871774</v>
      </c>
      <c r="S34" s="6">
        <f t="shared" si="8"/>
        <v>8.9127380760461499</v>
      </c>
      <c r="T34" s="169">
        <f t="shared" si="6"/>
        <v>16.44558623707422</v>
      </c>
      <c r="U34" s="6">
        <f t="shared" si="8"/>
        <v>2.5747909997466656</v>
      </c>
      <c r="V34" s="8">
        <f t="shared" si="0"/>
        <v>46.890405416733827</v>
      </c>
    </row>
    <row r="35" spans="1:22" x14ac:dyDescent="0.3">
      <c r="A35" s="1">
        <f>'Lista de Compra'!A34</f>
        <v>31</v>
      </c>
      <c r="B35">
        <f>'Lista de Compra'!I34</f>
        <v>70</v>
      </c>
      <c r="C35" s="44">
        <f>'Lista de Compra'!L34</f>
        <v>2.8718822689482039E-2</v>
      </c>
      <c r="E35" s="6">
        <f t="shared" si="1"/>
        <v>755.70623868634959</v>
      </c>
      <c r="F35" s="6">
        <f t="shared" si="2"/>
        <v>10.051587941318713</v>
      </c>
      <c r="G35" s="6">
        <f t="shared" si="2"/>
        <v>31.590704958430244</v>
      </c>
      <c r="H35" s="6">
        <f t="shared" si="8"/>
        <v>43.078234034223058</v>
      </c>
      <c r="I35" s="6">
        <f t="shared" si="8"/>
        <v>2.871882268948204</v>
      </c>
      <c r="J35" s="6">
        <f t="shared" si="8"/>
        <v>5.1693880841067674</v>
      </c>
      <c r="K35" s="6">
        <f t="shared" si="8"/>
        <v>14.0722231178462</v>
      </c>
      <c r="L35" s="6">
        <f t="shared" si="8"/>
        <v>30.441952050850961</v>
      </c>
      <c r="M35" s="6">
        <f t="shared" si="8"/>
        <v>10.511089104350427</v>
      </c>
      <c r="N35" s="6">
        <f t="shared" si="7"/>
        <v>60.456499094907969</v>
      </c>
      <c r="O35" s="6">
        <f t="shared" si="8"/>
        <v>43.078234034223058</v>
      </c>
      <c r="P35" s="6">
        <f t="shared" si="8"/>
        <v>8.6156468068446124</v>
      </c>
      <c r="Q35" s="6">
        <f t="shared" si="8"/>
        <v>9.1995004721217803</v>
      </c>
      <c r="R35" s="6">
        <f t="shared" si="8"/>
        <v>5.743764537896408</v>
      </c>
      <c r="S35" s="6">
        <f t="shared" si="8"/>
        <v>129.23470210266919</v>
      </c>
      <c r="T35" s="169">
        <f t="shared" si="6"/>
        <v>238.46100043757619</v>
      </c>
      <c r="U35" s="6">
        <f t="shared" si="8"/>
        <v>37.334469496326648</v>
      </c>
      <c r="V35" s="8">
        <f t="shared" si="0"/>
        <v>679.91087854264038</v>
      </c>
    </row>
    <row r="36" spans="1:22" x14ac:dyDescent="0.3">
      <c r="A36" s="1">
        <f>'Lista de Compra'!A35</f>
        <v>32</v>
      </c>
      <c r="B36">
        <f>'Lista de Compra'!I35</f>
        <v>10</v>
      </c>
      <c r="C36" s="44">
        <f>'Lista de Compra'!L35</f>
        <v>2.9663066258262122E-2</v>
      </c>
      <c r="E36" s="6">
        <f t="shared" si="1"/>
        <v>780.55303562792164</v>
      </c>
      <c r="F36" s="6">
        <f t="shared" si="2"/>
        <v>10.382073190391743</v>
      </c>
      <c r="G36" s="6">
        <f t="shared" si="2"/>
        <v>32.629372884088333</v>
      </c>
      <c r="H36" s="6">
        <f t="shared" si="8"/>
        <v>44.49459938739318</v>
      </c>
      <c r="I36" s="6">
        <f t="shared" si="8"/>
        <v>2.9663066258262121</v>
      </c>
      <c r="J36" s="6">
        <f t="shared" si="8"/>
        <v>5.3393519264871818</v>
      </c>
      <c r="K36" s="6">
        <f t="shared" si="8"/>
        <v>14.53490246654844</v>
      </c>
      <c r="L36" s="6">
        <f t="shared" si="8"/>
        <v>31.442850233757849</v>
      </c>
      <c r="M36" s="6">
        <f t="shared" si="8"/>
        <v>10.856682250523937</v>
      </c>
      <c r="N36" s="6">
        <f t="shared" si="7"/>
        <v>62.444242850233735</v>
      </c>
      <c r="O36" s="6">
        <f t="shared" si="8"/>
        <v>44.49459938739318</v>
      </c>
      <c r="P36" s="6">
        <f t="shared" si="8"/>
        <v>8.8989198774786367</v>
      </c>
      <c r="Q36" s="6">
        <f t="shared" si="8"/>
        <v>9.5019700145091051</v>
      </c>
      <c r="R36" s="6">
        <f t="shared" si="8"/>
        <v>5.9326132516524241</v>
      </c>
      <c r="S36" s="6">
        <f t="shared" si="8"/>
        <v>133.48379816217954</v>
      </c>
      <c r="T36" s="169">
        <f t="shared" si="6"/>
        <v>246.30133806222784</v>
      </c>
      <c r="U36" s="6">
        <f t="shared" si="8"/>
        <v>38.56198613574076</v>
      </c>
      <c r="V36" s="8">
        <f t="shared" ref="V36:V59" si="9">SUM(F36:U36)</f>
        <v>702.2656067064321</v>
      </c>
    </row>
    <row r="37" spans="1:22" x14ac:dyDescent="0.3">
      <c r="A37" s="1">
        <f>'Lista de Compra'!A36</f>
        <v>33</v>
      </c>
      <c r="B37">
        <f>'Lista de Compra'!I36</f>
        <v>30</v>
      </c>
      <c r="C37" s="44">
        <f>'Lista de Compra'!L36</f>
        <v>1.7226687547500053E-2</v>
      </c>
      <c r="E37" s="6">
        <f t="shared" si="1"/>
        <v>453.30253932428991</v>
      </c>
      <c r="F37" s="6">
        <f t="shared" si="2"/>
        <v>6.0293406416250184</v>
      </c>
      <c r="G37" s="6">
        <f t="shared" si="2"/>
        <v>18.94935630225006</v>
      </c>
      <c r="H37" s="6">
        <f t="shared" si="8"/>
        <v>25.840031321250081</v>
      </c>
      <c r="I37" s="6">
        <f t="shared" si="8"/>
        <v>1.7226687547500052</v>
      </c>
      <c r="J37" s="6">
        <f t="shared" si="8"/>
        <v>3.1008037585500094</v>
      </c>
      <c r="K37" s="6">
        <f t="shared" si="8"/>
        <v>8.4410768982750266</v>
      </c>
      <c r="L37" s="6">
        <f t="shared" si="8"/>
        <v>18.260288800350057</v>
      </c>
      <c r="M37" s="6">
        <f t="shared" si="8"/>
        <v>6.3049676423850194</v>
      </c>
      <c r="N37" s="6">
        <f t="shared" si="7"/>
        <v>36.264203145943192</v>
      </c>
      <c r="O37" s="6">
        <f t="shared" si="8"/>
        <v>25.840031321250081</v>
      </c>
      <c r="P37" s="6">
        <f t="shared" si="8"/>
        <v>5.1680062642500157</v>
      </c>
      <c r="Q37" s="6">
        <f t="shared" si="8"/>
        <v>5.5182248220906915</v>
      </c>
      <c r="R37" s="6">
        <f t="shared" si="8"/>
        <v>3.4453375095000105</v>
      </c>
      <c r="S37" s="6">
        <f t="shared" si="8"/>
        <v>77.520093963750242</v>
      </c>
      <c r="T37" s="169">
        <f t="shared" si="6"/>
        <v>143.03835471315719</v>
      </c>
      <c r="U37" s="6">
        <f t="shared" si="8"/>
        <v>22.39469381175007</v>
      </c>
      <c r="V37" s="8">
        <f t="shared" si="9"/>
        <v>407.8374796711268</v>
      </c>
    </row>
    <row r="38" spans="1:22" x14ac:dyDescent="0.3">
      <c r="A38" s="1">
        <f>'Lista de Compra'!A37</f>
        <v>34</v>
      </c>
      <c r="B38">
        <f>'Lista de Compra'!I37</f>
        <v>70</v>
      </c>
      <c r="C38" s="44">
        <f>'Lista de Compra'!L37</f>
        <v>1.7433960526012753E-2</v>
      </c>
      <c r="E38" s="6">
        <f t="shared" si="1"/>
        <v>458.75671426268377</v>
      </c>
      <c r="F38" s="6">
        <f t="shared" si="2"/>
        <v>6.1018861841044636</v>
      </c>
      <c r="G38" s="6">
        <f t="shared" si="2"/>
        <v>19.177356578614027</v>
      </c>
      <c r="H38" s="6">
        <f t="shared" si="8"/>
        <v>26.150940789019128</v>
      </c>
      <c r="I38" s="6">
        <f t="shared" si="8"/>
        <v>1.7433960526012753</v>
      </c>
      <c r="J38" s="6">
        <f t="shared" si="8"/>
        <v>3.1381128946822954</v>
      </c>
      <c r="K38" s="6">
        <f t="shared" si="8"/>
        <v>8.542640657746249</v>
      </c>
      <c r="L38" s="6">
        <f t="shared" si="8"/>
        <v>18.479998157573519</v>
      </c>
      <c r="M38" s="6">
        <f t="shared" si="8"/>
        <v>6.3808295525206677</v>
      </c>
      <c r="N38" s="6">
        <f t="shared" si="7"/>
        <v>36.700537141014699</v>
      </c>
      <c r="O38" s="6">
        <f t="shared" si="8"/>
        <v>26.150940789019128</v>
      </c>
      <c r="P38" s="6">
        <f t="shared" si="8"/>
        <v>5.2301881578038261</v>
      </c>
      <c r="Q38" s="6">
        <f t="shared" si="8"/>
        <v>5.5846205752976648</v>
      </c>
      <c r="R38" s="6">
        <f t="shared" si="8"/>
        <v>3.4867921052025506</v>
      </c>
      <c r="S38" s="6">
        <f t="shared" si="8"/>
        <v>78.452822367057379</v>
      </c>
      <c r="T38" s="169">
        <f t="shared" si="6"/>
        <v>144.75940443564167</v>
      </c>
      <c r="U38" s="6">
        <f t="shared" si="8"/>
        <v>22.664148683816578</v>
      </c>
      <c r="V38" s="8">
        <f t="shared" si="9"/>
        <v>412.74461512171513</v>
      </c>
    </row>
    <row r="39" spans="1:22" x14ac:dyDescent="0.3">
      <c r="A39" s="1">
        <f>'Lista de Compra'!A38</f>
        <v>35</v>
      </c>
      <c r="B39">
        <f>'Lista de Compra'!I38</f>
        <v>80</v>
      </c>
      <c r="C39" s="44">
        <f>'Lista de Compra'!L38</f>
        <v>1.0133345616176502E-2</v>
      </c>
      <c r="E39" s="6">
        <f t="shared" si="1"/>
        <v>266.64855254369996</v>
      </c>
      <c r="F39" s="6">
        <f t="shared" si="2"/>
        <v>3.5466709656617756</v>
      </c>
      <c r="G39" s="6">
        <f t="shared" si="2"/>
        <v>11.146680177794153</v>
      </c>
      <c r="H39" s="6">
        <f t="shared" si="8"/>
        <v>15.200018424264753</v>
      </c>
      <c r="I39" s="6">
        <f t="shared" si="8"/>
        <v>1.0133345616176503</v>
      </c>
      <c r="J39" s="6">
        <f t="shared" si="8"/>
        <v>1.8240022109117704</v>
      </c>
      <c r="K39" s="6">
        <f t="shared" ref="H39:U59" si="10">K$4*$C39</f>
        <v>4.9653393519264863</v>
      </c>
      <c r="L39" s="6">
        <f t="shared" si="10"/>
        <v>10.741346353147092</v>
      </c>
      <c r="M39" s="6">
        <f t="shared" si="10"/>
        <v>3.7088044955205999</v>
      </c>
      <c r="N39" s="6">
        <f t="shared" si="7"/>
        <v>21.331884203495999</v>
      </c>
      <c r="O39" s="6">
        <f t="shared" si="10"/>
        <v>15.200018424264753</v>
      </c>
      <c r="P39" s="6">
        <f t="shared" si="10"/>
        <v>3.0400036848529508</v>
      </c>
      <c r="Q39" s="6">
        <f t="shared" si="10"/>
        <v>3.246014601229819</v>
      </c>
      <c r="R39" s="6">
        <f t="shared" si="10"/>
        <v>2.0266691232353007</v>
      </c>
      <c r="S39" s="6">
        <f t="shared" si="10"/>
        <v>45.600055272794258</v>
      </c>
      <c r="T39" s="169">
        <f t="shared" si="6"/>
        <v>84.140208654798343</v>
      </c>
      <c r="U39" s="6">
        <f t="shared" si="10"/>
        <v>13.173349301029454</v>
      </c>
      <c r="V39" s="8">
        <f t="shared" si="9"/>
        <v>239.90439980654517</v>
      </c>
    </row>
    <row r="40" spans="1:22" x14ac:dyDescent="0.3">
      <c r="A40" s="1">
        <f>'Lista de Compra'!A39</f>
        <v>36</v>
      </c>
      <c r="B40">
        <f>'Lista de Compra'!I39</f>
        <v>90</v>
      </c>
      <c r="C40" s="44">
        <f>'Lista de Compra'!L39</f>
        <v>1.0133345616176502E-2</v>
      </c>
      <c r="E40" s="6">
        <f t="shared" si="1"/>
        <v>266.64855254369996</v>
      </c>
      <c r="F40" s="6">
        <f t="shared" si="2"/>
        <v>3.5466709656617756</v>
      </c>
      <c r="G40" s="6">
        <f t="shared" si="2"/>
        <v>11.146680177794153</v>
      </c>
      <c r="H40" s="6">
        <f t="shared" si="10"/>
        <v>15.200018424264753</v>
      </c>
      <c r="I40" s="6">
        <f t="shared" si="10"/>
        <v>1.0133345616176503</v>
      </c>
      <c r="J40" s="6">
        <f t="shared" si="10"/>
        <v>1.8240022109117704</v>
      </c>
      <c r="K40" s="6">
        <f t="shared" si="10"/>
        <v>4.9653393519264863</v>
      </c>
      <c r="L40" s="6">
        <f t="shared" si="10"/>
        <v>10.741346353147092</v>
      </c>
      <c r="M40" s="6">
        <f t="shared" si="10"/>
        <v>3.7088044955205999</v>
      </c>
      <c r="N40" s="6">
        <f t="shared" si="7"/>
        <v>21.331884203495999</v>
      </c>
      <c r="O40" s="6">
        <f t="shared" si="10"/>
        <v>15.200018424264753</v>
      </c>
      <c r="P40" s="6">
        <f t="shared" si="10"/>
        <v>3.0400036848529508</v>
      </c>
      <c r="Q40" s="6">
        <f t="shared" si="10"/>
        <v>3.246014601229819</v>
      </c>
      <c r="R40" s="6">
        <f t="shared" si="10"/>
        <v>2.0266691232353007</v>
      </c>
      <c r="S40" s="6">
        <f t="shared" si="10"/>
        <v>45.600055272794258</v>
      </c>
      <c r="T40" s="169">
        <f t="shared" si="6"/>
        <v>84.140208654798343</v>
      </c>
      <c r="U40" s="6">
        <f t="shared" si="10"/>
        <v>13.173349301029454</v>
      </c>
      <c r="V40" s="8">
        <f t="shared" si="9"/>
        <v>239.90439980654517</v>
      </c>
    </row>
    <row r="41" spans="1:22" x14ac:dyDescent="0.3">
      <c r="A41" s="1">
        <f>'Lista de Compra'!A40</f>
        <v>37</v>
      </c>
      <c r="B41">
        <f>'Lista de Compra'!I40</f>
        <v>110</v>
      </c>
      <c r="C41" s="44">
        <f>'Lista de Compra'!L40</f>
        <v>9.6727389972593866E-4</v>
      </c>
      <c r="E41" s="6">
        <f t="shared" si="1"/>
        <v>25.452816379171356</v>
      </c>
      <c r="F41" s="6">
        <f t="shared" si="2"/>
        <v>0.33854586490407851</v>
      </c>
      <c r="G41" s="6">
        <f t="shared" si="2"/>
        <v>1.0640012896985325</v>
      </c>
      <c r="H41" s="6">
        <f t="shared" si="10"/>
        <v>1.450910849588908</v>
      </c>
      <c r="I41" s="6">
        <f t="shared" si="10"/>
        <v>9.6727389972593864E-2</v>
      </c>
      <c r="J41" s="6">
        <f t="shared" si="10"/>
        <v>0.17410930195066895</v>
      </c>
      <c r="K41" s="6">
        <f t="shared" si="10"/>
        <v>0.47396421086570995</v>
      </c>
      <c r="L41" s="6">
        <f t="shared" si="10"/>
        <v>1.0253103337094949</v>
      </c>
      <c r="M41" s="6">
        <f t="shared" si="10"/>
        <v>0.35402224729969356</v>
      </c>
      <c r="N41" s="6">
        <f t="shared" si="7"/>
        <v>2.0362253103337085</v>
      </c>
      <c r="O41" s="6">
        <f t="shared" si="10"/>
        <v>1.450910849588908</v>
      </c>
      <c r="P41" s="6">
        <f t="shared" si="10"/>
        <v>0.29018216991778162</v>
      </c>
      <c r="Q41" s="6">
        <f t="shared" si="10"/>
        <v>0.30984684829920989</v>
      </c>
      <c r="R41" s="6">
        <f t="shared" si="10"/>
        <v>0.19345477994518773</v>
      </c>
      <c r="S41" s="6">
        <f t="shared" si="10"/>
        <v>4.3527325487667241</v>
      </c>
      <c r="T41" s="169">
        <f t="shared" si="6"/>
        <v>8.031565371594386</v>
      </c>
      <c r="U41" s="6">
        <f t="shared" si="10"/>
        <v>1.2574560696437203</v>
      </c>
      <c r="V41" s="8">
        <f t="shared" si="9"/>
        <v>22.899965436079306</v>
      </c>
    </row>
    <row r="42" spans="1:22" x14ac:dyDescent="0.3">
      <c r="A42" s="1">
        <f>'Lista de Compra'!A41</f>
        <v>38</v>
      </c>
      <c r="B42">
        <f>'Lista de Compra'!I41</f>
        <v>60</v>
      </c>
      <c r="C42" s="44">
        <f>'Lista de Compra'!L41</f>
        <v>1.1538195803873698E-2</v>
      </c>
      <c r="E42" s="6">
        <f t="shared" si="1"/>
        <v>303.61573823725831</v>
      </c>
      <c r="F42" s="6">
        <f t="shared" si="2"/>
        <v>4.0383685313557942</v>
      </c>
      <c r="G42" s="6">
        <f t="shared" si="2"/>
        <v>12.692015384261067</v>
      </c>
      <c r="H42" s="6">
        <f t="shared" si="10"/>
        <v>17.307293705810547</v>
      </c>
      <c r="I42" s="6">
        <f t="shared" si="10"/>
        <v>1.1538195803873699</v>
      </c>
      <c r="J42" s="6">
        <f t="shared" si="10"/>
        <v>2.0768752446972658</v>
      </c>
      <c r="K42" s="6">
        <f t="shared" si="10"/>
        <v>5.6537159438981117</v>
      </c>
      <c r="L42" s="6">
        <f t="shared" si="10"/>
        <v>12.230487552106119</v>
      </c>
      <c r="M42" s="6">
        <f t="shared" si="10"/>
        <v>4.2229796642177737</v>
      </c>
      <c r="N42" s="6">
        <f t="shared" si="7"/>
        <v>24.289259058980665</v>
      </c>
      <c r="O42" s="6">
        <f t="shared" si="10"/>
        <v>17.307293705810547</v>
      </c>
      <c r="P42" s="6">
        <f t="shared" si="10"/>
        <v>3.4614587411621094</v>
      </c>
      <c r="Q42" s="6">
        <f t="shared" si="10"/>
        <v>3.6960302618548613</v>
      </c>
      <c r="R42" s="6">
        <f t="shared" si="10"/>
        <v>2.3076391607747397</v>
      </c>
      <c r="S42" s="6">
        <f t="shared" si="10"/>
        <v>51.921881117431639</v>
      </c>
      <c r="T42" s="169">
        <f t="shared" si="6"/>
        <v>95.805101218304472</v>
      </c>
      <c r="U42" s="6">
        <f t="shared" si="10"/>
        <v>14.999654545035808</v>
      </c>
      <c r="V42" s="8">
        <f t="shared" si="9"/>
        <v>273.1638734160889</v>
      </c>
    </row>
    <row r="43" spans="1:22" x14ac:dyDescent="0.3">
      <c r="A43" s="1">
        <f>'Lista de Compra'!A42</f>
        <v>39</v>
      </c>
      <c r="B43">
        <f>'Lista de Compra'!I42</f>
        <v>20</v>
      </c>
      <c r="C43" s="44">
        <f>'Lista de Compra'!L42</f>
        <v>1.9299417332627064E-2</v>
      </c>
      <c r="E43" s="6">
        <f t="shared" si="1"/>
        <v>507.84428870822853</v>
      </c>
      <c r="F43" s="6">
        <f t="shared" si="2"/>
        <v>6.7547960664194724</v>
      </c>
      <c r="G43" s="6">
        <f t="shared" si="2"/>
        <v>21.229359065889771</v>
      </c>
      <c r="H43" s="6">
        <f t="shared" si="10"/>
        <v>28.949125998940595</v>
      </c>
      <c r="I43" s="6">
        <f t="shared" si="10"/>
        <v>1.9299417332627065</v>
      </c>
      <c r="J43" s="6">
        <f t="shared" si="10"/>
        <v>3.4738951198728714</v>
      </c>
      <c r="K43" s="6">
        <f t="shared" si="10"/>
        <v>9.4567144929872615</v>
      </c>
      <c r="L43" s="6">
        <f t="shared" si="10"/>
        <v>20.457382372584689</v>
      </c>
      <c r="M43" s="6">
        <f t="shared" si="10"/>
        <v>7.0635867437415056</v>
      </c>
      <c r="N43" s="6">
        <f t="shared" si="7"/>
        <v>40.627543096658286</v>
      </c>
      <c r="O43" s="6">
        <f t="shared" si="10"/>
        <v>28.949125998940595</v>
      </c>
      <c r="P43" s="6">
        <f t="shared" si="10"/>
        <v>5.7898251997881189</v>
      </c>
      <c r="Q43" s="6">
        <f t="shared" si="10"/>
        <v>6.1821823541604273</v>
      </c>
      <c r="R43" s="6">
        <f t="shared" si="10"/>
        <v>3.8598834665254129</v>
      </c>
      <c r="S43" s="6">
        <f t="shared" si="10"/>
        <v>86.847377996821791</v>
      </c>
      <c r="T43" s="169">
        <f t="shared" si="6"/>
        <v>160.24885193800228</v>
      </c>
      <c r="U43" s="6">
        <f t="shared" si="10"/>
        <v>25.089242532415184</v>
      </c>
      <c r="V43" s="8">
        <f t="shared" si="9"/>
        <v>456.90883417701099</v>
      </c>
    </row>
    <row r="44" spans="1:22" x14ac:dyDescent="0.3">
      <c r="A44" s="1">
        <f>'Lista de Compra'!A43</f>
        <v>40</v>
      </c>
      <c r="B44">
        <f>'Lista de Compra'!I43</f>
        <v>120</v>
      </c>
      <c r="C44" s="44">
        <f>'Lista de Compra'!L43</f>
        <v>1.0824255544552171E-3</v>
      </c>
      <c r="E44" s="6">
        <f t="shared" si="1"/>
        <v>28.482913567167948</v>
      </c>
      <c r="F44" s="6">
        <f t="shared" si="2"/>
        <v>0.37884894405932601</v>
      </c>
      <c r="G44" s="6">
        <f t="shared" si="2"/>
        <v>1.1906681099007388</v>
      </c>
      <c r="H44" s="6">
        <f t="shared" si="10"/>
        <v>1.6236383316828258</v>
      </c>
      <c r="I44" s="6">
        <f t="shared" si="10"/>
        <v>0.10824255544552171</v>
      </c>
      <c r="J44" s="6">
        <f t="shared" si="10"/>
        <v>0.19483659980193907</v>
      </c>
      <c r="K44" s="6">
        <f t="shared" si="10"/>
        <v>0.53038852168305639</v>
      </c>
      <c r="L44" s="6">
        <f t="shared" si="10"/>
        <v>1.14737108772253</v>
      </c>
      <c r="M44" s="6">
        <f t="shared" si="10"/>
        <v>0.39616775293060946</v>
      </c>
      <c r="N44" s="6">
        <f t="shared" si="7"/>
        <v>2.278633085373436</v>
      </c>
      <c r="O44" s="6">
        <f t="shared" si="10"/>
        <v>1.6236383316828258</v>
      </c>
      <c r="P44" s="6">
        <f t="shared" si="10"/>
        <v>0.32472766633656514</v>
      </c>
      <c r="Q44" s="6">
        <f t="shared" si="10"/>
        <v>0.34673337785863967</v>
      </c>
      <c r="R44" s="6">
        <f t="shared" si="10"/>
        <v>0.21648511089104341</v>
      </c>
      <c r="S44" s="6">
        <f t="shared" si="10"/>
        <v>4.8709149950484774</v>
      </c>
      <c r="T44" s="169">
        <f t="shared" si="6"/>
        <v>8.9877041063080032</v>
      </c>
      <c r="U44" s="6">
        <f t="shared" si="10"/>
        <v>1.4071532207917823</v>
      </c>
      <c r="V44" s="8">
        <f t="shared" si="9"/>
        <v>25.626151797517323</v>
      </c>
    </row>
    <row r="45" spans="1:22" x14ac:dyDescent="0.3">
      <c r="A45" s="1">
        <f>'Lista de Compra'!A44</f>
        <v>41</v>
      </c>
      <c r="B45">
        <f>'Lista de Compra'!I44</f>
        <v>30</v>
      </c>
      <c r="C45" s="44">
        <f>'Lista de Compra'!L44</f>
        <v>2.0243660901407143E-2</v>
      </c>
      <c r="E45" s="6">
        <f t="shared" si="1"/>
        <v>532.69108564980047</v>
      </c>
      <c r="F45" s="6">
        <f t="shared" si="2"/>
        <v>7.0852813154924998</v>
      </c>
      <c r="G45" s="6">
        <f t="shared" si="2"/>
        <v>22.268026991547856</v>
      </c>
      <c r="H45" s="6">
        <f t="shared" si="10"/>
        <v>30.365491352110716</v>
      </c>
      <c r="I45" s="6">
        <f t="shared" si="10"/>
        <v>2.0243660901407146</v>
      </c>
      <c r="J45" s="6">
        <f t="shared" si="10"/>
        <v>3.6438589622532858</v>
      </c>
      <c r="K45" s="6">
        <f t="shared" si="10"/>
        <v>9.9193938416894998</v>
      </c>
      <c r="L45" s="6">
        <f t="shared" si="10"/>
        <v>21.458280555491573</v>
      </c>
      <c r="M45" s="6">
        <f t="shared" si="10"/>
        <v>7.4091798899150145</v>
      </c>
      <c r="N45" s="6">
        <f t="shared" si="7"/>
        <v>42.615286851984038</v>
      </c>
      <c r="O45" s="6">
        <f t="shared" si="10"/>
        <v>30.365491352110716</v>
      </c>
      <c r="P45" s="6">
        <f t="shared" si="10"/>
        <v>6.0730982704221432</v>
      </c>
      <c r="Q45" s="6">
        <f t="shared" si="10"/>
        <v>6.4846518965477502</v>
      </c>
      <c r="R45" s="6">
        <f t="shared" si="10"/>
        <v>4.0487321802814291</v>
      </c>
      <c r="S45" s="6">
        <f t="shared" si="10"/>
        <v>91.096474056332141</v>
      </c>
      <c r="T45" s="169">
        <f t="shared" si="6"/>
        <v>168.08918956265393</v>
      </c>
      <c r="U45" s="6">
        <f t="shared" si="10"/>
        <v>26.316759171829286</v>
      </c>
      <c r="V45" s="8">
        <f t="shared" si="9"/>
        <v>479.26356234080259</v>
      </c>
    </row>
    <row r="46" spans="1:22" x14ac:dyDescent="0.3">
      <c r="A46" s="1">
        <f>'Lista de Compra'!A45</f>
        <v>42</v>
      </c>
      <c r="B46">
        <f>'Lista de Compra'!I45</f>
        <v>30</v>
      </c>
      <c r="C46" s="44">
        <f>'Lista de Compra'!L45</f>
        <v>5.987886045922478E-3</v>
      </c>
      <c r="E46" s="6">
        <f t="shared" si="1"/>
        <v>157.56505377582269</v>
      </c>
      <c r="F46" s="6">
        <f t="shared" si="2"/>
        <v>2.0957601160728672</v>
      </c>
      <c r="G46" s="6">
        <f t="shared" si="2"/>
        <v>6.586674650514726</v>
      </c>
      <c r="H46" s="6">
        <f t="shared" si="10"/>
        <v>8.9818290688837177</v>
      </c>
      <c r="I46" s="6">
        <f t="shared" si="10"/>
        <v>0.59878860459224781</v>
      </c>
      <c r="J46" s="6">
        <f t="shared" si="10"/>
        <v>1.0778194882660461</v>
      </c>
      <c r="K46" s="6">
        <f t="shared" si="10"/>
        <v>2.9340641625020143</v>
      </c>
      <c r="L46" s="6">
        <f t="shared" si="10"/>
        <v>6.3471592086778266</v>
      </c>
      <c r="M46" s="6">
        <f t="shared" si="10"/>
        <v>2.1915662928076269</v>
      </c>
      <c r="N46" s="6">
        <f t="shared" si="7"/>
        <v>12.605204302065815</v>
      </c>
      <c r="O46" s="6">
        <f t="shared" si="10"/>
        <v>8.9818290688837177</v>
      </c>
      <c r="P46" s="6">
        <f t="shared" si="10"/>
        <v>1.7963658137767433</v>
      </c>
      <c r="Q46" s="6">
        <f t="shared" si="10"/>
        <v>1.9180995370903473</v>
      </c>
      <c r="R46" s="6">
        <f t="shared" si="10"/>
        <v>1.1975772091844956</v>
      </c>
      <c r="S46" s="6">
        <f t="shared" si="10"/>
        <v>26.945487206651151</v>
      </c>
      <c r="T46" s="169">
        <f t="shared" si="6"/>
        <v>49.719214205108109</v>
      </c>
      <c r="U46" s="6">
        <f t="shared" si="10"/>
        <v>7.7842518596992214</v>
      </c>
      <c r="V46" s="8">
        <f t="shared" si="9"/>
        <v>141.76169079477668</v>
      </c>
    </row>
    <row r="47" spans="1:22" x14ac:dyDescent="0.3">
      <c r="A47" s="1">
        <f>'Lista de Compra'!A46</f>
        <v>43</v>
      </c>
      <c r="B47">
        <f>'Lista de Compra'!I46</f>
        <v>50</v>
      </c>
      <c r="C47" s="44">
        <f>'Lista de Compra'!L46</f>
        <v>2.5793970659358369E-3</v>
      </c>
      <c r="E47" s="6">
        <f t="shared" si="1"/>
        <v>67.874177011123621</v>
      </c>
      <c r="F47" s="6">
        <f t="shared" si="2"/>
        <v>0.90278897307754291</v>
      </c>
      <c r="G47" s="6">
        <f t="shared" si="2"/>
        <v>2.8373367725294205</v>
      </c>
      <c r="H47" s="6">
        <f t="shared" si="10"/>
        <v>3.8690955989037552</v>
      </c>
      <c r="I47" s="6">
        <f t="shared" si="10"/>
        <v>0.25793970659358367</v>
      </c>
      <c r="J47" s="6">
        <f t="shared" si="10"/>
        <v>0.46429147186845066</v>
      </c>
      <c r="K47" s="6">
        <f t="shared" si="10"/>
        <v>1.2639045623085601</v>
      </c>
      <c r="L47" s="6">
        <f t="shared" si="10"/>
        <v>2.7341608898919869</v>
      </c>
      <c r="M47" s="6">
        <f t="shared" si="10"/>
        <v>0.94405932613251631</v>
      </c>
      <c r="N47" s="6">
        <f t="shared" si="7"/>
        <v>5.4299341608898901</v>
      </c>
      <c r="O47" s="6">
        <f t="shared" si="10"/>
        <v>3.8690955989037552</v>
      </c>
      <c r="P47" s="6">
        <f t="shared" si="10"/>
        <v>0.77381911978075102</v>
      </c>
      <c r="Q47" s="6">
        <f t="shared" si="10"/>
        <v>0.82625826213122655</v>
      </c>
      <c r="R47" s="6">
        <f t="shared" si="10"/>
        <v>0.51587941318716735</v>
      </c>
      <c r="S47" s="6">
        <f t="shared" si="10"/>
        <v>11.607286796711266</v>
      </c>
      <c r="T47" s="169">
        <f t="shared" si="6"/>
        <v>21.417507657585031</v>
      </c>
      <c r="U47" s="6">
        <f t="shared" si="10"/>
        <v>3.3532161857165881</v>
      </c>
      <c r="V47" s="8">
        <f t="shared" si="9"/>
        <v>61.066574496211487</v>
      </c>
    </row>
    <row r="48" spans="1:22" x14ac:dyDescent="0.3">
      <c r="A48" s="1">
        <f>'Lista de Compra'!A47</f>
        <v>44</v>
      </c>
      <c r="B48">
        <f>'Lista de Compra'!I47</f>
        <v>60</v>
      </c>
      <c r="C48" s="44">
        <f>'Lista de Compra'!L47</f>
        <v>2.118790447018723E-3</v>
      </c>
      <c r="E48" s="6">
        <f t="shared" si="1"/>
        <v>55.753788259137259</v>
      </c>
      <c r="F48" s="6">
        <f t="shared" si="2"/>
        <v>0.74157665645655302</v>
      </c>
      <c r="G48" s="6">
        <f t="shared" si="2"/>
        <v>2.3306694917205952</v>
      </c>
      <c r="H48" s="6">
        <f t="shared" si="10"/>
        <v>3.1781856705280846</v>
      </c>
      <c r="I48" s="6">
        <f t="shared" si="10"/>
        <v>0.2118790447018723</v>
      </c>
      <c r="J48" s="6">
        <f t="shared" si="10"/>
        <v>0.38138228046337014</v>
      </c>
      <c r="K48" s="6">
        <f t="shared" si="10"/>
        <v>1.0382073190391743</v>
      </c>
      <c r="L48" s="6">
        <f t="shared" si="10"/>
        <v>2.2459178738398462</v>
      </c>
      <c r="M48" s="6">
        <f t="shared" si="10"/>
        <v>0.77547730360885259</v>
      </c>
      <c r="N48" s="6">
        <f t="shared" si="7"/>
        <v>4.4603030607309808</v>
      </c>
      <c r="O48" s="6">
        <f t="shared" si="10"/>
        <v>3.1781856705280846</v>
      </c>
      <c r="P48" s="6">
        <f t="shared" si="10"/>
        <v>0.63563713410561684</v>
      </c>
      <c r="Q48" s="6">
        <f t="shared" si="10"/>
        <v>0.67871214389350754</v>
      </c>
      <c r="R48" s="6">
        <f t="shared" si="10"/>
        <v>0.4237580894037446</v>
      </c>
      <c r="S48" s="6">
        <f t="shared" si="10"/>
        <v>9.5345570115842531</v>
      </c>
      <c r="T48" s="169">
        <f t="shared" si="6"/>
        <v>17.592952718730562</v>
      </c>
      <c r="U48" s="6">
        <f t="shared" si="10"/>
        <v>2.7544275811243399</v>
      </c>
      <c r="V48" s="8">
        <f t="shared" si="9"/>
        <v>50.161829050459438</v>
      </c>
    </row>
    <row r="49" spans="1:22" x14ac:dyDescent="0.3">
      <c r="A49" s="1">
        <f>'Lista de Compra'!A48</f>
        <v>45</v>
      </c>
      <c r="B49">
        <f>'Lista de Compra'!I48</f>
        <v>145</v>
      </c>
      <c r="C49" s="44">
        <f>'Lista de Compra'!L48</f>
        <v>1.6351534971557533E-2</v>
      </c>
      <c r="E49" s="6">
        <f t="shared" si="1"/>
        <v>430.27380069551572</v>
      </c>
      <c r="F49" s="6">
        <f t="shared" si="2"/>
        <v>5.7230372400451364</v>
      </c>
      <c r="G49" s="6">
        <f t="shared" si="2"/>
        <v>17.986688468713286</v>
      </c>
      <c r="H49" s="6">
        <f t="shared" si="10"/>
        <v>24.527302457336301</v>
      </c>
      <c r="I49" s="6">
        <f t="shared" si="10"/>
        <v>1.6351534971557533</v>
      </c>
      <c r="J49" s="6">
        <f t="shared" si="10"/>
        <v>2.9432762948803561</v>
      </c>
      <c r="K49" s="6">
        <f t="shared" si="10"/>
        <v>8.0122521360631911</v>
      </c>
      <c r="L49" s="6">
        <f t="shared" si="10"/>
        <v>17.332627069850986</v>
      </c>
      <c r="M49" s="6">
        <f t="shared" si="10"/>
        <v>5.9846617995900573</v>
      </c>
      <c r="N49" s="6">
        <f t="shared" si="7"/>
        <v>34.421904055641257</v>
      </c>
      <c r="O49" s="6">
        <f t="shared" si="10"/>
        <v>24.527302457336301</v>
      </c>
      <c r="P49" s="6">
        <f t="shared" si="10"/>
        <v>4.9054604914672604</v>
      </c>
      <c r="Q49" s="6">
        <f t="shared" si="10"/>
        <v>5.237887197439024</v>
      </c>
      <c r="R49" s="6">
        <f t="shared" si="10"/>
        <v>3.2703069943115066</v>
      </c>
      <c r="S49" s="6">
        <f t="shared" si="10"/>
        <v>73.581907372008899</v>
      </c>
      <c r="T49" s="169">
        <f t="shared" si="6"/>
        <v>135.77170032933364</v>
      </c>
      <c r="U49" s="6">
        <f t="shared" si="10"/>
        <v>21.256995463024793</v>
      </c>
      <c r="V49" s="8">
        <f t="shared" si="9"/>
        <v>387.11846332419776</v>
      </c>
    </row>
    <row r="50" spans="1:22" x14ac:dyDescent="0.3">
      <c r="A50" s="1">
        <f>'Lista de Compra'!A49</f>
        <v>46</v>
      </c>
      <c r="B50">
        <f>'Lista de Compra'!I49</f>
        <v>260</v>
      </c>
      <c r="C50" s="44">
        <f>'Lista de Compra'!L49</f>
        <v>2.1970935722346322E-2</v>
      </c>
      <c r="E50" s="6">
        <f t="shared" si="1"/>
        <v>578.1425434697494</v>
      </c>
      <c r="F50" s="6">
        <f t="shared" si="2"/>
        <v>7.6898275028212124</v>
      </c>
      <c r="G50" s="6">
        <f t="shared" si="2"/>
        <v>24.168029294580954</v>
      </c>
      <c r="H50" s="6">
        <f t="shared" si="10"/>
        <v>32.956403583519482</v>
      </c>
      <c r="I50" s="6">
        <f t="shared" si="10"/>
        <v>2.1970935722346323</v>
      </c>
      <c r="J50" s="6">
        <f t="shared" si="10"/>
        <v>3.9547684300223378</v>
      </c>
      <c r="K50" s="6">
        <f t="shared" si="10"/>
        <v>10.765758503949698</v>
      </c>
      <c r="L50" s="6">
        <f t="shared" si="10"/>
        <v>23.289191865687101</v>
      </c>
      <c r="M50" s="6">
        <f t="shared" si="10"/>
        <v>8.0413624743787544</v>
      </c>
      <c r="N50" s="6">
        <f t="shared" si="7"/>
        <v>46.251403477579956</v>
      </c>
      <c r="O50" s="6">
        <f t="shared" si="10"/>
        <v>32.956403583519482</v>
      </c>
      <c r="P50" s="6">
        <f t="shared" si="10"/>
        <v>6.5912807167038965</v>
      </c>
      <c r="Q50" s="6">
        <f t="shared" si="10"/>
        <v>7.0379498399391967</v>
      </c>
      <c r="R50" s="6">
        <f t="shared" si="10"/>
        <v>4.3941871444692646</v>
      </c>
      <c r="S50" s="6">
        <f t="shared" si="10"/>
        <v>98.869210750558452</v>
      </c>
      <c r="T50" s="169">
        <f t="shared" si="6"/>
        <v>182.43127058335821</v>
      </c>
      <c r="U50" s="6">
        <f t="shared" si="10"/>
        <v>28.562216439050218</v>
      </c>
      <c r="V50" s="8">
        <f t="shared" si="9"/>
        <v>520.15635776237286</v>
      </c>
    </row>
    <row r="51" spans="1:22" x14ac:dyDescent="0.3">
      <c r="A51" s="1">
        <f>'Lista de Compra'!A50</f>
        <v>47</v>
      </c>
      <c r="B51">
        <f>'Lista de Compra'!I50</f>
        <v>50</v>
      </c>
      <c r="C51" s="44">
        <f>'Lista de Compra'!L50</f>
        <v>3.5996407268372436E-2</v>
      </c>
      <c r="E51" s="6">
        <f t="shared" si="1"/>
        <v>947.20838096773412</v>
      </c>
      <c r="F51" s="6">
        <f t="shared" si="2"/>
        <v>12.598742543930353</v>
      </c>
      <c r="G51" s="6">
        <f t="shared" si="2"/>
        <v>39.59604799520968</v>
      </c>
      <c r="H51" s="6">
        <f t="shared" si="10"/>
        <v>53.994610902558655</v>
      </c>
      <c r="I51" s="6">
        <f t="shared" si="10"/>
        <v>3.5996407268372437</v>
      </c>
      <c r="J51" s="6">
        <f t="shared" si="10"/>
        <v>6.4793533083070383</v>
      </c>
      <c r="K51" s="6">
        <f t="shared" si="10"/>
        <v>17.638239561502495</v>
      </c>
      <c r="L51" s="6">
        <f t="shared" si="10"/>
        <v>38.156191704474786</v>
      </c>
      <c r="M51" s="6">
        <f t="shared" si="10"/>
        <v>13.174685060224311</v>
      </c>
      <c r="N51" s="6">
        <f t="shared" si="7"/>
        <v>75.776670477418733</v>
      </c>
      <c r="O51" s="6">
        <f t="shared" si="10"/>
        <v>53.994610902558655</v>
      </c>
      <c r="P51" s="6">
        <f t="shared" si="10"/>
        <v>10.798922180511731</v>
      </c>
      <c r="Q51" s="6">
        <f t="shared" si="10"/>
        <v>11.530729140277742</v>
      </c>
      <c r="R51" s="6">
        <f t="shared" si="10"/>
        <v>7.1992814536744874</v>
      </c>
      <c r="S51" s="6">
        <f t="shared" si="10"/>
        <v>161.98383270767596</v>
      </c>
      <c r="T51" s="169">
        <f t="shared" si="6"/>
        <v>298.8889684714768</v>
      </c>
      <c r="U51" s="6">
        <f t="shared" si="10"/>
        <v>46.795329448884168</v>
      </c>
      <c r="V51" s="8">
        <f t="shared" si="9"/>
        <v>852.20585658552284</v>
      </c>
    </row>
    <row r="52" spans="1:22" x14ac:dyDescent="0.3">
      <c r="A52" s="1">
        <f>'Lista de Compra'!A51</f>
        <v>48</v>
      </c>
      <c r="B52">
        <f>'Lista de Compra'!I51</f>
        <v>550</v>
      </c>
      <c r="C52" s="44">
        <f>'Lista de Compra'!L51</f>
        <v>4.606066189171137E-4</v>
      </c>
      <c r="E52" s="6">
        <f t="shared" si="1"/>
        <v>12.120388751986361</v>
      </c>
      <c r="F52" s="6">
        <f t="shared" si="2"/>
        <v>0.16121231662098978</v>
      </c>
      <c r="G52" s="6">
        <f t="shared" si="2"/>
        <v>0.50666728080882506</v>
      </c>
      <c r="H52" s="6">
        <f t="shared" si="10"/>
        <v>0.69090992837567056</v>
      </c>
      <c r="I52" s="6">
        <f t="shared" si="10"/>
        <v>4.6060661891711367E-2</v>
      </c>
      <c r="J52" s="6">
        <f t="shared" si="10"/>
        <v>8.2909191405080462E-2</v>
      </c>
      <c r="K52" s="6">
        <f t="shared" si="10"/>
        <v>0.2256972432693857</v>
      </c>
      <c r="L52" s="6">
        <f t="shared" si="10"/>
        <v>0.48824301605214054</v>
      </c>
      <c r="M52" s="6">
        <f t="shared" si="10"/>
        <v>0.16858202252366361</v>
      </c>
      <c r="N52" s="6">
        <f t="shared" si="7"/>
        <v>0.96963110015890897</v>
      </c>
      <c r="O52" s="6">
        <f t="shared" si="10"/>
        <v>0.69090992837567056</v>
      </c>
      <c r="P52" s="6">
        <f t="shared" si="10"/>
        <v>0.13818198567513412</v>
      </c>
      <c r="Q52" s="6">
        <f t="shared" si="10"/>
        <v>0.14754611823771902</v>
      </c>
      <c r="R52" s="6">
        <f t="shared" si="10"/>
        <v>9.2121323783422734E-2</v>
      </c>
      <c r="S52" s="6">
        <f t="shared" si="10"/>
        <v>2.0727297851270117</v>
      </c>
      <c r="T52" s="169">
        <f t="shared" si="6"/>
        <v>3.8245549388544697</v>
      </c>
      <c r="U52" s="6">
        <f t="shared" si="10"/>
        <v>0.59878860459224781</v>
      </c>
      <c r="V52" s="8">
        <f t="shared" si="9"/>
        <v>10.904745445752052</v>
      </c>
    </row>
    <row r="53" spans="1:22" x14ac:dyDescent="0.3">
      <c r="A53" s="1">
        <f>'Lista de Compra'!A52</f>
        <v>49</v>
      </c>
      <c r="B53">
        <f>'Lista de Compra'!I52</f>
        <v>55</v>
      </c>
      <c r="C53" s="44">
        <f>'Lista de Compra'!L52</f>
        <v>8.8897077451002941E-3</v>
      </c>
      <c r="E53" s="6">
        <f t="shared" si="1"/>
        <v>233.92350291333676</v>
      </c>
      <c r="F53" s="6">
        <f t="shared" si="2"/>
        <v>3.111397710785103</v>
      </c>
      <c r="G53" s="6">
        <f t="shared" si="2"/>
        <v>9.7786785196103239</v>
      </c>
      <c r="H53" s="6">
        <f t="shared" si="10"/>
        <v>13.334561617650442</v>
      </c>
      <c r="I53" s="6">
        <f t="shared" si="10"/>
        <v>0.88897077451002937</v>
      </c>
      <c r="J53" s="6">
        <f t="shared" si="10"/>
        <v>1.6001473941180528</v>
      </c>
      <c r="K53" s="6">
        <f t="shared" si="10"/>
        <v>4.3559567950991438</v>
      </c>
      <c r="L53" s="6">
        <f t="shared" si="10"/>
        <v>9.4230902098063112</v>
      </c>
      <c r="M53" s="6">
        <f t="shared" si="10"/>
        <v>3.2536330347067075</v>
      </c>
      <c r="N53" s="6">
        <f t="shared" si="7"/>
        <v>18.713880233066941</v>
      </c>
      <c r="O53" s="6">
        <f t="shared" si="10"/>
        <v>13.334561617650442</v>
      </c>
      <c r="P53" s="6">
        <f t="shared" si="10"/>
        <v>2.6669123235300884</v>
      </c>
      <c r="Q53" s="6">
        <f t="shared" si="10"/>
        <v>2.847640081987977</v>
      </c>
      <c r="R53" s="6">
        <f t="shared" si="10"/>
        <v>1.7779415490200587</v>
      </c>
      <c r="S53" s="6">
        <f t="shared" si="10"/>
        <v>40.003684852951324</v>
      </c>
      <c r="T53" s="169">
        <f t="shared" si="6"/>
        <v>73.813910319891264</v>
      </c>
      <c r="U53" s="6">
        <f t="shared" si="10"/>
        <v>11.556620068630382</v>
      </c>
      <c r="V53" s="8">
        <f t="shared" si="9"/>
        <v>210.46158710301458</v>
      </c>
    </row>
    <row r="54" spans="1:22" x14ac:dyDescent="0.3">
      <c r="A54" s="1">
        <f>'Lista de Compra'!A53</f>
        <v>50</v>
      </c>
      <c r="B54">
        <f>'Lista de Compra'!I53</f>
        <v>140</v>
      </c>
      <c r="C54" s="44">
        <f>'Lista de Compra'!L53</f>
        <v>3.270306994311507E-3</v>
      </c>
      <c r="E54" s="6">
        <f t="shared" si="1"/>
        <v>86.054760139103152</v>
      </c>
      <c r="F54" s="6">
        <f t="shared" si="2"/>
        <v>1.1446074480090274</v>
      </c>
      <c r="G54" s="6">
        <f t="shared" si="2"/>
        <v>3.5973376937426575</v>
      </c>
      <c r="H54" s="6">
        <f t="shared" si="10"/>
        <v>4.9054604914672604</v>
      </c>
      <c r="I54" s="6">
        <f t="shared" si="10"/>
        <v>0.32703069943115071</v>
      </c>
      <c r="J54" s="6">
        <f t="shared" si="10"/>
        <v>0.58865525897607129</v>
      </c>
      <c r="K54" s="6">
        <f t="shared" si="10"/>
        <v>1.6024504272126385</v>
      </c>
      <c r="L54" s="6">
        <f t="shared" si="10"/>
        <v>3.4665254139701975</v>
      </c>
      <c r="M54" s="6">
        <f t="shared" si="10"/>
        <v>1.1969323599180115</v>
      </c>
      <c r="N54" s="6">
        <f t="shared" si="7"/>
        <v>6.8843808111282527</v>
      </c>
      <c r="O54" s="6">
        <f t="shared" si="10"/>
        <v>4.9054604914672604</v>
      </c>
      <c r="P54" s="6">
        <f t="shared" si="10"/>
        <v>0.98109209829345212</v>
      </c>
      <c r="Q54" s="6">
        <f t="shared" si="10"/>
        <v>1.047577439487805</v>
      </c>
      <c r="R54" s="6">
        <f t="shared" si="10"/>
        <v>0.65406139886230141</v>
      </c>
      <c r="S54" s="6">
        <f t="shared" si="10"/>
        <v>14.716381474401782</v>
      </c>
      <c r="T54" s="169">
        <f t="shared" si="6"/>
        <v>27.154340065866734</v>
      </c>
      <c r="U54" s="6">
        <f t="shared" si="10"/>
        <v>4.2513990926049594</v>
      </c>
      <c r="V54" s="8">
        <f t="shared" si="9"/>
        <v>77.42369266483955</v>
      </c>
    </row>
    <row r="55" spans="1:22" x14ac:dyDescent="0.3">
      <c r="A55" s="1">
        <f>'Lista de Compra'!A54</f>
        <v>51</v>
      </c>
      <c r="B55">
        <f>'Lista de Compra'!I54</f>
        <v>40</v>
      </c>
      <c r="C55" s="44">
        <f>'Lista de Compra'!L54</f>
        <v>2.2892148960180547E-2</v>
      </c>
      <c r="E55" s="6">
        <f t="shared" si="1"/>
        <v>602.38332097372211</v>
      </c>
      <c r="F55" s="6">
        <f t="shared" si="2"/>
        <v>8.0122521360631911</v>
      </c>
      <c r="G55" s="6">
        <f t="shared" si="2"/>
        <v>25.181363856198601</v>
      </c>
      <c r="H55" s="6">
        <f t="shared" si="10"/>
        <v>34.338223440270824</v>
      </c>
      <c r="I55" s="6">
        <f t="shared" si="10"/>
        <v>2.2892148960180547</v>
      </c>
      <c r="J55" s="6">
        <f t="shared" si="10"/>
        <v>4.1205868128324985</v>
      </c>
      <c r="K55" s="6">
        <f t="shared" si="10"/>
        <v>11.217152990488469</v>
      </c>
      <c r="L55" s="6">
        <f t="shared" si="10"/>
        <v>24.265677897791381</v>
      </c>
      <c r="M55" s="6">
        <f t="shared" si="10"/>
        <v>8.3785265194260798</v>
      </c>
      <c r="N55" s="6">
        <f t="shared" si="7"/>
        <v>48.190665677897769</v>
      </c>
      <c r="O55" s="6">
        <f t="shared" si="10"/>
        <v>34.338223440270824</v>
      </c>
      <c r="P55" s="6">
        <f t="shared" si="10"/>
        <v>6.8676446880541642</v>
      </c>
      <c r="Q55" s="6">
        <f t="shared" si="10"/>
        <v>7.3330420764146345</v>
      </c>
      <c r="R55" s="6">
        <f t="shared" si="10"/>
        <v>4.5784297920361094</v>
      </c>
      <c r="S55" s="6">
        <f t="shared" si="10"/>
        <v>103.01467032081246</v>
      </c>
      <c r="T55" s="169">
        <f t="shared" si="6"/>
        <v>190.08038046106711</v>
      </c>
      <c r="U55" s="6">
        <f t="shared" si="10"/>
        <v>29.759793648234712</v>
      </c>
      <c r="V55" s="8">
        <f t="shared" si="9"/>
        <v>541.96584865387683</v>
      </c>
    </row>
    <row r="56" spans="1:22" x14ac:dyDescent="0.3">
      <c r="A56" s="1">
        <f>'Lista de Compra'!A55</f>
        <v>52</v>
      </c>
      <c r="B56">
        <f>'Lista de Compra'!I55</f>
        <v>60</v>
      </c>
      <c r="C56" s="44">
        <f>'Lista de Compra'!L55</f>
        <v>4.113217106929825E-2</v>
      </c>
      <c r="E56" s="6">
        <f t="shared" si="1"/>
        <v>1082.3507155523819</v>
      </c>
      <c r="F56" s="6">
        <f t="shared" si="2"/>
        <v>14.396259874254387</v>
      </c>
      <c r="G56" s="6">
        <f t="shared" si="2"/>
        <v>45.245388176228076</v>
      </c>
      <c r="H56" s="6">
        <f t="shared" si="10"/>
        <v>61.698256603947378</v>
      </c>
      <c r="I56" s="6">
        <f t="shared" si="10"/>
        <v>4.1132171069298247</v>
      </c>
      <c r="J56" s="6">
        <f t="shared" si="10"/>
        <v>7.4037907924736848</v>
      </c>
      <c r="K56" s="6">
        <f t="shared" si="10"/>
        <v>20.154763823956142</v>
      </c>
      <c r="L56" s="6">
        <f t="shared" si="10"/>
        <v>43.600101333456145</v>
      </c>
      <c r="M56" s="6">
        <f t="shared" si="10"/>
        <v>15.05437461136316</v>
      </c>
      <c r="N56" s="6">
        <f t="shared" si="7"/>
        <v>86.588057244190551</v>
      </c>
      <c r="O56" s="6">
        <f t="shared" si="10"/>
        <v>61.698256603947378</v>
      </c>
      <c r="P56" s="6">
        <f t="shared" si="10"/>
        <v>12.339651320789475</v>
      </c>
      <c r="Q56" s="6">
        <f t="shared" si="10"/>
        <v>13.175868358628307</v>
      </c>
      <c r="R56" s="6">
        <f t="shared" si="10"/>
        <v>8.2264342138596493</v>
      </c>
      <c r="S56" s="6">
        <f t="shared" si="10"/>
        <v>185.09476981184213</v>
      </c>
      <c r="T56" s="169">
        <f t="shared" si="6"/>
        <v>341.53275603970411</v>
      </c>
      <c r="U56" s="6">
        <f t="shared" si="10"/>
        <v>53.471822390087723</v>
      </c>
      <c r="V56" s="8">
        <f t="shared" si="9"/>
        <v>973.79376830565798</v>
      </c>
    </row>
    <row r="57" spans="1:22" x14ac:dyDescent="0.3">
      <c r="A57" s="1">
        <f>'Lista de Compra'!A56</f>
        <v>53</v>
      </c>
      <c r="B57">
        <f>'Lista de Compra'!I56</f>
        <v>30</v>
      </c>
      <c r="C57" s="44">
        <f>'Lista de Compra'!L56</f>
        <v>6.7755233642707427E-2</v>
      </c>
      <c r="E57" s="6">
        <f t="shared" si="1"/>
        <v>1782.9091854171938</v>
      </c>
      <c r="F57" s="6">
        <f t="shared" si="2"/>
        <v>23.714331774947599</v>
      </c>
      <c r="G57" s="6">
        <f t="shared" si="2"/>
        <v>74.530757006978163</v>
      </c>
      <c r="H57" s="6">
        <f t="shared" si="10"/>
        <v>101.63285046406114</v>
      </c>
      <c r="I57" s="6">
        <f t="shared" si="10"/>
        <v>6.7755233642707431</v>
      </c>
      <c r="J57" s="6">
        <f t="shared" si="10"/>
        <v>12.195942055687336</v>
      </c>
      <c r="K57" s="6">
        <f t="shared" si="10"/>
        <v>33.200064484926642</v>
      </c>
      <c r="L57" s="6">
        <f t="shared" si="10"/>
        <v>71.82054766126987</v>
      </c>
      <c r="M57" s="6">
        <f t="shared" si="10"/>
        <v>24.798415513230918</v>
      </c>
      <c r="N57" s="6">
        <f t="shared" si="7"/>
        <v>142.63273483337551</v>
      </c>
      <c r="O57" s="6">
        <f t="shared" si="10"/>
        <v>101.63285046406114</v>
      </c>
      <c r="P57" s="6">
        <f t="shared" si="10"/>
        <v>20.326570092812229</v>
      </c>
      <c r="Q57" s="6">
        <f t="shared" si="10"/>
        <v>21.704033992768469</v>
      </c>
      <c r="R57" s="6">
        <f t="shared" si="10"/>
        <v>13.551046728541486</v>
      </c>
      <c r="S57" s="6">
        <f t="shared" si="10"/>
        <v>304.89855139218344</v>
      </c>
      <c r="T57" s="169">
        <f t="shared" si="6"/>
        <v>562.59203150549251</v>
      </c>
      <c r="U57" s="6">
        <f t="shared" si="10"/>
        <v>88.081803735519657</v>
      </c>
      <c r="V57" s="8">
        <f t="shared" si="9"/>
        <v>1604.0880550701268</v>
      </c>
    </row>
    <row r="58" spans="1:22" x14ac:dyDescent="0.3">
      <c r="A58" s="1">
        <f>'Lista de Compra'!A57</f>
        <v>54</v>
      </c>
      <c r="B58">
        <f>'Lista de Compra'!I57</f>
        <v>50</v>
      </c>
      <c r="C58" s="44">
        <f>'Lista de Compra'!L57</f>
        <v>3.7539439441744761E-3</v>
      </c>
      <c r="E58" s="6">
        <f t="shared" si="1"/>
        <v>98.781168328688835</v>
      </c>
      <c r="F58" s="6">
        <f t="shared" si="2"/>
        <v>1.3138803804610666</v>
      </c>
      <c r="G58" s="6">
        <f t="shared" si="2"/>
        <v>4.129338338591924</v>
      </c>
      <c r="H58" s="6">
        <f t="shared" si="10"/>
        <v>5.6309159162617144</v>
      </c>
      <c r="I58" s="6">
        <f t="shared" si="10"/>
        <v>0.3753943944174476</v>
      </c>
      <c r="J58" s="6">
        <f t="shared" si="10"/>
        <v>0.67570990995140567</v>
      </c>
      <c r="K58" s="6">
        <f t="shared" si="10"/>
        <v>1.8394325326454932</v>
      </c>
      <c r="L58" s="6">
        <f t="shared" si="10"/>
        <v>3.9791805808249445</v>
      </c>
      <c r="M58" s="6">
        <f t="shared" si="10"/>
        <v>1.3739434835678583</v>
      </c>
      <c r="N58" s="6">
        <f t="shared" si="7"/>
        <v>7.9024934662951072</v>
      </c>
      <c r="O58" s="6">
        <f t="shared" si="10"/>
        <v>5.6309159162617144</v>
      </c>
      <c r="P58" s="6">
        <f t="shared" si="10"/>
        <v>1.1261831832523428</v>
      </c>
      <c r="Q58" s="6">
        <f t="shared" si="10"/>
        <v>1.2025008636374099</v>
      </c>
      <c r="R58" s="6">
        <f t="shared" si="10"/>
        <v>0.75078878883489519</v>
      </c>
      <c r="S58" s="6">
        <f t="shared" si="10"/>
        <v>16.892747748785141</v>
      </c>
      <c r="T58" s="169">
        <f t="shared" si="6"/>
        <v>31.170122751663925</v>
      </c>
      <c r="U58" s="6">
        <f t="shared" si="10"/>
        <v>4.8801271274268192</v>
      </c>
      <c r="V58" s="8">
        <f t="shared" si="9"/>
        <v>88.873675382879213</v>
      </c>
    </row>
    <row r="59" spans="1:22" x14ac:dyDescent="0.3">
      <c r="A59" s="1">
        <f>'Lista de Compra'!A58</f>
        <v>55</v>
      </c>
      <c r="B59">
        <f>'Lista de Compra'!I58</f>
        <v>300</v>
      </c>
      <c r="C59" s="44">
        <f>'Lista de Compra'!L58</f>
        <v>2.8787913682319605E-3</v>
      </c>
      <c r="E59" s="6">
        <f t="shared" si="1"/>
        <v>75.752429699914757</v>
      </c>
      <c r="F59" s="6">
        <f t="shared" si="2"/>
        <v>1.0075769788811861</v>
      </c>
      <c r="G59" s="6">
        <f t="shared" si="2"/>
        <v>3.1666705050551567</v>
      </c>
      <c r="H59" s="6">
        <f t="shared" si="10"/>
        <v>4.3181870523479411</v>
      </c>
      <c r="I59" s="6">
        <f t="shared" si="10"/>
        <v>0.28787913682319605</v>
      </c>
      <c r="J59" s="6">
        <f t="shared" si="10"/>
        <v>0.51818244628175292</v>
      </c>
      <c r="K59" s="6">
        <f t="shared" si="10"/>
        <v>1.4106077704336606</v>
      </c>
      <c r="L59" s="6">
        <f t="shared" si="10"/>
        <v>3.0515188503258779</v>
      </c>
      <c r="M59" s="6">
        <f t="shared" si="10"/>
        <v>1.0536376407728976</v>
      </c>
      <c r="N59" s="6">
        <f t="shared" si="7"/>
        <v>6.0601943759931807</v>
      </c>
      <c r="O59" s="6">
        <f t="shared" si="10"/>
        <v>4.3181870523479411</v>
      </c>
      <c r="P59" s="6">
        <f t="shared" si="10"/>
        <v>0.86363741046958808</v>
      </c>
      <c r="Q59" s="6">
        <f t="shared" si="10"/>
        <v>0.92216323898574382</v>
      </c>
      <c r="R59" s="6">
        <f t="shared" si="10"/>
        <v>0.57575827364639209</v>
      </c>
      <c r="S59" s="6">
        <f t="shared" si="10"/>
        <v>12.954561157043821</v>
      </c>
      <c r="T59" s="169">
        <f t="shared" si="6"/>
        <v>23.903468367840436</v>
      </c>
      <c r="U59" s="6">
        <f t="shared" si="10"/>
        <v>3.7424287787015484</v>
      </c>
      <c r="V59" s="8">
        <f t="shared" si="9"/>
        <v>68.154659035950331</v>
      </c>
    </row>
    <row r="60" spans="1:22" x14ac:dyDescent="0.3">
      <c r="A60" s="1"/>
      <c r="C60" s="44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8"/>
    </row>
    <row r="61" spans="1:22" x14ac:dyDescent="0.3">
      <c r="A61" s="1"/>
      <c r="C61" s="44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8"/>
    </row>
    <row r="62" spans="1:22" x14ac:dyDescent="0.3">
      <c r="A62" s="1"/>
      <c r="C62" s="44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8"/>
    </row>
    <row r="63" spans="1:22" x14ac:dyDescent="0.3">
      <c r="A63" s="1"/>
      <c r="C63" s="44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8"/>
    </row>
    <row r="64" spans="1:22" x14ac:dyDescent="0.3">
      <c r="A64" t="s">
        <v>91</v>
      </c>
      <c r="F64" t="s">
        <v>20</v>
      </c>
      <c r="G64" s="1" t="s">
        <v>16</v>
      </c>
    </row>
    <row r="65" spans="1:7" x14ac:dyDescent="0.3">
      <c r="F65" s="7">
        <v>4710.5</v>
      </c>
      <c r="G65" s="7">
        <f>F65*B66</f>
        <v>24211.969999999998</v>
      </c>
    </row>
    <row r="66" spans="1:7" x14ac:dyDescent="0.3">
      <c r="A66" t="e" vm="1">
        <v>#VALUE!</v>
      </c>
      <c r="B66" s="8">
        <v>5.14</v>
      </c>
      <c r="F66" s="8">
        <v>2102</v>
      </c>
      <c r="G66" s="8">
        <f>F66</f>
        <v>2102</v>
      </c>
    </row>
    <row r="67" spans="1:7" x14ac:dyDescent="0.3">
      <c r="A67" t="e" vm="2">
        <v>#VALUE!</v>
      </c>
      <c r="B67" s="8" cm="1">
        <f t="array" aca="1" ref="B67" ca="1">_FV(A67,"Preço")</f>
        <v>5.8452000000000002</v>
      </c>
      <c r="F67" t="s">
        <v>35</v>
      </c>
      <c r="G67" s="8">
        <f>SUM(G65:G66)</f>
        <v>26313.969999999998</v>
      </c>
    </row>
    <row r="68" spans="1:7" x14ac:dyDescent="0.3">
      <c r="G68" s="7">
        <f>G67/B66</f>
        <v>5119.4494163424124</v>
      </c>
    </row>
  </sheetData>
  <autoFilter ref="A3:V5" xr:uid="{5321A8FE-AE3F-4721-8745-DDAAECFC927C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C18D2-4E0E-494A-9CCA-A0BDCBD9B0D0}">
  <dimension ref="A1:N30"/>
  <sheetViews>
    <sheetView showGridLines="0" topLeftCell="B34" zoomScale="90" zoomScaleNormal="90" workbookViewId="0">
      <selection activeCell="F18" sqref="F18:J18"/>
    </sheetView>
  </sheetViews>
  <sheetFormatPr defaultRowHeight="14.4" x14ac:dyDescent="0.3"/>
  <cols>
    <col min="1" max="1" width="20.109375" hidden="1" customWidth="1"/>
    <col min="2" max="2" width="29.88671875" bestFit="1" customWidth="1"/>
    <col min="3" max="6" width="10.6640625" customWidth="1"/>
    <col min="14" max="14" width="11.109375" bestFit="1" customWidth="1"/>
  </cols>
  <sheetData>
    <row r="1" spans="2:14" ht="15" hidden="1" thickBot="1" x14ac:dyDescent="0.35"/>
    <row r="2" spans="2:14" ht="15" hidden="1" thickBot="1" x14ac:dyDescent="0.35"/>
    <row r="3" spans="2:14" ht="15" hidden="1" thickBot="1" x14ac:dyDescent="0.35"/>
    <row r="4" spans="2:14" ht="15" hidden="1" thickBot="1" x14ac:dyDescent="0.35"/>
    <row r="5" spans="2:14" ht="15" hidden="1" thickBot="1" x14ac:dyDescent="0.35"/>
    <row r="6" spans="2:14" ht="15" hidden="1" thickBot="1" x14ac:dyDescent="0.35">
      <c r="B6" s="52"/>
      <c r="C6" s="52"/>
      <c r="D6" s="52"/>
    </row>
    <row r="7" spans="2:14" ht="15" hidden="1" thickBot="1" x14ac:dyDescent="0.35">
      <c r="B7" s="52"/>
      <c r="C7" s="52"/>
      <c r="D7" s="52"/>
    </row>
    <row r="8" spans="2:14" ht="45.75" customHeight="1" x14ac:dyDescent="0.3">
      <c r="B8" s="53" t="s">
        <v>92</v>
      </c>
      <c r="C8" s="54"/>
      <c r="D8" s="54"/>
      <c r="E8" s="55"/>
      <c r="F8" s="55"/>
      <c r="G8" s="55"/>
      <c r="H8" s="55"/>
      <c r="I8" s="55"/>
      <c r="J8" s="56"/>
    </row>
    <row r="9" spans="2:14" ht="35.1" customHeight="1" x14ac:dyDescent="0.3">
      <c r="B9" s="57" t="s">
        <v>93</v>
      </c>
      <c r="C9" s="187" t="s">
        <v>94</v>
      </c>
      <c r="D9" s="188"/>
      <c r="E9" s="188"/>
      <c r="F9" s="188"/>
      <c r="G9" s="188"/>
      <c r="H9" s="188"/>
      <c r="I9" s="188"/>
      <c r="J9" s="189"/>
      <c r="K9" s="48"/>
    </row>
    <row r="10" spans="2:14" ht="35.1" customHeight="1" x14ac:dyDescent="0.3">
      <c r="B10" s="57" t="s">
        <v>95</v>
      </c>
      <c r="C10" s="187" t="s">
        <v>96</v>
      </c>
      <c r="D10" s="188"/>
      <c r="E10" s="188"/>
      <c r="F10" s="188"/>
      <c r="G10" s="188"/>
      <c r="H10" s="188"/>
      <c r="I10" s="188"/>
      <c r="J10" s="189"/>
      <c r="K10" s="48"/>
    </row>
    <row r="11" spans="2:14" ht="35.1" customHeight="1" x14ac:dyDescent="0.3">
      <c r="B11" s="57" t="s">
        <v>97</v>
      </c>
      <c r="C11" s="187" t="s">
        <v>98</v>
      </c>
      <c r="D11" s="188"/>
      <c r="E11" s="188"/>
      <c r="F11" s="188"/>
      <c r="G11" s="188"/>
      <c r="H11" s="188"/>
      <c r="I11" s="188"/>
      <c r="J11" s="189"/>
      <c r="K11" s="48"/>
    </row>
    <row r="12" spans="2:14" ht="35.1" customHeight="1" x14ac:dyDescent="0.3">
      <c r="B12" s="57" t="s">
        <v>99</v>
      </c>
      <c r="C12" s="187" t="s">
        <v>100</v>
      </c>
      <c r="D12" s="188"/>
      <c r="E12" s="188"/>
      <c r="F12" s="188"/>
      <c r="G12" s="188"/>
      <c r="H12" s="188"/>
      <c r="I12" s="188"/>
      <c r="J12" s="189"/>
      <c r="K12" s="48"/>
    </row>
    <row r="13" spans="2:14" ht="35.1" customHeight="1" x14ac:dyDescent="0.3">
      <c r="B13" s="57" t="s">
        <v>20</v>
      </c>
      <c r="C13" s="187" t="s">
        <v>101</v>
      </c>
      <c r="D13" s="188"/>
      <c r="E13" s="188"/>
      <c r="F13" s="188"/>
      <c r="G13" s="188"/>
      <c r="H13" s="188"/>
      <c r="I13" s="188"/>
      <c r="J13" s="189"/>
    </row>
    <row r="14" spans="2:14" ht="35.1" customHeight="1" x14ac:dyDescent="0.3">
      <c r="B14" s="57" t="s">
        <v>102</v>
      </c>
      <c r="C14" s="187" t="s">
        <v>103</v>
      </c>
      <c r="D14" s="188"/>
      <c r="E14" s="188"/>
      <c r="F14" s="188"/>
      <c r="G14" s="188"/>
      <c r="H14" s="188"/>
      <c r="I14" s="188"/>
      <c r="J14" s="189"/>
    </row>
    <row r="15" spans="2:14" ht="35.1" customHeight="1" x14ac:dyDescent="0.3">
      <c r="B15" s="57" t="s">
        <v>104</v>
      </c>
      <c r="C15" s="187" t="s">
        <v>105</v>
      </c>
      <c r="D15" s="188"/>
      <c r="E15" s="188"/>
      <c r="F15" s="188"/>
      <c r="G15" s="188"/>
      <c r="H15" s="188"/>
      <c r="I15" s="188"/>
      <c r="J15" s="189"/>
      <c r="N15" s="64"/>
    </row>
    <row r="16" spans="2:14" ht="35.1" customHeight="1" x14ac:dyDescent="0.3">
      <c r="B16" s="58" t="s">
        <v>106</v>
      </c>
      <c r="C16" s="187">
        <v>2</v>
      </c>
      <c r="D16" s="188"/>
      <c r="E16" s="188"/>
      <c r="F16" s="188"/>
      <c r="G16" s="188"/>
      <c r="H16" s="188"/>
      <c r="I16" s="188"/>
      <c r="J16" s="189"/>
      <c r="M16" s="63"/>
    </row>
    <row r="17" spans="2:12" ht="35.1" customHeight="1" x14ac:dyDescent="0.3">
      <c r="B17" s="59" t="s">
        <v>107</v>
      </c>
      <c r="C17" s="45" t="s">
        <v>57</v>
      </c>
      <c r="D17" s="47" t="s">
        <v>108</v>
      </c>
      <c r="E17" s="60" t="s">
        <v>41</v>
      </c>
      <c r="F17" s="60" t="s">
        <v>42</v>
      </c>
      <c r="G17" s="60" t="s">
        <v>43</v>
      </c>
      <c r="H17" s="60" t="s">
        <v>44</v>
      </c>
      <c r="I17" s="60" t="s">
        <v>27</v>
      </c>
      <c r="J17" s="61" t="s">
        <v>29</v>
      </c>
    </row>
    <row r="18" spans="2:12" ht="35.1" customHeight="1" x14ac:dyDescent="0.3">
      <c r="B18" s="59">
        <v>1</v>
      </c>
      <c r="C18" s="45"/>
      <c r="D18" s="45"/>
      <c r="E18" s="45" t="s">
        <v>51</v>
      </c>
      <c r="F18" s="45">
        <v>11.2</v>
      </c>
      <c r="G18" s="45">
        <v>3.25</v>
      </c>
      <c r="H18" s="45">
        <v>2.1</v>
      </c>
      <c r="I18" s="45">
        <v>9.65</v>
      </c>
      <c r="J18" s="45">
        <v>6</v>
      </c>
      <c r="L18" s="63"/>
    </row>
    <row r="19" spans="2:12" ht="35.1" customHeight="1" x14ac:dyDescent="0.3">
      <c r="B19" s="59">
        <v>2</v>
      </c>
      <c r="C19" s="45"/>
      <c r="D19" s="45"/>
      <c r="E19" s="66" t="s">
        <v>109</v>
      </c>
      <c r="F19" s="45">
        <v>11.2</v>
      </c>
      <c r="G19" s="45">
        <v>3.25</v>
      </c>
      <c r="H19" s="45">
        <v>2.1</v>
      </c>
      <c r="I19" s="45">
        <v>9.65</v>
      </c>
      <c r="J19" s="45">
        <v>6</v>
      </c>
    </row>
    <row r="20" spans="2:12" ht="35.1" customHeight="1" x14ac:dyDescent="0.3">
      <c r="B20" s="57" t="s">
        <v>110</v>
      </c>
      <c r="C20" s="187" t="s">
        <v>111</v>
      </c>
      <c r="D20" s="188"/>
      <c r="E20" s="188"/>
      <c r="F20" s="188"/>
      <c r="G20" s="188"/>
      <c r="H20" s="188"/>
      <c r="I20" s="188"/>
      <c r="J20" s="189"/>
    </row>
    <row r="21" spans="2:12" ht="35.1" customHeight="1" x14ac:dyDescent="0.3">
      <c r="B21" s="57" t="s">
        <v>112</v>
      </c>
      <c r="C21" s="187" t="s">
        <v>113</v>
      </c>
      <c r="D21" s="188"/>
      <c r="E21" s="188"/>
      <c r="F21" s="188"/>
      <c r="G21" s="188"/>
      <c r="H21" s="188"/>
      <c r="I21" s="188"/>
      <c r="J21" s="189"/>
    </row>
    <row r="22" spans="2:12" ht="35.1" customHeight="1" x14ac:dyDescent="0.3">
      <c r="B22" s="57" t="s">
        <v>114</v>
      </c>
      <c r="C22" s="187" t="s">
        <v>115</v>
      </c>
      <c r="D22" s="188"/>
      <c r="E22" s="188"/>
      <c r="F22" s="188"/>
      <c r="G22" s="188"/>
      <c r="H22" s="188"/>
      <c r="I22" s="188"/>
      <c r="J22" s="189"/>
    </row>
    <row r="23" spans="2:12" ht="35.1" customHeight="1" x14ac:dyDescent="0.3">
      <c r="B23" s="57" t="s">
        <v>116</v>
      </c>
      <c r="C23" s="193" t="s">
        <v>117</v>
      </c>
      <c r="D23" s="194"/>
      <c r="E23" s="194"/>
      <c r="F23" s="194"/>
      <c r="G23" s="194"/>
      <c r="H23" s="194"/>
      <c r="I23" s="194"/>
      <c r="J23" s="195"/>
    </row>
    <row r="24" spans="2:12" ht="35.1" customHeight="1" x14ac:dyDescent="0.3">
      <c r="B24" s="57" t="s">
        <v>118</v>
      </c>
      <c r="C24" s="193">
        <v>45025</v>
      </c>
      <c r="D24" s="194"/>
      <c r="E24" s="194"/>
      <c r="F24" s="194"/>
      <c r="G24" s="194"/>
      <c r="H24" s="194"/>
      <c r="I24" s="194"/>
      <c r="J24" s="195"/>
    </row>
    <row r="25" spans="2:12" ht="35.1" customHeight="1" x14ac:dyDescent="0.3">
      <c r="B25" s="57" t="s">
        <v>119</v>
      </c>
      <c r="C25" s="187" t="s">
        <v>120</v>
      </c>
      <c r="D25" s="188"/>
      <c r="E25" s="188"/>
      <c r="F25" s="188"/>
      <c r="G25" s="188"/>
      <c r="H25" s="188"/>
      <c r="I25" s="188"/>
      <c r="J25" s="189"/>
    </row>
    <row r="26" spans="2:12" ht="35.1" customHeight="1" x14ac:dyDescent="0.3">
      <c r="B26" s="57" t="s">
        <v>121</v>
      </c>
      <c r="C26" s="196" t="s">
        <v>122</v>
      </c>
      <c r="D26" s="196"/>
      <c r="E26" s="196"/>
      <c r="F26" s="197"/>
      <c r="G26" s="198" t="s">
        <v>123</v>
      </c>
      <c r="H26" s="196"/>
      <c r="I26" s="196"/>
      <c r="J26" s="199"/>
    </row>
    <row r="27" spans="2:12" ht="35.1" customHeight="1" x14ac:dyDescent="0.3">
      <c r="B27" s="58" t="s">
        <v>124</v>
      </c>
      <c r="C27" s="187"/>
      <c r="D27" s="188"/>
      <c r="E27" s="188"/>
      <c r="F27" s="188"/>
      <c r="G27" s="188"/>
      <c r="H27" s="188"/>
      <c r="I27" s="188"/>
      <c r="J27" s="189"/>
    </row>
    <row r="28" spans="2:12" ht="35.1" customHeight="1" x14ac:dyDescent="0.3">
      <c r="B28" s="57" t="s">
        <v>125</v>
      </c>
      <c r="C28" s="200"/>
      <c r="D28" s="201"/>
      <c r="E28" s="201"/>
      <c r="F28" s="201"/>
      <c r="G28" s="201"/>
      <c r="H28" s="201"/>
      <c r="I28" s="201"/>
      <c r="J28" s="202"/>
    </row>
    <row r="29" spans="2:12" ht="60" customHeight="1" x14ac:dyDescent="0.3">
      <c r="B29" s="58" t="s">
        <v>126</v>
      </c>
      <c r="C29" s="187"/>
      <c r="D29" s="188"/>
      <c r="E29" s="188"/>
      <c r="F29" s="188"/>
      <c r="G29" s="188"/>
      <c r="H29" s="188"/>
      <c r="I29" s="188"/>
      <c r="J29" s="189"/>
    </row>
    <row r="30" spans="2:12" ht="60" customHeight="1" thickBot="1" x14ac:dyDescent="0.35">
      <c r="B30" s="62" t="s">
        <v>127</v>
      </c>
      <c r="C30" s="190"/>
      <c r="D30" s="191"/>
      <c r="E30" s="191"/>
      <c r="F30" s="191"/>
      <c r="G30" s="191"/>
      <c r="H30" s="191"/>
      <c r="I30" s="191"/>
      <c r="J30" s="192"/>
    </row>
  </sheetData>
  <mergeCells count="20">
    <mergeCell ref="C23:J23"/>
    <mergeCell ref="C9:J9"/>
    <mergeCell ref="C10:J10"/>
    <mergeCell ref="C11:J11"/>
    <mergeCell ref="C12:J12"/>
    <mergeCell ref="C13:J13"/>
    <mergeCell ref="C14:J14"/>
    <mergeCell ref="C15:J15"/>
    <mergeCell ref="C16:J16"/>
    <mergeCell ref="C20:J20"/>
    <mergeCell ref="C21:J21"/>
    <mergeCell ref="C22:J22"/>
    <mergeCell ref="C29:J29"/>
    <mergeCell ref="C30:J30"/>
    <mergeCell ref="C24:J24"/>
    <mergeCell ref="C25:J25"/>
    <mergeCell ref="C26:F26"/>
    <mergeCell ref="G26:J26"/>
    <mergeCell ref="C27:J27"/>
    <mergeCell ref="C28:J28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985" r:id="rId4" name="Check Box 1">
              <controlPr defaultSize="0" autoFill="0" autoLine="0" autoPict="0">
                <anchor moveWithCells="1">
                  <from>
                    <xdr:col>4</xdr:col>
                    <xdr:colOff>144780</xdr:colOff>
                    <xdr:row>25</xdr:row>
                    <xdr:rowOff>114300</xdr:rowOff>
                  </from>
                  <to>
                    <xdr:col>4</xdr:col>
                    <xdr:colOff>388620</xdr:colOff>
                    <xdr:row>25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86" r:id="rId5" name="Check Box 2">
              <controlPr defaultSize="0" autoFill="0" autoLine="0" autoPict="0">
                <anchor moveWithCells="1">
                  <from>
                    <xdr:col>8</xdr:col>
                    <xdr:colOff>160020</xdr:colOff>
                    <xdr:row>25</xdr:row>
                    <xdr:rowOff>114300</xdr:rowOff>
                  </from>
                  <to>
                    <xdr:col>8</xdr:col>
                    <xdr:colOff>419100</xdr:colOff>
                    <xdr:row>25</xdr:row>
                    <xdr:rowOff>297180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40AEF83AE2E4C43860508BD3F45EFF1" ma:contentTypeVersion="14" ma:contentTypeDescription="Crie um novo documento." ma:contentTypeScope="" ma:versionID="03454f2e46f87a230baa63abe6ae244e">
  <xsd:schema xmlns:xsd="http://www.w3.org/2001/XMLSchema" xmlns:xs="http://www.w3.org/2001/XMLSchema" xmlns:p="http://schemas.microsoft.com/office/2006/metadata/properties" xmlns:ns2="c804c3ac-e1bd-4a3b-8663-545e021c8171" xmlns:ns3="b81ac5c0-75f1-4ae4-b6c0-4c413cfcaf0e" targetNamespace="http://schemas.microsoft.com/office/2006/metadata/properties" ma:root="true" ma:fieldsID="9cd5188ad430b261e2569c720ef633a1" ns2:_="" ns3:_="">
    <xsd:import namespace="c804c3ac-e1bd-4a3b-8663-545e021c8171"/>
    <xsd:import namespace="b81ac5c0-75f1-4ae4-b6c0-4c413cfcaf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04c3ac-e1bd-4a3b-8663-545e021c81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8fa8fb37-cb7c-4fcf-9922-39972c960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1ac5c0-75f1-4ae4-b6c0-4c413cfcaf0e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58f7ec9a-7396-45cd-ac8f-cf5113e83906}" ma:internalName="TaxCatchAll" ma:showField="CatchAllData" ma:web="b81ac5c0-75f1-4ae4-b6c0-4c413cfcaf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04c3ac-e1bd-4a3b-8663-545e021c8171">
      <Terms xmlns="http://schemas.microsoft.com/office/infopath/2007/PartnerControls"/>
    </lcf76f155ced4ddcb4097134ff3c332f>
    <TaxCatchAll xmlns="b81ac5c0-75f1-4ae4-b6c0-4c413cfcaf0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B0165D-E59A-4333-9721-5FA959723F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04c3ac-e1bd-4a3b-8663-545e021c8171"/>
    <ds:schemaRef ds:uri="b81ac5c0-75f1-4ae4-b6c0-4c413cfcaf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EC2D211-EA02-4AA4-82A5-B4B2252F399D}">
  <ds:schemaRefs>
    <ds:schemaRef ds:uri="http://schemas.microsoft.com/office/2006/metadata/properties"/>
    <ds:schemaRef ds:uri="http://schemas.microsoft.com/office/infopath/2007/PartnerControls"/>
    <ds:schemaRef ds:uri="c804c3ac-e1bd-4a3b-8663-545e021c8171"/>
    <ds:schemaRef ds:uri="b81ac5c0-75f1-4ae4-b6c0-4c413cfcaf0e"/>
  </ds:schemaRefs>
</ds:datastoreItem>
</file>

<file path=customXml/itemProps3.xml><?xml version="1.0" encoding="utf-8"?>
<ds:datastoreItem xmlns:ds="http://schemas.openxmlformats.org/officeDocument/2006/customXml" ds:itemID="{5738B07F-1D45-4C0F-9149-48932ACE6C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RESUMO 100%</vt:lpstr>
      <vt:lpstr>Lista de Compra</vt:lpstr>
      <vt:lpstr>Est. Cust. Naci. 100%</vt:lpstr>
      <vt:lpstr>Rateio Custos Fixos</vt:lpstr>
      <vt:lpstr>Formulário EDC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Maury</dc:creator>
  <cp:keywords/>
  <dc:description/>
  <cp:lastModifiedBy>Operacional 1</cp:lastModifiedBy>
  <cp:revision/>
  <cp:lastPrinted>2026-05-14T11:51:28Z</cp:lastPrinted>
  <dcterms:created xsi:type="dcterms:W3CDTF">2020-09-11T13:51:26Z</dcterms:created>
  <dcterms:modified xsi:type="dcterms:W3CDTF">2026-07-30T16:56:21Z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0x010100640AEF83AE2E4C43860508BD3F45EFF1</vt:lpwstr>
  </property>
  <property fmtid="{D5CDD505-2E9C-101B-9397-08002B2CF9AE}" pid="3" name="MediaServiceImageTags">
    <vt:lpwstr/>
  </property>
</Properties>
</file>