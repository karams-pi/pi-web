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roline B\Downloads\"/>
    </mc:Choice>
  </mc:AlternateContent>
  <xr:revisionPtr revIDLastSave="0" documentId="13_ncr:1_{0548F6CF-D97A-4D35-A178-B83B1BB80B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 100%" sheetId="1" r:id="rId1"/>
    <sheet name="Lista de Compra" sheetId="2" r:id="rId2"/>
    <sheet name="Est. Cust. Naci. 100%" sheetId="3" r:id="rId3"/>
    <sheet name="Rateio Custos Fixos" sheetId="4" r:id="rId4"/>
    <sheet name="Formulário EDC" sheetId="5" state="hidden" r:id="rId5"/>
  </sheets>
  <definedNames>
    <definedName name="_xlnm._FilterDatabase" localSheetId="2" hidden="1">'Est. Cust. Naci. 100%'!$A$4:$AJ$6</definedName>
    <definedName name="_xlnm._FilterDatabase" localSheetId="3" hidden="1">'Rateio Custos Fixos'!$A$3:$V$5</definedName>
    <definedName name="OLE_LINK4" localSheetId="1">'Lista de Compra'!#REF!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9" i="4" l="1"/>
  <c r="G168" i="4"/>
  <c r="G170" i="4" s="1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V4" i="4"/>
  <c r="B4" i="4"/>
  <c r="C3" i="4"/>
  <c r="F167" i="3"/>
  <c r="D167" i="3"/>
  <c r="G167" i="3" s="1"/>
  <c r="H167" i="3" s="1"/>
  <c r="C167" i="3"/>
  <c r="B167" i="3"/>
  <c r="A167" i="3"/>
  <c r="F166" i="3"/>
  <c r="D166" i="3"/>
  <c r="G166" i="3" s="1"/>
  <c r="H166" i="3" s="1"/>
  <c r="C166" i="3"/>
  <c r="B166" i="3"/>
  <c r="A166" i="3"/>
  <c r="F165" i="3"/>
  <c r="D165" i="3"/>
  <c r="G165" i="3" s="1"/>
  <c r="H165" i="3" s="1"/>
  <c r="C165" i="3"/>
  <c r="B165" i="3"/>
  <c r="A165" i="3"/>
  <c r="F164" i="3"/>
  <c r="D164" i="3"/>
  <c r="G164" i="3" s="1"/>
  <c r="H164" i="3" s="1"/>
  <c r="C164" i="3"/>
  <c r="B164" i="3"/>
  <c r="A164" i="3"/>
  <c r="F163" i="3"/>
  <c r="D163" i="3"/>
  <c r="G163" i="3" s="1"/>
  <c r="H163" i="3" s="1"/>
  <c r="C163" i="3"/>
  <c r="B163" i="3"/>
  <c r="A163" i="3"/>
  <c r="F162" i="3"/>
  <c r="D162" i="3"/>
  <c r="G162" i="3" s="1"/>
  <c r="H162" i="3" s="1"/>
  <c r="C162" i="3"/>
  <c r="B162" i="3"/>
  <c r="A162" i="3"/>
  <c r="F161" i="3"/>
  <c r="D161" i="3"/>
  <c r="G161" i="3" s="1"/>
  <c r="H161" i="3" s="1"/>
  <c r="C161" i="3"/>
  <c r="B161" i="3"/>
  <c r="A161" i="3"/>
  <c r="F160" i="3"/>
  <c r="D160" i="3"/>
  <c r="G160" i="3" s="1"/>
  <c r="H160" i="3" s="1"/>
  <c r="C160" i="3"/>
  <c r="B160" i="3"/>
  <c r="A160" i="3"/>
  <c r="F159" i="3"/>
  <c r="D159" i="3"/>
  <c r="G159" i="3" s="1"/>
  <c r="H159" i="3" s="1"/>
  <c r="C159" i="3"/>
  <c r="B159" i="3"/>
  <c r="A159" i="3"/>
  <c r="F158" i="3"/>
  <c r="D158" i="3"/>
  <c r="G158" i="3" s="1"/>
  <c r="H158" i="3" s="1"/>
  <c r="C158" i="3"/>
  <c r="B158" i="3"/>
  <c r="A158" i="3"/>
  <c r="F157" i="3"/>
  <c r="D157" i="3"/>
  <c r="G157" i="3" s="1"/>
  <c r="H157" i="3" s="1"/>
  <c r="C157" i="3"/>
  <c r="B157" i="3"/>
  <c r="A157" i="3"/>
  <c r="F156" i="3"/>
  <c r="D156" i="3"/>
  <c r="G156" i="3" s="1"/>
  <c r="H156" i="3" s="1"/>
  <c r="C156" i="3"/>
  <c r="B156" i="3"/>
  <c r="A156" i="3"/>
  <c r="F155" i="3"/>
  <c r="D155" i="3"/>
  <c r="G155" i="3" s="1"/>
  <c r="H155" i="3" s="1"/>
  <c r="C155" i="3"/>
  <c r="B155" i="3"/>
  <c r="A155" i="3"/>
  <c r="F154" i="3"/>
  <c r="D154" i="3"/>
  <c r="G154" i="3" s="1"/>
  <c r="H154" i="3" s="1"/>
  <c r="C154" i="3"/>
  <c r="B154" i="3"/>
  <c r="A154" i="3"/>
  <c r="F153" i="3"/>
  <c r="D153" i="3"/>
  <c r="G153" i="3" s="1"/>
  <c r="H153" i="3" s="1"/>
  <c r="C153" i="3"/>
  <c r="B153" i="3"/>
  <c r="A153" i="3"/>
  <c r="F152" i="3"/>
  <c r="D152" i="3"/>
  <c r="G152" i="3" s="1"/>
  <c r="H152" i="3" s="1"/>
  <c r="C152" i="3"/>
  <c r="B152" i="3"/>
  <c r="A152" i="3"/>
  <c r="F151" i="3"/>
  <c r="D151" i="3"/>
  <c r="G151" i="3" s="1"/>
  <c r="H151" i="3" s="1"/>
  <c r="C151" i="3"/>
  <c r="B151" i="3"/>
  <c r="A151" i="3"/>
  <c r="F150" i="3"/>
  <c r="D150" i="3"/>
  <c r="G150" i="3" s="1"/>
  <c r="H150" i="3" s="1"/>
  <c r="C150" i="3"/>
  <c r="B150" i="3"/>
  <c r="A150" i="3"/>
  <c r="F149" i="3"/>
  <c r="D149" i="3"/>
  <c r="G149" i="3" s="1"/>
  <c r="H149" i="3" s="1"/>
  <c r="C149" i="3"/>
  <c r="B149" i="3"/>
  <c r="A149" i="3"/>
  <c r="F148" i="3"/>
  <c r="D148" i="3"/>
  <c r="G148" i="3" s="1"/>
  <c r="H148" i="3" s="1"/>
  <c r="C148" i="3"/>
  <c r="B148" i="3"/>
  <c r="A148" i="3"/>
  <c r="F147" i="3"/>
  <c r="D147" i="3"/>
  <c r="G147" i="3" s="1"/>
  <c r="H147" i="3" s="1"/>
  <c r="C147" i="3"/>
  <c r="B147" i="3"/>
  <c r="A147" i="3"/>
  <c r="F146" i="3"/>
  <c r="D146" i="3"/>
  <c r="G146" i="3" s="1"/>
  <c r="H146" i="3" s="1"/>
  <c r="C146" i="3"/>
  <c r="B146" i="3"/>
  <c r="A146" i="3"/>
  <c r="F145" i="3"/>
  <c r="D145" i="3"/>
  <c r="G145" i="3" s="1"/>
  <c r="H145" i="3" s="1"/>
  <c r="C145" i="3"/>
  <c r="B145" i="3"/>
  <c r="A145" i="3"/>
  <c r="F144" i="3"/>
  <c r="D144" i="3"/>
  <c r="G144" i="3" s="1"/>
  <c r="H144" i="3" s="1"/>
  <c r="C144" i="3"/>
  <c r="B144" i="3"/>
  <c r="A144" i="3"/>
  <c r="F143" i="3"/>
  <c r="D143" i="3"/>
  <c r="G143" i="3" s="1"/>
  <c r="H143" i="3" s="1"/>
  <c r="C143" i="3"/>
  <c r="B143" i="3"/>
  <c r="A143" i="3"/>
  <c r="F142" i="3"/>
  <c r="D142" i="3"/>
  <c r="G142" i="3" s="1"/>
  <c r="H142" i="3" s="1"/>
  <c r="C142" i="3"/>
  <c r="B142" i="3"/>
  <c r="A142" i="3"/>
  <c r="F141" i="3"/>
  <c r="D141" i="3"/>
  <c r="G141" i="3" s="1"/>
  <c r="H141" i="3" s="1"/>
  <c r="C141" i="3"/>
  <c r="B141" i="3"/>
  <c r="A141" i="3"/>
  <c r="F140" i="3"/>
  <c r="D140" i="3"/>
  <c r="G140" i="3" s="1"/>
  <c r="H140" i="3" s="1"/>
  <c r="C140" i="3"/>
  <c r="B140" i="3"/>
  <c r="A140" i="3"/>
  <c r="F139" i="3"/>
  <c r="D139" i="3"/>
  <c r="G139" i="3" s="1"/>
  <c r="H139" i="3" s="1"/>
  <c r="C139" i="3"/>
  <c r="B139" i="3"/>
  <c r="A139" i="3"/>
  <c r="F138" i="3"/>
  <c r="D138" i="3"/>
  <c r="G138" i="3" s="1"/>
  <c r="H138" i="3" s="1"/>
  <c r="C138" i="3"/>
  <c r="B138" i="3"/>
  <c r="A138" i="3"/>
  <c r="F137" i="3"/>
  <c r="D137" i="3"/>
  <c r="G137" i="3" s="1"/>
  <c r="H137" i="3" s="1"/>
  <c r="C137" i="3"/>
  <c r="B137" i="3"/>
  <c r="A137" i="3"/>
  <c r="F136" i="3"/>
  <c r="D136" i="3"/>
  <c r="G136" i="3" s="1"/>
  <c r="H136" i="3" s="1"/>
  <c r="C136" i="3"/>
  <c r="B136" i="3"/>
  <c r="A136" i="3"/>
  <c r="F135" i="3"/>
  <c r="D135" i="3"/>
  <c r="G135" i="3" s="1"/>
  <c r="H135" i="3" s="1"/>
  <c r="C135" i="3"/>
  <c r="B135" i="3"/>
  <c r="A135" i="3"/>
  <c r="F134" i="3"/>
  <c r="D134" i="3"/>
  <c r="G134" i="3" s="1"/>
  <c r="H134" i="3" s="1"/>
  <c r="C134" i="3"/>
  <c r="B134" i="3"/>
  <c r="A134" i="3"/>
  <c r="F133" i="3"/>
  <c r="D133" i="3"/>
  <c r="G133" i="3" s="1"/>
  <c r="H133" i="3" s="1"/>
  <c r="C133" i="3"/>
  <c r="B133" i="3"/>
  <c r="A133" i="3"/>
  <c r="F132" i="3"/>
  <c r="D132" i="3"/>
  <c r="G132" i="3" s="1"/>
  <c r="H132" i="3" s="1"/>
  <c r="C132" i="3"/>
  <c r="B132" i="3"/>
  <c r="A132" i="3"/>
  <c r="F131" i="3"/>
  <c r="D131" i="3"/>
  <c r="G131" i="3" s="1"/>
  <c r="H131" i="3" s="1"/>
  <c r="C131" i="3"/>
  <c r="B131" i="3"/>
  <c r="A131" i="3"/>
  <c r="F130" i="3"/>
  <c r="D130" i="3"/>
  <c r="G130" i="3" s="1"/>
  <c r="H130" i="3" s="1"/>
  <c r="C130" i="3"/>
  <c r="B130" i="3"/>
  <c r="A130" i="3"/>
  <c r="F129" i="3"/>
  <c r="D129" i="3"/>
  <c r="G129" i="3" s="1"/>
  <c r="H129" i="3" s="1"/>
  <c r="C129" i="3"/>
  <c r="B129" i="3"/>
  <c r="A129" i="3"/>
  <c r="F128" i="3"/>
  <c r="D128" i="3"/>
  <c r="G128" i="3" s="1"/>
  <c r="H128" i="3" s="1"/>
  <c r="C128" i="3"/>
  <c r="B128" i="3"/>
  <c r="A128" i="3"/>
  <c r="F127" i="3"/>
  <c r="D127" i="3"/>
  <c r="G127" i="3" s="1"/>
  <c r="H127" i="3" s="1"/>
  <c r="C127" i="3"/>
  <c r="B127" i="3"/>
  <c r="A127" i="3"/>
  <c r="F126" i="3"/>
  <c r="D126" i="3"/>
  <c r="G126" i="3" s="1"/>
  <c r="H126" i="3" s="1"/>
  <c r="C126" i="3"/>
  <c r="B126" i="3"/>
  <c r="A126" i="3"/>
  <c r="F125" i="3"/>
  <c r="D125" i="3"/>
  <c r="G125" i="3" s="1"/>
  <c r="H125" i="3" s="1"/>
  <c r="C125" i="3"/>
  <c r="B125" i="3"/>
  <c r="A125" i="3"/>
  <c r="F124" i="3"/>
  <c r="D124" i="3"/>
  <c r="G124" i="3" s="1"/>
  <c r="H124" i="3" s="1"/>
  <c r="C124" i="3"/>
  <c r="B124" i="3"/>
  <c r="A124" i="3"/>
  <c r="F123" i="3"/>
  <c r="D123" i="3"/>
  <c r="G123" i="3" s="1"/>
  <c r="H123" i="3" s="1"/>
  <c r="C123" i="3"/>
  <c r="B123" i="3"/>
  <c r="A123" i="3"/>
  <c r="F122" i="3"/>
  <c r="D122" i="3"/>
  <c r="G122" i="3" s="1"/>
  <c r="H122" i="3" s="1"/>
  <c r="C122" i="3"/>
  <c r="B122" i="3"/>
  <c r="A122" i="3"/>
  <c r="F121" i="3"/>
  <c r="D121" i="3"/>
  <c r="G121" i="3" s="1"/>
  <c r="H121" i="3" s="1"/>
  <c r="C121" i="3"/>
  <c r="B121" i="3"/>
  <c r="A121" i="3"/>
  <c r="F120" i="3"/>
  <c r="D120" i="3"/>
  <c r="G120" i="3" s="1"/>
  <c r="H120" i="3" s="1"/>
  <c r="C120" i="3"/>
  <c r="B120" i="3"/>
  <c r="A120" i="3"/>
  <c r="F119" i="3"/>
  <c r="D119" i="3"/>
  <c r="G119" i="3" s="1"/>
  <c r="H119" i="3" s="1"/>
  <c r="C119" i="3"/>
  <c r="B119" i="3"/>
  <c r="A119" i="3"/>
  <c r="F118" i="3"/>
  <c r="D118" i="3"/>
  <c r="G118" i="3" s="1"/>
  <c r="H118" i="3" s="1"/>
  <c r="C118" i="3"/>
  <c r="B118" i="3"/>
  <c r="A118" i="3"/>
  <c r="F117" i="3"/>
  <c r="D117" i="3"/>
  <c r="G117" i="3" s="1"/>
  <c r="H117" i="3" s="1"/>
  <c r="C117" i="3"/>
  <c r="B117" i="3"/>
  <c r="A117" i="3"/>
  <c r="F116" i="3"/>
  <c r="D116" i="3"/>
  <c r="G116" i="3" s="1"/>
  <c r="H116" i="3" s="1"/>
  <c r="C116" i="3"/>
  <c r="B116" i="3"/>
  <c r="A116" i="3"/>
  <c r="F115" i="3"/>
  <c r="D115" i="3"/>
  <c r="G115" i="3" s="1"/>
  <c r="H115" i="3" s="1"/>
  <c r="C115" i="3"/>
  <c r="B115" i="3"/>
  <c r="A115" i="3"/>
  <c r="F114" i="3"/>
  <c r="D114" i="3"/>
  <c r="G114" i="3" s="1"/>
  <c r="H114" i="3" s="1"/>
  <c r="C114" i="3"/>
  <c r="B114" i="3"/>
  <c r="A114" i="3"/>
  <c r="F113" i="3"/>
  <c r="D113" i="3"/>
  <c r="G113" i="3" s="1"/>
  <c r="H113" i="3" s="1"/>
  <c r="C113" i="3"/>
  <c r="B113" i="3"/>
  <c r="A113" i="3"/>
  <c r="F112" i="3"/>
  <c r="D112" i="3"/>
  <c r="G112" i="3" s="1"/>
  <c r="H112" i="3" s="1"/>
  <c r="C112" i="3"/>
  <c r="B112" i="3"/>
  <c r="A112" i="3"/>
  <c r="F111" i="3"/>
  <c r="D111" i="3"/>
  <c r="G111" i="3" s="1"/>
  <c r="H111" i="3" s="1"/>
  <c r="C111" i="3"/>
  <c r="B111" i="3"/>
  <c r="A111" i="3"/>
  <c r="F110" i="3"/>
  <c r="D110" i="3"/>
  <c r="G110" i="3" s="1"/>
  <c r="H110" i="3" s="1"/>
  <c r="C110" i="3"/>
  <c r="B110" i="3"/>
  <c r="A110" i="3"/>
  <c r="F109" i="3"/>
  <c r="D109" i="3"/>
  <c r="G109" i="3" s="1"/>
  <c r="H109" i="3" s="1"/>
  <c r="C109" i="3"/>
  <c r="B109" i="3"/>
  <c r="A109" i="3"/>
  <c r="F108" i="3"/>
  <c r="D108" i="3"/>
  <c r="G108" i="3" s="1"/>
  <c r="H108" i="3" s="1"/>
  <c r="C108" i="3"/>
  <c r="B108" i="3"/>
  <c r="A108" i="3"/>
  <c r="F107" i="3"/>
  <c r="D107" i="3"/>
  <c r="G107" i="3" s="1"/>
  <c r="H107" i="3" s="1"/>
  <c r="C107" i="3"/>
  <c r="B107" i="3"/>
  <c r="A107" i="3"/>
  <c r="F106" i="3"/>
  <c r="D106" i="3"/>
  <c r="G106" i="3" s="1"/>
  <c r="H106" i="3" s="1"/>
  <c r="C106" i="3"/>
  <c r="B106" i="3"/>
  <c r="A106" i="3"/>
  <c r="F105" i="3"/>
  <c r="D105" i="3"/>
  <c r="G105" i="3" s="1"/>
  <c r="H105" i="3" s="1"/>
  <c r="C105" i="3"/>
  <c r="B105" i="3"/>
  <c r="A105" i="3"/>
  <c r="F104" i="3"/>
  <c r="D104" i="3"/>
  <c r="G104" i="3" s="1"/>
  <c r="H104" i="3" s="1"/>
  <c r="C104" i="3"/>
  <c r="B104" i="3"/>
  <c r="A104" i="3"/>
  <c r="F103" i="3"/>
  <c r="D103" i="3"/>
  <c r="G103" i="3" s="1"/>
  <c r="H103" i="3" s="1"/>
  <c r="C103" i="3"/>
  <c r="B103" i="3"/>
  <c r="A103" i="3"/>
  <c r="F102" i="3"/>
  <c r="D102" i="3"/>
  <c r="G102" i="3" s="1"/>
  <c r="H102" i="3" s="1"/>
  <c r="C102" i="3"/>
  <c r="B102" i="3"/>
  <c r="A102" i="3"/>
  <c r="F101" i="3"/>
  <c r="D101" i="3"/>
  <c r="G101" i="3" s="1"/>
  <c r="H101" i="3" s="1"/>
  <c r="C101" i="3"/>
  <c r="B101" i="3"/>
  <c r="A101" i="3"/>
  <c r="F100" i="3"/>
  <c r="D100" i="3"/>
  <c r="G100" i="3" s="1"/>
  <c r="H100" i="3" s="1"/>
  <c r="C100" i="3"/>
  <c r="B100" i="3"/>
  <c r="A100" i="3"/>
  <c r="F99" i="3"/>
  <c r="D99" i="3"/>
  <c r="G99" i="3" s="1"/>
  <c r="H99" i="3" s="1"/>
  <c r="C99" i="3"/>
  <c r="B99" i="3"/>
  <c r="A99" i="3"/>
  <c r="F98" i="3"/>
  <c r="D98" i="3"/>
  <c r="G98" i="3" s="1"/>
  <c r="H98" i="3" s="1"/>
  <c r="C98" i="3"/>
  <c r="B98" i="3"/>
  <c r="A98" i="3"/>
  <c r="F97" i="3"/>
  <c r="D97" i="3"/>
  <c r="G97" i="3" s="1"/>
  <c r="H97" i="3" s="1"/>
  <c r="C97" i="3"/>
  <c r="B97" i="3"/>
  <c r="A97" i="3"/>
  <c r="F96" i="3"/>
  <c r="D96" i="3"/>
  <c r="G96" i="3" s="1"/>
  <c r="H96" i="3" s="1"/>
  <c r="C96" i="3"/>
  <c r="B96" i="3"/>
  <c r="A96" i="3"/>
  <c r="F95" i="3"/>
  <c r="D95" i="3"/>
  <c r="G95" i="3" s="1"/>
  <c r="H95" i="3" s="1"/>
  <c r="C95" i="3"/>
  <c r="B95" i="3"/>
  <c r="A95" i="3"/>
  <c r="F94" i="3"/>
  <c r="D94" i="3"/>
  <c r="G94" i="3" s="1"/>
  <c r="H94" i="3" s="1"/>
  <c r="C94" i="3"/>
  <c r="B94" i="3"/>
  <c r="A94" i="3"/>
  <c r="F93" i="3"/>
  <c r="D93" i="3"/>
  <c r="G93" i="3" s="1"/>
  <c r="H93" i="3" s="1"/>
  <c r="C93" i="3"/>
  <c r="B93" i="3"/>
  <c r="A93" i="3"/>
  <c r="F92" i="3"/>
  <c r="D92" i="3"/>
  <c r="G92" i="3" s="1"/>
  <c r="H92" i="3" s="1"/>
  <c r="C92" i="3"/>
  <c r="B92" i="3"/>
  <c r="A92" i="3"/>
  <c r="F91" i="3"/>
  <c r="D91" i="3"/>
  <c r="G91" i="3" s="1"/>
  <c r="H91" i="3" s="1"/>
  <c r="C91" i="3"/>
  <c r="B91" i="3"/>
  <c r="A91" i="3"/>
  <c r="F90" i="3"/>
  <c r="D90" i="3"/>
  <c r="G90" i="3" s="1"/>
  <c r="H90" i="3" s="1"/>
  <c r="C90" i="3"/>
  <c r="B90" i="3"/>
  <c r="A90" i="3"/>
  <c r="F89" i="3"/>
  <c r="D89" i="3"/>
  <c r="G89" i="3" s="1"/>
  <c r="H89" i="3" s="1"/>
  <c r="C89" i="3"/>
  <c r="B89" i="3"/>
  <c r="A89" i="3"/>
  <c r="F88" i="3"/>
  <c r="D88" i="3"/>
  <c r="G88" i="3" s="1"/>
  <c r="H88" i="3" s="1"/>
  <c r="C88" i="3"/>
  <c r="B88" i="3"/>
  <c r="A88" i="3"/>
  <c r="F87" i="3"/>
  <c r="D87" i="3"/>
  <c r="G87" i="3" s="1"/>
  <c r="H87" i="3" s="1"/>
  <c r="C87" i="3"/>
  <c r="B87" i="3"/>
  <c r="A87" i="3"/>
  <c r="F86" i="3"/>
  <c r="D86" i="3"/>
  <c r="G86" i="3" s="1"/>
  <c r="H86" i="3" s="1"/>
  <c r="C86" i="3"/>
  <c r="B86" i="3"/>
  <c r="A86" i="3"/>
  <c r="F85" i="3"/>
  <c r="D85" i="3"/>
  <c r="G85" i="3" s="1"/>
  <c r="H85" i="3" s="1"/>
  <c r="C85" i="3"/>
  <c r="B85" i="3"/>
  <c r="A85" i="3"/>
  <c r="F84" i="3"/>
  <c r="D84" i="3"/>
  <c r="G84" i="3" s="1"/>
  <c r="H84" i="3" s="1"/>
  <c r="C84" i="3"/>
  <c r="B84" i="3"/>
  <c r="A84" i="3"/>
  <c r="F83" i="3"/>
  <c r="D83" i="3"/>
  <c r="G83" i="3" s="1"/>
  <c r="H83" i="3" s="1"/>
  <c r="C83" i="3"/>
  <c r="B83" i="3"/>
  <c r="A83" i="3"/>
  <c r="F82" i="3"/>
  <c r="D82" i="3"/>
  <c r="G82" i="3" s="1"/>
  <c r="H82" i="3" s="1"/>
  <c r="C82" i="3"/>
  <c r="B82" i="3"/>
  <c r="A82" i="3"/>
  <c r="F81" i="3"/>
  <c r="D81" i="3"/>
  <c r="G81" i="3" s="1"/>
  <c r="H81" i="3" s="1"/>
  <c r="C81" i="3"/>
  <c r="B81" i="3"/>
  <c r="A81" i="3"/>
  <c r="F80" i="3"/>
  <c r="D80" i="3"/>
  <c r="G80" i="3" s="1"/>
  <c r="H80" i="3" s="1"/>
  <c r="C80" i="3"/>
  <c r="B80" i="3"/>
  <c r="A80" i="3"/>
  <c r="F79" i="3"/>
  <c r="D79" i="3"/>
  <c r="G79" i="3" s="1"/>
  <c r="H79" i="3" s="1"/>
  <c r="C79" i="3"/>
  <c r="B79" i="3"/>
  <c r="A79" i="3"/>
  <c r="F78" i="3"/>
  <c r="D78" i="3"/>
  <c r="G78" i="3" s="1"/>
  <c r="H78" i="3" s="1"/>
  <c r="C78" i="3"/>
  <c r="B78" i="3"/>
  <c r="A78" i="3"/>
  <c r="F77" i="3"/>
  <c r="D77" i="3"/>
  <c r="G77" i="3" s="1"/>
  <c r="H77" i="3" s="1"/>
  <c r="C77" i="3"/>
  <c r="B77" i="3"/>
  <c r="A77" i="3"/>
  <c r="F76" i="3"/>
  <c r="D76" i="3"/>
  <c r="G76" i="3" s="1"/>
  <c r="H76" i="3" s="1"/>
  <c r="C76" i="3"/>
  <c r="B76" i="3"/>
  <c r="A76" i="3"/>
  <c r="F75" i="3"/>
  <c r="D75" i="3"/>
  <c r="G75" i="3" s="1"/>
  <c r="H75" i="3" s="1"/>
  <c r="C75" i="3"/>
  <c r="B75" i="3"/>
  <c r="A75" i="3"/>
  <c r="F74" i="3"/>
  <c r="D74" i="3"/>
  <c r="G74" i="3" s="1"/>
  <c r="H74" i="3" s="1"/>
  <c r="C74" i="3"/>
  <c r="B74" i="3"/>
  <c r="A74" i="3"/>
  <c r="F73" i="3"/>
  <c r="D73" i="3"/>
  <c r="G73" i="3" s="1"/>
  <c r="H73" i="3" s="1"/>
  <c r="C73" i="3"/>
  <c r="B73" i="3"/>
  <c r="A73" i="3"/>
  <c r="F72" i="3"/>
  <c r="D72" i="3"/>
  <c r="G72" i="3" s="1"/>
  <c r="H72" i="3" s="1"/>
  <c r="C72" i="3"/>
  <c r="B72" i="3"/>
  <c r="A72" i="3"/>
  <c r="F71" i="3"/>
  <c r="D71" i="3"/>
  <c r="G71" i="3" s="1"/>
  <c r="H71" i="3" s="1"/>
  <c r="C71" i="3"/>
  <c r="B71" i="3"/>
  <c r="A71" i="3"/>
  <c r="F70" i="3"/>
  <c r="D70" i="3"/>
  <c r="G70" i="3" s="1"/>
  <c r="H70" i="3" s="1"/>
  <c r="C70" i="3"/>
  <c r="B70" i="3"/>
  <c r="A70" i="3"/>
  <c r="F69" i="3"/>
  <c r="D69" i="3"/>
  <c r="G69" i="3" s="1"/>
  <c r="H69" i="3" s="1"/>
  <c r="C69" i="3"/>
  <c r="B69" i="3"/>
  <c r="A69" i="3"/>
  <c r="F68" i="3"/>
  <c r="D68" i="3"/>
  <c r="G68" i="3" s="1"/>
  <c r="H68" i="3" s="1"/>
  <c r="C68" i="3"/>
  <c r="B68" i="3"/>
  <c r="A68" i="3"/>
  <c r="F67" i="3"/>
  <c r="D67" i="3"/>
  <c r="G67" i="3" s="1"/>
  <c r="H67" i="3" s="1"/>
  <c r="C67" i="3"/>
  <c r="B67" i="3"/>
  <c r="A67" i="3"/>
  <c r="F66" i="3"/>
  <c r="D66" i="3"/>
  <c r="G66" i="3" s="1"/>
  <c r="H66" i="3" s="1"/>
  <c r="C66" i="3"/>
  <c r="B66" i="3"/>
  <c r="A66" i="3"/>
  <c r="F65" i="3"/>
  <c r="D65" i="3"/>
  <c r="G65" i="3" s="1"/>
  <c r="H65" i="3" s="1"/>
  <c r="C65" i="3"/>
  <c r="B65" i="3"/>
  <c r="A65" i="3"/>
  <c r="F64" i="3"/>
  <c r="D64" i="3"/>
  <c r="G64" i="3" s="1"/>
  <c r="H64" i="3" s="1"/>
  <c r="C64" i="3"/>
  <c r="B64" i="3"/>
  <c r="A64" i="3"/>
  <c r="F63" i="3"/>
  <c r="D63" i="3"/>
  <c r="G63" i="3" s="1"/>
  <c r="H63" i="3" s="1"/>
  <c r="C63" i="3"/>
  <c r="B63" i="3"/>
  <c r="A63" i="3"/>
  <c r="F62" i="3"/>
  <c r="D62" i="3"/>
  <c r="G62" i="3" s="1"/>
  <c r="H62" i="3" s="1"/>
  <c r="C62" i="3"/>
  <c r="B62" i="3"/>
  <c r="A62" i="3"/>
  <c r="F61" i="3"/>
  <c r="D61" i="3"/>
  <c r="G61" i="3" s="1"/>
  <c r="H61" i="3" s="1"/>
  <c r="C61" i="3"/>
  <c r="B61" i="3"/>
  <c r="A61" i="3"/>
  <c r="F60" i="3"/>
  <c r="D60" i="3"/>
  <c r="G60" i="3" s="1"/>
  <c r="H60" i="3" s="1"/>
  <c r="C60" i="3"/>
  <c r="B60" i="3"/>
  <c r="A60" i="3"/>
  <c r="F59" i="3"/>
  <c r="D59" i="3"/>
  <c r="G59" i="3" s="1"/>
  <c r="H59" i="3" s="1"/>
  <c r="C59" i="3"/>
  <c r="B59" i="3"/>
  <c r="A59" i="3"/>
  <c r="F58" i="3"/>
  <c r="D58" i="3"/>
  <c r="G58" i="3" s="1"/>
  <c r="H58" i="3" s="1"/>
  <c r="C58" i="3"/>
  <c r="B58" i="3"/>
  <c r="A58" i="3"/>
  <c r="F57" i="3"/>
  <c r="D57" i="3"/>
  <c r="G57" i="3" s="1"/>
  <c r="H57" i="3" s="1"/>
  <c r="C57" i="3"/>
  <c r="B57" i="3"/>
  <c r="A57" i="3"/>
  <c r="F56" i="3"/>
  <c r="D56" i="3"/>
  <c r="G56" i="3" s="1"/>
  <c r="H56" i="3" s="1"/>
  <c r="C56" i="3"/>
  <c r="B56" i="3"/>
  <c r="A56" i="3"/>
  <c r="F55" i="3"/>
  <c r="D55" i="3"/>
  <c r="G55" i="3" s="1"/>
  <c r="H55" i="3" s="1"/>
  <c r="C55" i="3"/>
  <c r="B55" i="3"/>
  <c r="A55" i="3"/>
  <c r="F54" i="3"/>
  <c r="D54" i="3"/>
  <c r="G54" i="3" s="1"/>
  <c r="H54" i="3" s="1"/>
  <c r="C54" i="3"/>
  <c r="B54" i="3"/>
  <c r="A54" i="3"/>
  <c r="F53" i="3"/>
  <c r="D53" i="3"/>
  <c r="G53" i="3" s="1"/>
  <c r="H53" i="3" s="1"/>
  <c r="C53" i="3"/>
  <c r="B53" i="3"/>
  <c r="A53" i="3"/>
  <c r="F52" i="3"/>
  <c r="D52" i="3"/>
  <c r="G52" i="3" s="1"/>
  <c r="H52" i="3" s="1"/>
  <c r="C52" i="3"/>
  <c r="B52" i="3"/>
  <c r="A52" i="3"/>
  <c r="F51" i="3"/>
  <c r="D51" i="3"/>
  <c r="G51" i="3" s="1"/>
  <c r="H51" i="3" s="1"/>
  <c r="C51" i="3"/>
  <c r="B51" i="3"/>
  <c r="A51" i="3"/>
  <c r="F50" i="3"/>
  <c r="D50" i="3"/>
  <c r="G50" i="3" s="1"/>
  <c r="H50" i="3" s="1"/>
  <c r="C50" i="3"/>
  <c r="B50" i="3"/>
  <c r="A50" i="3"/>
  <c r="F49" i="3"/>
  <c r="D49" i="3"/>
  <c r="G49" i="3" s="1"/>
  <c r="H49" i="3" s="1"/>
  <c r="C49" i="3"/>
  <c r="B49" i="3"/>
  <c r="A49" i="3"/>
  <c r="F48" i="3"/>
  <c r="D48" i="3"/>
  <c r="G48" i="3" s="1"/>
  <c r="H48" i="3" s="1"/>
  <c r="C48" i="3"/>
  <c r="B48" i="3"/>
  <c r="A48" i="3"/>
  <c r="F47" i="3"/>
  <c r="D47" i="3"/>
  <c r="G47" i="3" s="1"/>
  <c r="H47" i="3" s="1"/>
  <c r="C47" i="3"/>
  <c r="B47" i="3"/>
  <c r="A47" i="3"/>
  <c r="F46" i="3"/>
  <c r="D46" i="3"/>
  <c r="G46" i="3" s="1"/>
  <c r="H46" i="3" s="1"/>
  <c r="C46" i="3"/>
  <c r="B46" i="3"/>
  <c r="A46" i="3"/>
  <c r="F45" i="3"/>
  <c r="D45" i="3"/>
  <c r="G45" i="3" s="1"/>
  <c r="H45" i="3" s="1"/>
  <c r="C45" i="3"/>
  <c r="B45" i="3"/>
  <c r="A45" i="3"/>
  <c r="F44" i="3"/>
  <c r="D44" i="3"/>
  <c r="G44" i="3" s="1"/>
  <c r="H44" i="3" s="1"/>
  <c r="C44" i="3"/>
  <c r="B44" i="3"/>
  <c r="A44" i="3"/>
  <c r="F43" i="3"/>
  <c r="D43" i="3"/>
  <c r="G43" i="3" s="1"/>
  <c r="H43" i="3" s="1"/>
  <c r="C43" i="3"/>
  <c r="B43" i="3"/>
  <c r="A43" i="3"/>
  <c r="F42" i="3"/>
  <c r="D42" i="3"/>
  <c r="G42" i="3" s="1"/>
  <c r="H42" i="3" s="1"/>
  <c r="C42" i="3"/>
  <c r="B42" i="3"/>
  <c r="A42" i="3"/>
  <c r="F41" i="3"/>
  <c r="D41" i="3"/>
  <c r="G41" i="3" s="1"/>
  <c r="H41" i="3" s="1"/>
  <c r="C41" i="3"/>
  <c r="B41" i="3"/>
  <c r="A41" i="3"/>
  <c r="F40" i="3"/>
  <c r="D40" i="3"/>
  <c r="G40" i="3" s="1"/>
  <c r="H40" i="3" s="1"/>
  <c r="C40" i="3"/>
  <c r="B40" i="3"/>
  <c r="A40" i="3"/>
  <c r="F39" i="3"/>
  <c r="D39" i="3"/>
  <c r="G39" i="3" s="1"/>
  <c r="H39" i="3" s="1"/>
  <c r="C39" i="3"/>
  <c r="B39" i="3"/>
  <c r="A39" i="3"/>
  <c r="F38" i="3"/>
  <c r="D38" i="3"/>
  <c r="G38" i="3" s="1"/>
  <c r="H38" i="3" s="1"/>
  <c r="C38" i="3"/>
  <c r="B38" i="3"/>
  <c r="A38" i="3"/>
  <c r="F37" i="3"/>
  <c r="D37" i="3"/>
  <c r="G37" i="3" s="1"/>
  <c r="H37" i="3" s="1"/>
  <c r="C37" i="3"/>
  <c r="B37" i="3"/>
  <c r="A37" i="3"/>
  <c r="F36" i="3"/>
  <c r="D36" i="3"/>
  <c r="G36" i="3" s="1"/>
  <c r="H36" i="3" s="1"/>
  <c r="C36" i="3"/>
  <c r="B36" i="3"/>
  <c r="A36" i="3"/>
  <c r="F35" i="3"/>
  <c r="D35" i="3"/>
  <c r="G35" i="3" s="1"/>
  <c r="H35" i="3" s="1"/>
  <c r="C35" i="3"/>
  <c r="B35" i="3"/>
  <c r="A35" i="3"/>
  <c r="F34" i="3"/>
  <c r="D34" i="3"/>
  <c r="G34" i="3" s="1"/>
  <c r="H34" i="3" s="1"/>
  <c r="C34" i="3"/>
  <c r="B34" i="3"/>
  <c r="A34" i="3"/>
  <c r="F33" i="3"/>
  <c r="D33" i="3"/>
  <c r="G33" i="3" s="1"/>
  <c r="H33" i="3" s="1"/>
  <c r="C33" i="3"/>
  <c r="B33" i="3"/>
  <c r="A33" i="3"/>
  <c r="F32" i="3"/>
  <c r="D32" i="3"/>
  <c r="G32" i="3" s="1"/>
  <c r="H32" i="3" s="1"/>
  <c r="C32" i="3"/>
  <c r="B32" i="3"/>
  <c r="A32" i="3"/>
  <c r="F31" i="3"/>
  <c r="D31" i="3"/>
  <c r="G31" i="3" s="1"/>
  <c r="H31" i="3" s="1"/>
  <c r="C31" i="3"/>
  <c r="B31" i="3"/>
  <c r="A31" i="3"/>
  <c r="F30" i="3"/>
  <c r="D30" i="3"/>
  <c r="G30" i="3" s="1"/>
  <c r="H30" i="3" s="1"/>
  <c r="C30" i="3"/>
  <c r="B30" i="3"/>
  <c r="A30" i="3"/>
  <c r="F29" i="3"/>
  <c r="D29" i="3"/>
  <c r="G29" i="3" s="1"/>
  <c r="H29" i="3" s="1"/>
  <c r="C29" i="3"/>
  <c r="B29" i="3"/>
  <c r="A29" i="3"/>
  <c r="F28" i="3"/>
  <c r="D28" i="3"/>
  <c r="G28" i="3" s="1"/>
  <c r="H28" i="3" s="1"/>
  <c r="C28" i="3"/>
  <c r="B28" i="3"/>
  <c r="A28" i="3"/>
  <c r="F27" i="3"/>
  <c r="D27" i="3"/>
  <c r="G27" i="3" s="1"/>
  <c r="H27" i="3" s="1"/>
  <c r="C27" i="3"/>
  <c r="B27" i="3"/>
  <c r="A27" i="3"/>
  <c r="F26" i="3"/>
  <c r="D26" i="3"/>
  <c r="G26" i="3" s="1"/>
  <c r="H26" i="3" s="1"/>
  <c r="C26" i="3"/>
  <c r="B26" i="3"/>
  <c r="A26" i="3"/>
  <c r="F25" i="3"/>
  <c r="D25" i="3"/>
  <c r="G25" i="3" s="1"/>
  <c r="H25" i="3" s="1"/>
  <c r="C25" i="3"/>
  <c r="B25" i="3"/>
  <c r="A25" i="3"/>
  <c r="F24" i="3"/>
  <c r="D24" i="3"/>
  <c r="G24" i="3" s="1"/>
  <c r="H24" i="3" s="1"/>
  <c r="C24" i="3"/>
  <c r="B24" i="3"/>
  <c r="A24" i="3"/>
  <c r="F23" i="3"/>
  <c r="D23" i="3"/>
  <c r="G23" i="3" s="1"/>
  <c r="H23" i="3" s="1"/>
  <c r="C23" i="3"/>
  <c r="B23" i="3"/>
  <c r="A23" i="3"/>
  <c r="F22" i="3"/>
  <c r="D22" i="3"/>
  <c r="G22" i="3" s="1"/>
  <c r="H22" i="3" s="1"/>
  <c r="C22" i="3"/>
  <c r="B22" i="3"/>
  <c r="A22" i="3"/>
  <c r="F21" i="3"/>
  <c r="D21" i="3"/>
  <c r="G21" i="3" s="1"/>
  <c r="H21" i="3" s="1"/>
  <c r="C21" i="3"/>
  <c r="B21" i="3"/>
  <c r="A21" i="3"/>
  <c r="F20" i="3"/>
  <c r="D20" i="3"/>
  <c r="G20" i="3" s="1"/>
  <c r="H20" i="3" s="1"/>
  <c r="C20" i="3"/>
  <c r="B20" i="3"/>
  <c r="A20" i="3"/>
  <c r="F19" i="3"/>
  <c r="D19" i="3"/>
  <c r="G19" i="3" s="1"/>
  <c r="H19" i="3" s="1"/>
  <c r="C19" i="3"/>
  <c r="B19" i="3"/>
  <c r="A19" i="3"/>
  <c r="F18" i="3"/>
  <c r="D18" i="3"/>
  <c r="G18" i="3" s="1"/>
  <c r="H18" i="3" s="1"/>
  <c r="C18" i="3"/>
  <c r="B18" i="3"/>
  <c r="A18" i="3"/>
  <c r="F17" i="3"/>
  <c r="D17" i="3"/>
  <c r="G17" i="3" s="1"/>
  <c r="H17" i="3" s="1"/>
  <c r="C17" i="3"/>
  <c r="B17" i="3"/>
  <c r="A17" i="3"/>
  <c r="F16" i="3"/>
  <c r="D16" i="3"/>
  <c r="G16" i="3" s="1"/>
  <c r="H16" i="3" s="1"/>
  <c r="C16" i="3"/>
  <c r="B16" i="3"/>
  <c r="A16" i="3"/>
  <c r="F15" i="3"/>
  <c r="D15" i="3"/>
  <c r="G15" i="3" s="1"/>
  <c r="H15" i="3" s="1"/>
  <c r="C15" i="3"/>
  <c r="B15" i="3"/>
  <c r="A15" i="3"/>
  <c r="F14" i="3"/>
  <c r="D14" i="3"/>
  <c r="G14" i="3" s="1"/>
  <c r="H14" i="3" s="1"/>
  <c r="C14" i="3"/>
  <c r="B14" i="3"/>
  <c r="A14" i="3"/>
  <c r="F13" i="3"/>
  <c r="D13" i="3"/>
  <c r="G13" i="3" s="1"/>
  <c r="H13" i="3" s="1"/>
  <c r="C13" i="3"/>
  <c r="B13" i="3"/>
  <c r="A13" i="3"/>
  <c r="F12" i="3"/>
  <c r="D12" i="3"/>
  <c r="G12" i="3" s="1"/>
  <c r="H12" i="3" s="1"/>
  <c r="C12" i="3"/>
  <c r="B12" i="3"/>
  <c r="A12" i="3"/>
  <c r="F11" i="3"/>
  <c r="D11" i="3"/>
  <c r="G11" i="3" s="1"/>
  <c r="H11" i="3" s="1"/>
  <c r="C11" i="3"/>
  <c r="B11" i="3"/>
  <c r="A11" i="3"/>
  <c r="F10" i="3"/>
  <c r="D10" i="3"/>
  <c r="G10" i="3" s="1"/>
  <c r="H10" i="3" s="1"/>
  <c r="C10" i="3"/>
  <c r="B10" i="3"/>
  <c r="A10" i="3"/>
  <c r="F9" i="3"/>
  <c r="D9" i="3"/>
  <c r="G9" i="3" s="1"/>
  <c r="H9" i="3" s="1"/>
  <c r="C9" i="3"/>
  <c r="B9" i="3"/>
  <c r="A9" i="3"/>
  <c r="F8" i="3"/>
  <c r="D8" i="3"/>
  <c r="G8" i="3" s="1"/>
  <c r="H8" i="3" s="1"/>
  <c r="C8" i="3"/>
  <c r="B8" i="3"/>
  <c r="A8" i="3"/>
  <c r="F7" i="3"/>
  <c r="D7" i="3"/>
  <c r="G7" i="3" s="1"/>
  <c r="H7" i="3" s="1"/>
  <c r="C7" i="3"/>
  <c r="B7" i="3"/>
  <c r="A7" i="3"/>
  <c r="F6" i="3"/>
  <c r="D6" i="3"/>
  <c r="G6" i="3" s="1"/>
  <c r="C6" i="3"/>
  <c r="B6" i="3"/>
  <c r="A6" i="3"/>
  <c r="P5" i="3"/>
  <c r="O5" i="3"/>
  <c r="N5" i="3"/>
  <c r="M5" i="3"/>
  <c r="L5" i="3"/>
  <c r="F5" i="3"/>
  <c r="D5" i="3"/>
  <c r="H4" i="3"/>
  <c r="M3" i="2"/>
  <c r="J3" i="2"/>
  <c r="I3" i="2"/>
  <c r="F49" i="1"/>
  <c r="A49" i="1"/>
  <c r="F45" i="1"/>
  <c r="A45" i="1"/>
  <c r="F44" i="1"/>
  <c r="F43" i="1"/>
  <c r="A43" i="1"/>
  <c r="F42" i="1"/>
  <c r="A42" i="1"/>
  <c r="F41" i="1"/>
  <c r="A41" i="1"/>
  <c r="F40" i="1"/>
  <c r="A40" i="1"/>
  <c r="F39" i="1"/>
  <c r="A39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30" i="1"/>
  <c r="A30" i="1"/>
  <c r="B27" i="1"/>
  <c r="B26" i="1"/>
  <c r="B25" i="1"/>
  <c r="B24" i="1"/>
  <c r="B23" i="1"/>
  <c r="B15" i="1"/>
  <c r="E12" i="1"/>
  <c r="C12" i="1"/>
  <c r="B12" i="1"/>
  <c r="F9" i="1"/>
  <c r="G171" i="4" l="1"/>
  <c r="D19" i="1" s="1"/>
  <c r="E4" i="4"/>
  <c r="F19" i="1"/>
  <c r="I4" i="3"/>
  <c r="H6" i="3"/>
  <c r="G5" i="3"/>
  <c r="D15" i="1" s="1"/>
  <c r="L156" i="2"/>
  <c r="L153" i="2"/>
  <c r="L149" i="2"/>
  <c r="L93" i="2"/>
  <c r="L120" i="2"/>
  <c r="L147" i="2"/>
  <c r="L119" i="2"/>
  <c r="L154" i="2"/>
  <c r="L101" i="2"/>
  <c r="L142" i="2"/>
  <c r="L117" i="2"/>
  <c r="L141" i="2"/>
  <c r="L85" i="2"/>
  <c r="L139" i="2"/>
  <c r="L114" i="2"/>
  <c r="L136" i="2"/>
  <c r="L100" i="2"/>
  <c r="L152" i="2"/>
  <c r="L132" i="2"/>
  <c r="L151" i="2"/>
  <c r="L148" i="2"/>
  <c r="L92" i="2"/>
  <c r="L130" i="2"/>
  <c r="L99" i="2"/>
  <c r="L150" i="2"/>
  <c r="L161" i="2"/>
  <c r="L126" i="2"/>
  <c r="L125" i="2"/>
  <c r="L88" i="2"/>
  <c r="L146" i="2"/>
  <c r="L122" i="2"/>
  <c r="L162" i="2"/>
  <c r="L145" i="2"/>
  <c r="L121" i="2"/>
  <c r="L159" i="2"/>
  <c r="L112" i="2"/>
  <c r="L98" i="2"/>
  <c r="L144" i="2"/>
  <c r="L118" i="2"/>
  <c r="L143" i="2"/>
  <c r="L91" i="2"/>
  <c r="L116" i="2"/>
  <c r="L115" i="2"/>
  <c r="L140" i="2"/>
  <c r="L97" i="2"/>
  <c r="L138" i="2"/>
  <c r="L113" i="2"/>
  <c r="L137" i="2"/>
  <c r="L86" i="2"/>
  <c r="L165" i="2"/>
  <c r="L111" i="2"/>
  <c r="L158" i="2"/>
  <c r="L135" i="2"/>
  <c r="L110" i="2"/>
  <c r="L134" i="2"/>
  <c r="L96" i="2"/>
  <c r="L133" i="2"/>
  <c r="L109" i="2"/>
  <c r="L84" i="2"/>
  <c r="L90" i="2"/>
  <c r="L131" i="2"/>
  <c r="L157" i="2"/>
  <c r="L108" i="2"/>
  <c r="L129" i="2"/>
  <c r="L95" i="2"/>
  <c r="L128" i="2"/>
  <c r="L107" i="2"/>
  <c r="L127" i="2"/>
  <c r="L106" i="2"/>
  <c r="L87" i="2"/>
  <c r="L124" i="2"/>
  <c r="L105" i="2"/>
  <c r="L54" i="2"/>
  <c r="L104" i="2"/>
  <c r="L123" i="2"/>
  <c r="L94" i="2"/>
  <c r="L164" i="2"/>
  <c r="L163" i="2"/>
  <c r="L103" i="2"/>
  <c r="L160" i="2"/>
  <c r="L89" i="2"/>
  <c r="L155" i="2"/>
  <c r="L102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K85" i="2"/>
  <c r="K84" i="2"/>
  <c r="K122" i="2"/>
  <c r="K83" i="2"/>
  <c r="K155" i="2"/>
  <c r="K82" i="2"/>
  <c r="K121" i="2"/>
  <c r="K81" i="2"/>
  <c r="K120" i="2"/>
  <c r="K80" i="2"/>
  <c r="K118" i="2"/>
  <c r="K79" i="2"/>
  <c r="K164" i="2"/>
  <c r="K78" i="2"/>
  <c r="K163" i="2"/>
  <c r="K77" i="2"/>
  <c r="K116" i="2"/>
  <c r="K76" i="2"/>
  <c r="K115" i="2"/>
  <c r="K75" i="2"/>
  <c r="K153" i="2"/>
  <c r="K74" i="2"/>
  <c r="K113" i="2"/>
  <c r="K73" i="2"/>
  <c r="K152" i="2"/>
  <c r="K72" i="2"/>
  <c r="K111" i="2"/>
  <c r="K71" i="2"/>
  <c r="K162" i="2"/>
  <c r="K70" i="2"/>
  <c r="K151" i="2"/>
  <c r="K69" i="2"/>
  <c r="K150" i="2"/>
  <c r="K68" i="2"/>
  <c r="K149" i="2"/>
  <c r="K67" i="2"/>
  <c r="K147" i="2"/>
  <c r="K66" i="2"/>
  <c r="K146" i="2"/>
  <c r="K65" i="2"/>
  <c r="K160" i="2"/>
  <c r="K64" i="2"/>
  <c r="K145" i="2"/>
  <c r="K63" i="2"/>
  <c r="K144" i="2"/>
  <c r="K62" i="2"/>
  <c r="K142" i="2"/>
  <c r="K61" i="2"/>
  <c r="K141" i="2"/>
  <c r="K60" i="2"/>
  <c r="K159" i="2"/>
  <c r="K59" i="2"/>
  <c r="K139" i="2"/>
  <c r="K58" i="2"/>
  <c r="K138" i="2"/>
  <c r="K57" i="2"/>
  <c r="K137" i="2"/>
  <c r="K56" i="2"/>
  <c r="K136" i="2"/>
  <c r="K55" i="2"/>
  <c r="K105" i="2"/>
  <c r="K54" i="2"/>
  <c r="K135" i="2"/>
  <c r="K53" i="2"/>
  <c r="K134" i="2"/>
  <c r="K52" i="2"/>
  <c r="K158" i="2"/>
  <c r="K51" i="2"/>
  <c r="K132" i="2"/>
  <c r="K50" i="2"/>
  <c r="K130" i="2"/>
  <c r="K49" i="2"/>
  <c r="K129" i="2"/>
  <c r="K48" i="2"/>
  <c r="K128" i="2"/>
  <c r="K47" i="2"/>
  <c r="K126" i="2"/>
  <c r="K46" i="2"/>
  <c r="K125" i="2"/>
  <c r="K45" i="2"/>
  <c r="K107" i="2"/>
  <c r="K44" i="2"/>
  <c r="K124" i="2"/>
  <c r="K43" i="2"/>
  <c r="K157" i="2"/>
  <c r="K42" i="2"/>
  <c r="K165" i="2"/>
  <c r="K41" i="2"/>
  <c r="K161" i="2"/>
  <c r="K40" i="2"/>
  <c r="K156" i="2"/>
  <c r="K39" i="2"/>
  <c r="K154" i="2"/>
  <c r="K38" i="2"/>
  <c r="K148" i="2"/>
  <c r="K37" i="2"/>
  <c r="K143" i="2"/>
  <c r="K36" i="2"/>
  <c r="K140" i="2"/>
  <c r="K35" i="2"/>
  <c r="K133" i="2"/>
  <c r="K34" i="2"/>
  <c r="K131" i="2"/>
  <c r="K33" i="2"/>
  <c r="K127" i="2"/>
  <c r="K32" i="2"/>
  <c r="K123" i="2"/>
  <c r="K31" i="2"/>
  <c r="K119" i="2"/>
  <c r="K30" i="2"/>
  <c r="K117" i="2"/>
  <c r="K29" i="2"/>
  <c r="K114" i="2"/>
  <c r="K28" i="2"/>
  <c r="K112" i="2"/>
  <c r="K27" i="2"/>
  <c r="K110" i="2"/>
  <c r="K26" i="2"/>
  <c r="K109" i="2"/>
  <c r="K25" i="2"/>
  <c r="K108" i="2"/>
  <c r="K24" i="2"/>
  <c r="K106" i="2"/>
  <c r="K23" i="2"/>
  <c r="K104" i="2"/>
  <c r="K22" i="2"/>
  <c r="K103" i="2"/>
  <c r="K21" i="2"/>
  <c r="K102" i="2"/>
  <c r="K20" i="2"/>
  <c r="K101" i="2"/>
  <c r="K19" i="2"/>
  <c r="K100" i="2"/>
  <c r="K18" i="2"/>
  <c r="K99" i="2"/>
  <c r="K17" i="2"/>
  <c r="K98" i="2"/>
  <c r="K16" i="2"/>
  <c r="K97" i="2"/>
  <c r="K15" i="2"/>
  <c r="K96" i="2"/>
  <c r="K14" i="2"/>
  <c r="K95" i="2"/>
  <c r="K13" i="2"/>
  <c r="K94" i="2"/>
  <c r="K12" i="2"/>
  <c r="K93" i="2"/>
  <c r="K11" i="2"/>
  <c r="K92" i="2"/>
  <c r="K10" i="2"/>
  <c r="K91" i="2"/>
  <c r="K9" i="2"/>
  <c r="K90" i="2"/>
  <c r="K8" i="2"/>
  <c r="K89" i="2"/>
  <c r="K7" i="2"/>
  <c r="K88" i="2"/>
  <c r="K6" i="2"/>
  <c r="K87" i="2"/>
  <c r="K5" i="2"/>
  <c r="K86" i="2"/>
  <c r="K4" i="2"/>
  <c r="E8" i="4" l="1"/>
  <c r="E10" i="4"/>
  <c r="E11" i="4"/>
  <c r="E13" i="4"/>
  <c r="E15" i="4"/>
  <c r="E21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5" i="4"/>
  <c r="E6" i="4"/>
  <c r="E7" i="4"/>
  <c r="E9" i="4"/>
  <c r="E12" i="4"/>
  <c r="E14" i="4"/>
  <c r="E16" i="4"/>
  <c r="E17" i="4"/>
  <c r="E18" i="4"/>
  <c r="E19" i="4"/>
  <c r="E20" i="4"/>
  <c r="E22" i="4"/>
  <c r="E23" i="4"/>
  <c r="E24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H5" i="3"/>
  <c r="F15" i="1" s="1"/>
  <c r="C157" i="4"/>
  <c r="E157" i="4" s="1"/>
  <c r="E158" i="3"/>
  <c r="E155" i="3"/>
  <c r="C154" i="4"/>
  <c r="E154" i="4" s="1"/>
  <c r="E151" i="3"/>
  <c r="C150" i="4"/>
  <c r="E150" i="4" s="1"/>
  <c r="E95" i="3"/>
  <c r="C94" i="4"/>
  <c r="C121" i="4"/>
  <c r="E122" i="3"/>
  <c r="E149" i="3"/>
  <c r="C148" i="4"/>
  <c r="E148" i="4" s="1"/>
  <c r="E121" i="3"/>
  <c r="C120" i="4"/>
  <c r="C155" i="4"/>
  <c r="E155" i="4" s="1"/>
  <c r="E156" i="3"/>
  <c r="E103" i="3"/>
  <c r="C102" i="4"/>
  <c r="E144" i="3"/>
  <c r="C143" i="4"/>
  <c r="E143" i="4" s="1"/>
  <c r="C118" i="4"/>
  <c r="E119" i="3"/>
  <c r="E143" i="3"/>
  <c r="C142" i="4"/>
  <c r="E142" i="4" s="1"/>
  <c r="E87" i="3"/>
  <c r="C86" i="4"/>
  <c r="E141" i="3"/>
  <c r="C140" i="4"/>
  <c r="E140" i="4" s="1"/>
  <c r="C115" i="4"/>
  <c r="E116" i="3"/>
  <c r="E138" i="3"/>
  <c r="C137" i="4"/>
  <c r="E137" i="4" s="1"/>
  <c r="E102" i="3"/>
  <c r="C101" i="4"/>
  <c r="C153" i="4"/>
  <c r="E153" i="4" s="1"/>
  <c r="E154" i="3"/>
  <c r="E134" i="3"/>
  <c r="C133" i="4"/>
  <c r="E133" i="4" s="1"/>
  <c r="C152" i="4"/>
  <c r="E152" i="4" s="1"/>
  <c r="E153" i="3"/>
  <c r="C149" i="4"/>
  <c r="E149" i="4" s="1"/>
  <c r="E150" i="3"/>
  <c r="E94" i="3"/>
  <c r="C93" i="4"/>
  <c r="E132" i="3"/>
  <c r="C131" i="4"/>
  <c r="E131" i="4" s="1"/>
  <c r="E101" i="3"/>
  <c r="C100" i="4"/>
  <c r="C151" i="4"/>
  <c r="E151" i="4" s="1"/>
  <c r="E152" i="3"/>
  <c r="C162" i="4"/>
  <c r="E162" i="4" s="1"/>
  <c r="E163" i="3"/>
  <c r="E128" i="3"/>
  <c r="C127" i="4"/>
  <c r="E127" i="4" s="1"/>
  <c r="E127" i="3"/>
  <c r="C126" i="4"/>
  <c r="E90" i="3"/>
  <c r="C89" i="4"/>
  <c r="E148" i="3"/>
  <c r="C147" i="4"/>
  <c r="E147" i="4" s="1"/>
  <c r="E124" i="3"/>
  <c r="C123" i="4"/>
  <c r="C163" i="4"/>
  <c r="E163" i="4" s="1"/>
  <c r="E164" i="3"/>
  <c r="E147" i="3"/>
  <c r="C146" i="4"/>
  <c r="E146" i="4" s="1"/>
  <c r="E123" i="3"/>
  <c r="C122" i="4"/>
  <c r="C160" i="4"/>
  <c r="E160" i="4" s="1"/>
  <c r="E161" i="3"/>
  <c r="E114" i="3"/>
  <c r="C113" i="4"/>
  <c r="E100" i="3"/>
  <c r="C99" i="4"/>
  <c r="C145" i="4"/>
  <c r="E145" i="4" s="1"/>
  <c r="E146" i="3"/>
  <c r="E120" i="3"/>
  <c r="C119" i="4"/>
  <c r="C144" i="4"/>
  <c r="E144" i="4" s="1"/>
  <c r="E145" i="3"/>
  <c r="E93" i="3"/>
  <c r="C92" i="4"/>
  <c r="E118" i="3"/>
  <c r="C117" i="4"/>
  <c r="E117" i="3"/>
  <c r="C116" i="4"/>
  <c r="C141" i="4"/>
  <c r="E141" i="4" s="1"/>
  <c r="E142" i="3"/>
  <c r="E99" i="3"/>
  <c r="C98" i="4"/>
  <c r="E140" i="3"/>
  <c r="C139" i="4"/>
  <c r="E139" i="4" s="1"/>
  <c r="E115" i="3"/>
  <c r="C114" i="4"/>
  <c r="E139" i="3"/>
  <c r="C138" i="4"/>
  <c r="E138" i="4" s="1"/>
  <c r="E88" i="3"/>
  <c r="C87" i="4"/>
  <c r="E167" i="3"/>
  <c r="C166" i="4"/>
  <c r="E166" i="4" s="1"/>
  <c r="E113" i="3"/>
  <c r="C112" i="4"/>
  <c r="E160" i="3"/>
  <c r="C159" i="4"/>
  <c r="E159" i="4" s="1"/>
  <c r="C136" i="4"/>
  <c r="E136" i="4" s="1"/>
  <c r="E137" i="3"/>
  <c r="E112" i="3"/>
  <c r="C111" i="4"/>
  <c r="C135" i="4"/>
  <c r="E135" i="4" s="1"/>
  <c r="E136" i="3"/>
  <c r="E98" i="3"/>
  <c r="C97" i="4"/>
  <c r="C134" i="4"/>
  <c r="E134" i="4" s="1"/>
  <c r="E135" i="3"/>
  <c r="E111" i="3"/>
  <c r="C110" i="4"/>
  <c r="E86" i="3"/>
  <c r="C85" i="4"/>
  <c r="E92" i="3"/>
  <c r="C91" i="4"/>
  <c r="E133" i="3"/>
  <c r="C132" i="4"/>
  <c r="E132" i="4" s="1"/>
  <c r="E159" i="3"/>
  <c r="C158" i="4"/>
  <c r="E158" i="4" s="1"/>
  <c r="E110" i="3"/>
  <c r="C109" i="4"/>
  <c r="E131" i="3"/>
  <c r="C130" i="4"/>
  <c r="E130" i="4" s="1"/>
  <c r="E97" i="3"/>
  <c r="C96" i="4"/>
  <c r="C129" i="4"/>
  <c r="E129" i="4" s="1"/>
  <c r="E130" i="3"/>
  <c r="E109" i="3"/>
  <c r="C108" i="4"/>
  <c r="C128" i="4"/>
  <c r="E128" i="4" s="1"/>
  <c r="E129" i="3"/>
  <c r="E108" i="3"/>
  <c r="C107" i="4"/>
  <c r="E89" i="3"/>
  <c r="C88" i="4"/>
  <c r="C125" i="4"/>
  <c r="E126" i="3"/>
  <c r="E107" i="3"/>
  <c r="C106" i="4"/>
  <c r="E56" i="3"/>
  <c r="C55" i="4"/>
  <c r="E106" i="3"/>
  <c r="C105" i="4"/>
  <c r="C124" i="4"/>
  <c r="E125" i="3"/>
  <c r="E96" i="3"/>
  <c r="C95" i="4"/>
  <c r="E166" i="3"/>
  <c r="C165" i="4"/>
  <c r="E165" i="4" s="1"/>
  <c r="E165" i="3"/>
  <c r="C164" i="4"/>
  <c r="E164" i="4" s="1"/>
  <c r="E105" i="3"/>
  <c r="C104" i="4"/>
  <c r="E162" i="3"/>
  <c r="C161" i="4"/>
  <c r="E161" i="4" s="1"/>
  <c r="E91" i="3"/>
  <c r="C90" i="4"/>
  <c r="E157" i="3"/>
  <c r="C156" i="4"/>
  <c r="E156" i="4" s="1"/>
  <c r="E104" i="3"/>
  <c r="C103" i="4"/>
  <c r="E85" i="3"/>
  <c r="C84" i="4"/>
  <c r="E84" i="3"/>
  <c r="C83" i="4"/>
  <c r="E83" i="3"/>
  <c r="C82" i="4"/>
  <c r="E82" i="3"/>
  <c r="C81" i="4"/>
  <c r="E81" i="3"/>
  <c r="C80" i="4"/>
  <c r="E80" i="3"/>
  <c r="C79" i="4"/>
  <c r="E79" i="3"/>
  <c r="C78" i="4"/>
  <c r="E78" i="3"/>
  <c r="C77" i="4"/>
  <c r="E77" i="3"/>
  <c r="C76" i="4"/>
  <c r="E76" i="3"/>
  <c r="C75" i="4"/>
  <c r="E75" i="3"/>
  <c r="C74" i="4"/>
  <c r="E74" i="3"/>
  <c r="C73" i="4"/>
  <c r="E73" i="3"/>
  <c r="C72" i="4"/>
  <c r="E72" i="3"/>
  <c r="C71" i="4"/>
  <c r="E71" i="3"/>
  <c r="C70" i="4"/>
  <c r="E70" i="3"/>
  <c r="C69" i="4"/>
  <c r="E69" i="3"/>
  <c r="C68" i="4"/>
  <c r="E68" i="3"/>
  <c r="C67" i="4"/>
  <c r="E67" i="3"/>
  <c r="C66" i="4"/>
  <c r="E66" i="3"/>
  <c r="C65" i="4"/>
  <c r="E65" i="3"/>
  <c r="C64" i="4"/>
  <c r="E64" i="3"/>
  <c r="C63" i="4"/>
  <c r="E63" i="3"/>
  <c r="C62" i="4"/>
  <c r="E62" i="3"/>
  <c r="C61" i="4"/>
  <c r="E61" i="3"/>
  <c r="C60" i="4"/>
  <c r="E60" i="3"/>
  <c r="C59" i="4"/>
  <c r="E59" i="3"/>
  <c r="C58" i="4"/>
  <c r="E58" i="3"/>
  <c r="C57" i="4"/>
  <c r="E57" i="3"/>
  <c r="C56" i="4"/>
  <c r="E55" i="3"/>
  <c r="C54" i="4"/>
  <c r="E54" i="3"/>
  <c r="C53" i="4"/>
  <c r="E53" i="3"/>
  <c r="C52" i="4"/>
  <c r="E52" i="3"/>
  <c r="C51" i="4"/>
  <c r="E51" i="3"/>
  <c r="C50" i="4"/>
  <c r="E50" i="3"/>
  <c r="C49" i="4"/>
  <c r="E49" i="3"/>
  <c r="C48" i="4"/>
  <c r="E48" i="3"/>
  <c r="C47" i="4"/>
  <c r="E47" i="3"/>
  <c r="C46" i="4"/>
  <c r="C45" i="4"/>
  <c r="E46" i="3"/>
  <c r="C44" i="4"/>
  <c r="E45" i="3"/>
  <c r="C43" i="4"/>
  <c r="E44" i="3"/>
  <c r="C42" i="4"/>
  <c r="E43" i="3"/>
  <c r="C41" i="4"/>
  <c r="E42" i="3"/>
  <c r="E41" i="3"/>
  <c r="C40" i="4"/>
  <c r="E40" i="3"/>
  <c r="C39" i="4"/>
  <c r="E39" i="3"/>
  <c r="C38" i="4"/>
  <c r="E38" i="3"/>
  <c r="C37" i="4"/>
  <c r="C36" i="4"/>
  <c r="E37" i="3"/>
  <c r="C35" i="4"/>
  <c r="E36" i="3"/>
  <c r="C34" i="4"/>
  <c r="E35" i="3"/>
  <c r="E34" i="3"/>
  <c r="C33" i="4"/>
  <c r="E33" i="3"/>
  <c r="C32" i="4"/>
  <c r="E32" i="3"/>
  <c r="C31" i="4"/>
  <c r="E31" i="3"/>
  <c r="C30" i="4"/>
  <c r="E30" i="3"/>
  <c r="C29" i="4"/>
  <c r="E29" i="3"/>
  <c r="C28" i="4"/>
  <c r="E28" i="3"/>
  <c r="C27" i="4"/>
  <c r="C26" i="4"/>
  <c r="E27" i="3"/>
  <c r="E26" i="3"/>
  <c r="C25" i="4"/>
  <c r="E25" i="3"/>
  <c r="C24" i="4"/>
  <c r="E24" i="3"/>
  <c r="C23" i="4"/>
  <c r="E23" i="3"/>
  <c r="C22" i="4"/>
  <c r="E22" i="3"/>
  <c r="C21" i="4"/>
  <c r="E21" i="3"/>
  <c r="C20" i="4"/>
  <c r="E20" i="3"/>
  <c r="C19" i="4"/>
  <c r="E19" i="3"/>
  <c r="C18" i="4"/>
  <c r="C17" i="4"/>
  <c r="E18" i="3"/>
  <c r="E17" i="3"/>
  <c r="C16" i="4"/>
  <c r="E16" i="3"/>
  <c r="C15" i="4"/>
  <c r="C14" i="4"/>
  <c r="E15" i="3"/>
  <c r="E14" i="3"/>
  <c r="C13" i="4"/>
  <c r="C12" i="4"/>
  <c r="E13" i="3"/>
  <c r="E12" i="3"/>
  <c r="C11" i="4"/>
  <c r="E11" i="3"/>
  <c r="C10" i="4"/>
  <c r="C9" i="4"/>
  <c r="E10" i="3"/>
  <c r="E9" i="3"/>
  <c r="C8" i="4"/>
  <c r="C7" i="4"/>
  <c r="E8" i="3"/>
  <c r="E7" i="3"/>
  <c r="C6" i="4"/>
  <c r="E6" i="3"/>
  <c r="C5" i="4"/>
  <c r="I9" i="3" l="1"/>
  <c r="J9" i="3" s="1"/>
  <c r="N8" i="4"/>
  <c r="Z9" i="3" s="1"/>
  <c r="I11" i="3"/>
  <c r="J11" i="3" s="1"/>
  <c r="N10" i="4"/>
  <c r="Z11" i="3" s="1"/>
  <c r="I12" i="3"/>
  <c r="J12" i="3" s="1"/>
  <c r="N11" i="4"/>
  <c r="Z12" i="3" s="1"/>
  <c r="I14" i="3"/>
  <c r="J14" i="3" s="1"/>
  <c r="N13" i="4"/>
  <c r="Z14" i="3" s="1"/>
  <c r="N15" i="4"/>
  <c r="Z16" i="3" s="1"/>
  <c r="I16" i="3"/>
  <c r="J16" i="3" s="1"/>
  <c r="N21" i="4"/>
  <c r="Z22" i="3" s="1"/>
  <c r="I22" i="3"/>
  <c r="J22" i="3" s="1"/>
  <c r="N25" i="4"/>
  <c r="Z26" i="3" s="1"/>
  <c r="I26" i="3"/>
  <c r="J26" i="3" s="1"/>
  <c r="N26" i="4"/>
  <c r="Z27" i="3" s="1"/>
  <c r="I27" i="3"/>
  <c r="J27" i="3" s="1"/>
  <c r="N27" i="4"/>
  <c r="Z28" i="3" s="1"/>
  <c r="I28" i="3"/>
  <c r="J28" i="3" s="1"/>
  <c r="N28" i="4"/>
  <c r="Z29" i="3" s="1"/>
  <c r="I29" i="3"/>
  <c r="J29" i="3" s="1"/>
  <c r="N29" i="4"/>
  <c r="Z30" i="3" s="1"/>
  <c r="I30" i="3"/>
  <c r="J30" i="3" s="1"/>
  <c r="N30" i="4"/>
  <c r="Z31" i="3" s="1"/>
  <c r="I31" i="3"/>
  <c r="J31" i="3" s="1"/>
  <c r="N31" i="4"/>
  <c r="Z32" i="3" s="1"/>
  <c r="I32" i="3"/>
  <c r="J32" i="3" s="1"/>
  <c r="N32" i="4"/>
  <c r="Z33" i="3" s="1"/>
  <c r="I33" i="3"/>
  <c r="J33" i="3" s="1"/>
  <c r="N33" i="4"/>
  <c r="Z34" i="3" s="1"/>
  <c r="I34" i="3"/>
  <c r="J34" i="3" s="1"/>
  <c r="N34" i="4"/>
  <c r="Z35" i="3" s="1"/>
  <c r="I35" i="3"/>
  <c r="J35" i="3" s="1"/>
  <c r="N35" i="4"/>
  <c r="Z36" i="3" s="1"/>
  <c r="I36" i="3"/>
  <c r="J36" i="3" s="1"/>
  <c r="N36" i="4"/>
  <c r="Z37" i="3" s="1"/>
  <c r="I37" i="3"/>
  <c r="J37" i="3" s="1"/>
  <c r="N37" i="4"/>
  <c r="Z38" i="3" s="1"/>
  <c r="I38" i="3"/>
  <c r="J38" i="3" s="1"/>
  <c r="N38" i="4"/>
  <c r="Z39" i="3" s="1"/>
  <c r="I39" i="3"/>
  <c r="J39" i="3" s="1"/>
  <c r="N39" i="4"/>
  <c r="Z40" i="3" s="1"/>
  <c r="I40" i="3"/>
  <c r="J40" i="3" s="1"/>
  <c r="N40" i="4"/>
  <c r="Z41" i="3" s="1"/>
  <c r="I41" i="3"/>
  <c r="J41" i="3" s="1"/>
  <c r="N41" i="4"/>
  <c r="Z42" i="3" s="1"/>
  <c r="I42" i="3"/>
  <c r="J42" i="3" s="1"/>
  <c r="N42" i="4"/>
  <c r="Z43" i="3" s="1"/>
  <c r="I43" i="3"/>
  <c r="J43" i="3" s="1"/>
  <c r="N43" i="4"/>
  <c r="Z44" i="3" s="1"/>
  <c r="I44" i="3"/>
  <c r="J44" i="3" s="1"/>
  <c r="N44" i="4"/>
  <c r="Z45" i="3" s="1"/>
  <c r="I45" i="3"/>
  <c r="J45" i="3" s="1"/>
  <c r="N45" i="4"/>
  <c r="Z46" i="3" s="1"/>
  <c r="I46" i="3"/>
  <c r="J46" i="3" s="1"/>
  <c r="I47" i="3"/>
  <c r="J47" i="3" s="1"/>
  <c r="N46" i="4"/>
  <c r="Z47" i="3" s="1"/>
  <c r="N5" i="4"/>
  <c r="I6" i="3"/>
  <c r="J6" i="3" s="1"/>
  <c r="N6" i="4"/>
  <c r="Z7" i="3" s="1"/>
  <c r="I7" i="3"/>
  <c r="J7" i="3" s="1"/>
  <c r="N7" i="4"/>
  <c r="Z8" i="3" s="1"/>
  <c r="I8" i="3"/>
  <c r="J8" i="3" s="1"/>
  <c r="N9" i="4"/>
  <c r="Z10" i="3" s="1"/>
  <c r="I10" i="3"/>
  <c r="J10" i="3" s="1"/>
  <c r="N12" i="4"/>
  <c r="Z13" i="3" s="1"/>
  <c r="I13" i="3"/>
  <c r="J13" i="3" s="1"/>
  <c r="N14" i="4"/>
  <c r="Z15" i="3" s="1"/>
  <c r="I15" i="3"/>
  <c r="J15" i="3" s="1"/>
  <c r="I17" i="3"/>
  <c r="J17" i="3" s="1"/>
  <c r="N16" i="4"/>
  <c r="Z17" i="3" s="1"/>
  <c r="N17" i="4"/>
  <c r="Z18" i="3" s="1"/>
  <c r="I18" i="3"/>
  <c r="J18" i="3" s="1"/>
  <c r="N18" i="4"/>
  <c r="Z19" i="3" s="1"/>
  <c r="I19" i="3"/>
  <c r="J19" i="3" s="1"/>
  <c r="N19" i="4"/>
  <c r="Z20" i="3" s="1"/>
  <c r="I20" i="3"/>
  <c r="J20" i="3" s="1"/>
  <c r="N20" i="4"/>
  <c r="Z21" i="3" s="1"/>
  <c r="I21" i="3"/>
  <c r="J21" i="3" s="1"/>
  <c r="N22" i="4"/>
  <c r="Z23" i="3" s="1"/>
  <c r="I23" i="3"/>
  <c r="J23" i="3" s="1"/>
  <c r="N23" i="4"/>
  <c r="Z24" i="3" s="1"/>
  <c r="I24" i="3"/>
  <c r="J24" i="3" s="1"/>
  <c r="I25" i="3"/>
  <c r="J25" i="3" s="1"/>
  <c r="N24" i="4"/>
  <c r="Z25" i="3" s="1"/>
  <c r="N47" i="4"/>
  <c r="Z48" i="3" s="1"/>
  <c r="I48" i="3"/>
  <c r="J48" i="3" s="1"/>
  <c r="N48" i="4"/>
  <c r="Z49" i="3" s="1"/>
  <c r="I49" i="3"/>
  <c r="J49" i="3" s="1"/>
  <c r="N49" i="4"/>
  <c r="Z50" i="3" s="1"/>
  <c r="I50" i="3"/>
  <c r="J50" i="3" s="1"/>
  <c r="N50" i="4"/>
  <c r="Z51" i="3" s="1"/>
  <c r="I51" i="3"/>
  <c r="J51" i="3" s="1"/>
  <c r="N51" i="4"/>
  <c r="Z52" i="3" s="1"/>
  <c r="I52" i="3"/>
  <c r="J52" i="3" s="1"/>
  <c r="N52" i="4"/>
  <c r="Z53" i="3" s="1"/>
  <c r="I53" i="3"/>
  <c r="J53" i="3" s="1"/>
  <c r="N53" i="4"/>
  <c r="Z54" i="3" s="1"/>
  <c r="I54" i="3"/>
  <c r="J54" i="3" s="1"/>
  <c r="N54" i="4"/>
  <c r="Z55" i="3" s="1"/>
  <c r="I55" i="3"/>
  <c r="J55" i="3" s="1"/>
  <c r="N55" i="4"/>
  <c r="Z56" i="3" s="1"/>
  <c r="I56" i="3"/>
  <c r="J56" i="3" s="1"/>
  <c r="N56" i="4"/>
  <c r="Z57" i="3" s="1"/>
  <c r="I57" i="3"/>
  <c r="J57" i="3" s="1"/>
  <c r="N57" i="4"/>
  <c r="Z58" i="3" s="1"/>
  <c r="I58" i="3"/>
  <c r="J58" i="3" s="1"/>
  <c r="N58" i="4"/>
  <c r="Z59" i="3" s="1"/>
  <c r="I59" i="3"/>
  <c r="J59" i="3" s="1"/>
  <c r="N59" i="4"/>
  <c r="Z60" i="3" s="1"/>
  <c r="I60" i="3"/>
  <c r="J60" i="3" s="1"/>
  <c r="N60" i="4"/>
  <c r="Z61" i="3" s="1"/>
  <c r="I61" i="3"/>
  <c r="J61" i="3" s="1"/>
  <c r="N61" i="4"/>
  <c r="Z62" i="3" s="1"/>
  <c r="I62" i="3"/>
  <c r="J62" i="3" s="1"/>
  <c r="N62" i="4"/>
  <c r="Z63" i="3" s="1"/>
  <c r="I63" i="3"/>
  <c r="J63" i="3" s="1"/>
  <c r="N63" i="4"/>
  <c r="Z64" i="3" s="1"/>
  <c r="I64" i="3"/>
  <c r="J64" i="3" s="1"/>
  <c r="N64" i="4"/>
  <c r="Z65" i="3" s="1"/>
  <c r="I65" i="3"/>
  <c r="J65" i="3" s="1"/>
  <c r="N65" i="4"/>
  <c r="Z66" i="3" s="1"/>
  <c r="I66" i="3"/>
  <c r="J66" i="3" s="1"/>
  <c r="N66" i="4"/>
  <c r="Z67" i="3" s="1"/>
  <c r="I67" i="3"/>
  <c r="J67" i="3" s="1"/>
  <c r="N67" i="4"/>
  <c r="Z68" i="3" s="1"/>
  <c r="I68" i="3"/>
  <c r="J68" i="3" s="1"/>
  <c r="N68" i="4"/>
  <c r="Z69" i="3" s="1"/>
  <c r="I69" i="3"/>
  <c r="J69" i="3" s="1"/>
  <c r="N69" i="4"/>
  <c r="Z70" i="3" s="1"/>
  <c r="I70" i="3"/>
  <c r="J70" i="3" s="1"/>
  <c r="N70" i="4"/>
  <c r="Z71" i="3" s="1"/>
  <c r="I71" i="3"/>
  <c r="J71" i="3" s="1"/>
  <c r="N71" i="4"/>
  <c r="Z72" i="3" s="1"/>
  <c r="I72" i="3"/>
  <c r="J72" i="3" s="1"/>
  <c r="N72" i="4"/>
  <c r="Z73" i="3" s="1"/>
  <c r="I73" i="3"/>
  <c r="J73" i="3" s="1"/>
  <c r="N73" i="4"/>
  <c r="Z74" i="3" s="1"/>
  <c r="I74" i="3"/>
  <c r="J74" i="3" s="1"/>
  <c r="N74" i="4"/>
  <c r="Z75" i="3" s="1"/>
  <c r="I75" i="3"/>
  <c r="J75" i="3" s="1"/>
  <c r="N75" i="4"/>
  <c r="Z76" i="3" s="1"/>
  <c r="I76" i="3"/>
  <c r="J76" i="3" s="1"/>
  <c r="N76" i="4"/>
  <c r="Z77" i="3" s="1"/>
  <c r="I77" i="3"/>
  <c r="J77" i="3" s="1"/>
  <c r="N77" i="4"/>
  <c r="Z78" i="3" s="1"/>
  <c r="I78" i="3"/>
  <c r="J78" i="3" s="1"/>
  <c r="N78" i="4"/>
  <c r="Z79" i="3" s="1"/>
  <c r="I79" i="3"/>
  <c r="J79" i="3" s="1"/>
  <c r="N79" i="4"/>
  <c r="Z80" i="3" s="1"/>
  <c r="I80" i="3"/>
  <c r="J80" i="3" s="1"/>
  <c r="N80" i="4"/>
  <c r="Z81" i="3" s="1"/>
  <c r="I81" i="3"/>
  <c r="J81" i="3" s="1"/>
  <c r="N81" i="4"/>
  <c r="Z82" i="3" s="1"/>
  <c r="I82" i="3"/>
  <c r="J82" i="3" s="1"/>
  <c r="N82" i="4"/>
  <c r="Z83" i="3" s="1"/>
  <c r="I83" i="3"/>
  <c r="J83" i="3" s="1"/>
  <c r="N83" i="4"/>
  <c r="Z84" i="3" s="1"/>
  <c r="I84" i="3"/>
  <c r="J84" i="3" s="1"/>
  <c r="N84" i="4"/>
  <c r="Z85" i="3" s="1"/>
  <c r="I85" i="3"/>
  <c r="J85" i="3" s="1"/>
  <c r="N85" i="4"/>
  <c r="Z86" i="3" s="1"/>
  <c r="I86" i="3"/>
  <c r="J86" i="3" s="1"/>
  <c r="N86" i="4"/>
  <c r="Z87" i="3" s="1"/>
  <c r="I87" i="3"/>
  <c r="J87" i="3" s="1"/>
  <c r="N87" i="4"/>
  <c r="Z88" i="3" s="1"/>
  <c r="I88" i="3"/>
  <c r="J88" i="3" s="1"/>
  <c r="N88" i="4"/>
  <c r="Z89" i="3" s="1"/>
  <c r="I89" i="3"/>
  <c r="J89" i="3" s="1"/>
  <c r="N89" i="4"/>
  <c r="Z90" i="3" s="1"/>
  <c r="I90" i="3"/>
  <c r="J90" i="3" s="1"/>
  <c r="N90" i="4"/>
  <c r="Z91" i="3" s="1"/>
  <c r="I91" i="3"/>
  <c r="J91" i="3" s="1"/>
  <c r="N91" i="4"/>
  <c r="Z92" i="3" s="1"/>
  <c r="I92" i="3"/>
  <c r="J92" i="3" s="1"/>
  <c r="N92" i="4"/>
  <c r="Z93" i="3" s="1"/>
  <c r="I93" i="3"/>
  <c r="J93" i="3" s="1"/>
  <c r="N93" i="4"/>
  <c r="Z94" i="3" s="1"/>
  <c r="I94" i="3"/>
  <c r="J94" i="3" s="1"/>
  <c r="N94" i="4"/>
  <c r="Z95" i="3" s="1"/>
  <c r="I95" i="3"/>
  <c r="J95" i="3" s="1"/>
  <c r="N95" i="4"/>
  <c r="Z96" i="3" s="1"/>
  <c r="I96" i="3"/>
  <c r="J96" i="3" s="1"/>
  <c r="N96" i="4"/>
  <c r="Z97" i="3" s="1"/>
  <c r="I97" i="3"/>
  <c r="J97" i="3" s="1"/>
  <c r="N97" i="4"/>
  <c r="Z98" i="3" s="1"/>
  <c r="I98" i="3"/>
  <c r="J98" i="3" s="1"/>
  <c r="N98" i="4"/>
  <c r="Z99" i="3" s="1"/>
  <c r="I99" i="3"/>
  <c r="J99" i="3" s="1"/>
  <c r="N99" i="4"/>
  <c r="Z100" i="3" s="1"/>
  <c r="I100" i="3"/>
  <c r="J100" i="3" s="1"/>
  <c r="N100" i="4"/>
  <c r="Z101" i="3" s="1"/>
  <c r="I101" i="3"/>
  <c r="J101" i="3" s="1"/>
  <c r="N101" i="4"/>
  <c r="Z102" i="3" s="1"/>
  <c r="I102" i="3"/>
  <c r="J102" i="3" s="1"/>
  <c r="N102" i="4"/>
  <c r="Z103" i="3" s="1"/>
  <c r="I103" i="3"/>
  <c r="J103" i="3" s="1"/>
  <c r="N103" i="4"/>
  <c r="Z104" i="3" s="1"/>
  <c r="I104" i="3"/>
  <c r="J104" i="3" s="1"/>
  <c r="N104" i="4"/>
  <c r="Z105" i="3" s="1"/>
  <c r="I105" i="3"/>
  <c r="J105" i="3" s="1"/>
  <c r="N105" i="4"/>
  <c r="Z106" i="3" s="1"/>
  <c r="I106" i="3"/>
  <c r="J106" i="3" s="1"/>
  <c r="N106" i="4"/>
  <c r="Z107" i="3" s="1"/>
  <c r="I107" i="3"/>
  <c r="J107" i="3" s="1"/>
  <c r="N107" i="4"/>
  <c r="Z108" i="3" s="1"/>
  <c r="I108" i="3"/>
  <c r="J108" i="3" s="1"/>
  <c r="N108" i="4"/>
  <c r="Z109" i="3" s="1"/>
  <c r="I109" i="3"/>
  <c r="J109" i="3" s="1"/>
  <c r="N109" i="4"/>
  <c r="Z110" i="3" s="1"/>
  <c r="I110" i="3"/>
  <c r="J110" i="3" s="1"/>
  <c r="N110" i="4"/>
  <c r="Z111" i="3" s="1"/>
  <c r="I111" i="3"/>
  <c r="J111" i="3" s="1"/>
  <c r="N111" i="4"/>
  <c r="Z112" i="3" s="1"/>
  <c r="I112" i="3"/>
  <c r="J112" i="3" s="1"/>
  <c r="N112" i="4"/>
  <c r="Z113" i="3" s="1"/>
  <c r="I113" i="3"/>
  <c r="J113" i="3" s="1"/>
  <c r="N113" i="4"/>
  <c r="Z114" i="3" s="1"/>
  <c r="I114" i="3"/>
  <c r="J114" i="3" s="1"/>
  <c r="N114" i="4"/>
  <c r="Z115" i="3" s="1"/>
  <c r="I115" i="3"/>
  <c r="J115" i="3" s="1"/>
  <c r="N115" i="4"/>
  <c r="Z116" i="3" s="1"/>
  <c r="I116" i="3"/>
  <c r="J116" i="3" s="1"/>
  <c r="N116" i="4"/>
  <c r="Z117" i="3" s="1"/>
  <c r="I117" i="3"/>
  <c r="J117" i="3" s="1"/>
  <c r="N117" i="4"/>
  <c r="Z118" i="3" s="1"/>
  <c r="I118" i="3"/>
  <c r="J118" i="3" s="1"/>
  <c r="N118" i="4"/>
  <c r="Z119" i="3" s="1"/>
  <c r="I119" i="3"/>
  <c r="J119" i="3" s="1"/>
  <c r="N119" i="4"/>
  <c r="Z120" i="3" s="1"/>
  <c r="I120" i="3"/>
  <c r="J120" i="3" s="1"/>
  <c r="N120" i="4"/>
  <c r="Z121" i="3" s="1"/>
  <c r="I121" i="3"/>
  <c r="J121" i="3" s="1"/>
  <c r="N121" i="4"/>
  <c r="Z122" i="3" s="1"/>
  <c r="I122" i="3"/>
  <c r="J122" i="3" s="1"/>
  <c r="N122" i="4"/>
  <c r="Z123" i="3" s="1"/>
  <c r="I123" i="3"/>
  <c r="J123" i="3" s="1"/>
  <c r="N123" i="4"/>
  <c r="Z124" i="3" s="1"/>
  <c r="I124" i="3"/>
  <c r="J124" i="3" s="1"/>
  <c r="N124" i="4"/>
  <c r="Z125" i="3" s="1"/>
  <c r="I125" i="3"/>
  <c r="J125" i="3" s="1"/>
  <c r="N125" i="4"/>
  <c r="Z126" i="3" s="1"/>
  <c r="I126" i="3"/>
  <c r="J126" i="3" s="1"/>
  <c r="N126" i="4"/>
  <c r="Z127" i="3" s="1"/>
  <c r="I127" i="3"/>
  <c r="J127" i="3" s="1"/>
  <c r="N127" i="4"/>
  <c r="Z128" i="3" s="1"/>
  <c r="I128" i="3"/>
  <c r="J128" i="3" s="1"/>
  <c r="N128" i="4"/>
  <c r="Z129" i="3" s="1"/>
  <c r="I129" i="3"/>
  <c r="J129" i="3" s="1"/>
  <c r="N129" i="4"/>
  <c r="Z130" i="3" s="1"/>
  <c r="I130" i="3"/>
  <c r="J130" i="3" s="1"/>
  <c r="N130" i="4"/>
  <c r="Z131" i="3" s="1"/>
  <c r="I131" i="3"/>
  <c r="J131" i="3" s="1"/>
  <c r="N131" i="4"/>
  <c r="Z132" i="3" s="1"/>
  <c r="I132" i="3"/>
  <c r="J132" i="3" s="1"/>
  <c r="N132" i="4"/>
  <c r="Z133" i="3" s="1"/>
  <c r="I133" i="3"/>
  <c r="J133" i="3" s="1"/>
  <c r="N133" i="4"/>
  <c r="Z134" i="3" s="1"/>
  <c r="I134" i="3"/>
  <c r="J134" i="3" s="1"/>
  <c r="N134" i="4"/>
  <c r="Z135" i="3" s="1"/>
  <c r="I135" i="3"/>
  <c r="J135" i="3" s="1"/>
  <c r="N135" i="4"/>
  <c r="Z136" i="3" s="1"/>
  <c r="I136" i="3"/>
  <c r="J136" i="3" s="1"/>
  <c r="N136" i="4"/>
  <c r="Z137" i="3" s="1"/>
  <c r="I137" i="3"/>
  <c r="J137" i="3" s="1"/>
  <c r="N137" i="4"/>
  <c r="Z138" i="3" s="1"/>
  <c r="I138" i="3"/>
  <c r="J138" i="3" s="1"/>
  <c r="N138" i="4"/>
  <c r="Z139" i="3" s="1"/>
  <c r="I139" i="3"/>
  <c r="J139" i="3" s="1"/>
  <c r="N139" i="4"/>
  <c r="Z140" i="3" s="1"/>
  <c r="I140" i="3"/>
  <c r="J140" i="3" s="1"/>
  <c r="N140" i="4"/>
  <c r="Z141" i="3" s="1"/>
  <c r="I141" i="3"/>
  <c r="J141" i="3" s="1"/>
  <c r="N141" i="4"/>
  <c r="Z142" i="3" s="1"/>
  <c r="I142" i="3"/>
  <c r="J142" i="3" s="1"/>
  <c r="N142" i="4"/>
  <c r="Z143" i="3" s="1"/>
  <c r="I143" i="3"/>
  <c r="J143" i="3" s="1"/>
  <c r="N143" i="4"/>
  <c r="Z144" i="3" s="1"/>
  <c r="I144" i="3"/>
  <c r="J144" i="3" s="1"/>
  <c r="N144" i="4"/>
  <c r="Z145" i="3" s="1"/>
  <c r="I145" i="3"/>
  <c r="J145" i="3" s="1"/>
  <c r="N145" i="4"/>
  <c r="Z146" i="3" s="1"/>
  <c r="I146" i="3"/>
  <c r="J146" i="3" s="1"/>
  <c r="N146" i="4"/>
  <c r="Z147" i="3" s="1"/>
  <c r="I147" i="3"/>
  <c r="J147" i="3" s="1"/>
  <c r="N147" i="4"/>
  <c r="Z148" i="3" s="1"/>
  <c r="I148" i="3"/>
  <c r="J148" i="3" s="1"/>
  <c r="N148" i="4"/>
  <c r="Z149" i="3" s="1"/>
  <c r="I149" i="3"/>
  <c r="J149" i="3" s="1"/>
  <c r="N149" i="4"/>
  <c r="Z150" i="3" s="1"/>
  <c r="I150" i="3"/>
  <c r="J150" i="3" s="1"/>
  <c r="N150" i="4"/>
  <c r="Z151" i="3" s="1"/>
  <c r="I151" i="3"/>
  <c r="J151" i="3" s="1"/>
  <c r="N151" i="4"/>
  <c r="Z152" i="3" s="1"/>
  <c r="I152" i="3"/>
  <c r="J152" i="3" s="1"/>
  <c r="N152" i="4"/>
  <c r="Z153" i="3" s="1"/>
  <c r="I153" i="3"/>
  <c r="J153" i="3" s="1"/>
  <c r="N153" i="4"/>
  <c r="Z154" i="3" s="1"/>
  <c r="I154" i="3"/>
  <c r="J154" i="3" s="1"/>
  <c r="N154" i="4"/>
  <c r="Z155" i="3" s="1"/>
  <c r="I155" i="3"/>
  <c r="J155" i="3" s="1"/>
  <c r="N155" i="4"/>
  <c r="Z156" i="3" s="1"/>
  <c r="I156" i="3"/>
  <c r="J156" i="3" s="1"/>
  <c r="N156" i="4"/>
  <c r="Z157" i="3" s="1"/>
  <c r="I157" i="3"/>
  <c r="J157" i="3" s="1"/>
  <c r="N157" i="4"/>
  <c r="Z158" i="3" s="1"/>
  <c r="I158" i="3"/>
  <c r="J158" i="3" s="1"/>
  <c r="N158" i="4"/>
  <c r="Z159" i="3" s="1"/>
  <c r="I159" i="3"/>
  <c r="J159" i="3" s="1"/>
  <c r="N159" i="4"/>
  <c r="Z160" i="3" s="1"/>
  <c r="I160" i="3"/>
  <c r="J160" i="3" s="1"/>
  <c r="N160" i="4"/>
  <c r="Z161" i="3" s="1"/>
  <c r="I161" i="3"/>
  <c r="J161" i="3" s="1"/>
  <c r="N161" i="4"/>
  <c r="Z162" i="3" s="1"/>
  <c r="I162" i="3"/>
  <c r="J162" i="3" s="1"/>
  <c r="N162" i="4"/>
  <c r="Z163" i="3" s="1"/>
  <c r="I163" i="3"/>
  <c r="J163" i="3" s="1"/>
  <c r="N163" i="4"/>
  <c r="Z164" i="3" s="1"/>
  <c r="I164" i="3"/>
  <c r="J164" i="3" s="1"/>
  <c r="N164" i="4"/>
  <c r="Z165" i="3" s="1"/>
  <c r="I165" i="3"/>
  <c r="J165" i="3" s="1"/>
  <c r="N165" i="4"/>
  <c r="Z166" i="3" s="1"/>
  <c r="I166" i="3"/>
  <c r="J166" i="3" s="1"/>
  <c r="N166" i="4"/>
  <c r="Z167" i="3" s="1"/>
  <c r="I167" i="3"/>
  <c r="J167" i="3" s="1"/>
  <c r="L6" i="3"/>
  <c r="J4" i="3"/>
  <c r="K6" i="3"/>
  <c r="F20" i="1"/>
  <c r="B50" i="1"/>
  <c r="F157" i="4"/>
  <c r="G157" i="4"/>
  <c r="S158" i="3" s="1"/>
  <c r="H157" i="4"/>
  <c r="T158" i="3" s="1"/>
  <c r="I157" i="4"/>
  <c r="U158" i="3" s="1"/>
  <c r="J157" i="4"/>
  <c r="V158" i="3" s="1"/>
  <c r="K157" i="4"/>
  <c r="W158" i="3" s="1"/>
  <c r="L157" i="4"/>
  <c r="X158" i="3" s="1"/>
  <c r="M157" i="4"/>
  <c r="Y158" i="3" s="1"/>
  <c r="O157" i="4"/>
  <c r="AA158" i="3" s="1"/>
  <c r="P157" i="4"/>
  <c r="AB158" i="3" s="1"/>
  <c r="Q157" i="4"/>
  <c r="AC158" i="3" s="1"/>
  <c r="R157" i="4"/>
  <c r="AD158" i="3" s="1"/>
  <c r="S157" i="4"/>
  <c r="AE158" i="3" s="1"/>
  <c r="T157" i="4"/>
  <c r="AF158" i="3" s="1"/>
  <c r="U157" i="4"/>
  <c r="AG158" i="3" s="1"/>
  <c r="F154" i="4"/>
  <c r="G154" i="4"/>
  <c r="S155" i="3" s="1"/>
  <c r="H154" i="4"/>
  <c r="T155" i="3" s="1"/>
  <c r="I154" i="4"/>
  <c r="U155" i="3" s="1"/>
  <c r="J154" i="4"/>
  <c r="V155" i="3" s="1"/>
  <c r="K154" i="4"/>
  <c r="W155" i="3" s="1"/>
  <c r="L154" i="4"/>
  <c r="X155" i="3" s="1"/>
  <c r="M154" i="4"/>
  <c r="Y155" i="3" s="1"/>
  <c r="O154" i="4"/>
  <c r="AA155" i="3" s="1"/>
  <c r="P154" i="4"/>
  <c r="AB155" i="3" s="1"/>
  <c r="Q154" i="4"/>
  <c r="AC155" i="3" s="1"/>
  <c r="R154" i="4"/>
  <c r="AD155" i="3" s="1"/>
  <c r="S154" i="4"/>
  <c r="AE155" i="3" s="1"/>
  <c r="T154" i="4"/>
  <c r="AF155" i="3" s="1"/>
  <c r="U154" i="4"/>
  <c r="AG155" i="3" s="1"/>
  <c r="F150" i="4"/>
  <c r="G150" i="4"/>
  <c r="S151" i="3" s="1"/>
  <c r="H150" i="4"/>
  <c r="T151" i="3" s="1"/>
  <c r="I150" i="4"/>
  <c r="U151" i="3" s="1"/>
  <c r="J150" i="4"/>
  <c r="V151" i="3" s="1"/>
  <c r="K150" i="4"/>
  <c r="W151" i="3" s="1"/>
  <c r="L150" i="4"/>
  <c r="X151" i="3" s="1"/>
  <c r="M150" i="4"/>
  <c r="Y151" i="3" s="1"/>
  <c r="O150" i="4"/>
  <c r="AA151" i="3" s="1"/>
  <c r="P150" i="4"/>
  <c r="AB151" i="3" s="1"/>
  <c r="Q150" i="4"/>
  <c r="AC151" i="3" s="1"/>
  <c r="R150" i="4"/>
  <c r="AD151" i="3" s="1"/>
  <c r="S150" i="4"/>
  <c r="AE151" i="3" s="1"/>
  <c r="T150" i="4"/>
  <c r="AF151" i="3" s="1"/>
  <c r="U150" i="4"/>
  <c r="AG151" i="3" s="1"/>
  <c r="F94" i="4"/>
  <c r="G94" i="4"/>
  <c r="S95" i="3" s="1"/>
  <c r="H94" i="4"/>
  <c r="T95" i="3" s="1"/>
  <c r="I94" i="4"/>
  <c r="U95" i="3" s="1"/>
  <c r="J94" i="4"/>
  <c r="V95" i="3" s="1"/>
  <c r="K94" i="4"/>
  <c r="W95" i="3" s="1"/>
  <c r="L94" i="4"/>
  <c r="X95" i="3" s="1"/>
  <c r="M94" i="4"/>
  <c r="Y95" i="3" s="1"/>
  <c r="O94" i="4"/>
  <c r="AA95" i="3" s="1"/>
  <c r="P94" i="4"/>
  <c r="AB95" i="3" s="1"/>
  <c r="Q94" i="4"/>
  <c r="AC95" i="3" s="1"/>
  <c r="R94" i="4"/>
  <c r="AD95" i="3" s="1"/>
  <c r="S94" i="4"/>
  <c r="AE95" i="3" s="1"/>
  <c r="T94" i="4"/>
  <c r="AF95" i="3" s="1"/>
  <c r="U94" i="4"/>
  <c r="AG95" i="3" s="1"/>
  <c r="F121" i="4"/>
  <c r="G121" i="4"/>
  <c r="S122" i="3" s="1"/>
  <c r="H121" i="4"/>
  <c r="T122" i="3" s="1"/>
  <c r="I121" i="4"/>
  <c r="U122" i="3" s="1"/>
  <c r="J121" i="4"/>
  <c r="V122" i="3" s="1"/>
  <c r="K121" i="4"/>
  <c r="W122" i="3" s="1"/>
  <c r="L121" i="4"/>
  <c r="X122" i="3" s="1"/>
  <c r="M121" i="4"/>
  <c r="Y122" i="3" s="1"/>
  <c r="O121" i="4"/>
  <c r="AA122" i="3" s="1"/>
  <c r="P121" i="4"/>
  <c r="AB122" i="3" s="1"/>
  <c r="Q121" i="4"/>
  <c r="AC122" i="3" s="1"/>
  <c r="R121" i="4"/>
  <c r="AD122" i="3" s="1"/>
  <c r="S121" i="4"/>
  <c r="AE122" i="3" s="1"/>
  <c r="T121" i="4"/>
  <c r="AF122" i="3" s="1"/>
  <c r="U121" i="4"/>
  <c r="AG122" i="3" s="1"/>
  <c r="F148" i="4"/>
  <c r="G148" i="4"/>
  <c r="S149" i="3" s="1"/>
  <c r="H148" i="4"/>
  <c r="T149" i="3" s="1"/>
  <c r="I148" i="4"/>
  <c r="U149" i="3" s="1"/>
  <c r="J148" i="4"/>
  <c r="V149" i="3" s="1"/>
  <c r="K148" i="4"/>
  <c r="W149" i="3" s="1"/>
  <c r="L148" i="4"/>
  <c r="X149" i="3" s="1"/>
  <c r="M148" i="4"/>
  <c r="Y149" i="3" s="1"/>
  <c r="O148" i="4"/>
  <c r="AA149" i="3" s="1"/>
  <c r="P148" i="4"/>
  <c r="AB149" i="3" s="1"/>
  <c r="Q148" i="4"/>
  <c r="AC149" i="3" s="1"/>
  <c r="R148" i="4"/>
  <c r="AD149" i="3" s="1"/>
  <c r="S148" i="4"/>
  <c r="AE149" i="3" s="1"/>
  <c r="T148" i="4"/>
  <c r="AF149" i="3" s="1"/>
  <c r="U148" i="4"/>
  <c r="AG149" i="3" s="1"/>
  <c r="F120" i="4"/>
  <c r="G120" i="4"/>
  <c r="S121" i="3" s="1"/>
  <c r="H120" i="4"/>
  <c r="T121" i="3" s="1"/>
  <c r="I120" i="4"/>
  <c r="U121" i="3" s="1"/>
  <c r="J120" i="4"/>
  <c r="V121" i="3" s="1"/>
  <c r="K120" i="4"/>
  <c r="W121" i="3" s="1"/>
  <c r="L120" i="4"/>
  <c r="X121" i="3" s="1"/>
  <c r="M120" i="4"/>
  <c r="Y121" i="3" s="1"/>
  <c r="O120" i="4"/>
  <c r="AA121" i="3" s="1"/>
  <c r="P120" i="4"/>
  <c r="AB121" i="3" s="1"/>
  <c r="Q120" i="4"/>
  <c r="AC121" i="3" s="1"/>
  <c r="R120" i="4"/>
  <c r="AD121" i="3" s="1"/>
  <c r="S120" i="4"/>
  <c r="AE121" i="3" s="1"/>
  <c r="T120" i="4"/>
  <c r="AF121" i="3" s="1"/>
  <c r="U120" i="4"/>
  <c r="AG121" i="3" s="1"/>
  <c r="F155" i="4"/>
  <c r="G155" i="4"/>
  <c r="S156" i="3" s="1"/>
  <c r="H155" i="4"/>
  <c r="T156" i="3" s="1"/>
  <c r="I155" i="4"/>
  <c r="U156" i="3" s="1"/>
  <c r="J155" i="4"/>
  <c r="V156" i="3" s="1"/>
  <c r="K155" i="4"/>
  <c r="W156" i="3" s="1"/>
  <c r="L155" i="4"/>
  <c r="X156" i="3" s="1"/>
  <c r="M155" i="4"/>
  <c r="Y156" i="3" s="1"/>
  <c r="O155" i="4"/>
  <c r="AA156" i="3" s="1"/>
  <c r="P155" i="4"/>
  <c r="AB156" i="3" s="1"/>
  <c r="Q155" i="4"/>
  <c r="AC156" i="3" s="1"/>
  <c r="R155" i="4"/>
  <c r="AD156" i="3" s="1"/>
  <c r="S155" i="4"/>
  <c r="AE156" i="3" s="1"/>
  <c r="T155" i="4"/>
  <c r="AF156" i="3" s="1"/>
  <c r="U155" i="4"/>
  <c r="AG156" i="3" s="1"/>
  <c r="F102" i="4"/>
  <c r="G102" i="4"/>
  <c r="S103" i="3" s="1"/>
  <c r="H102" i="4"/>
  <c r="T103" i="3" s="1"/>
  <c r="I102" i="4"/>
  <c r="U103" i="3" s="1"/>
  <c r="J102" i="4"/>
  <c r="V103" i="3" s="1"/>
  <c r="K102" i="4"/>
  <c r="W103" i="3" s="1"/>
  <c r="L102" i="4"/>
  <c r="X103" i="3" s="1"/>
  <c r="M102" i="4"/>
  <c r="Y103" i="3" s="1"/>
  <c r="O102" i="4"/>
  <c r="AA103" i="3" s="1"/>
  <c r="P102" i="4"/>
  <c r="AB103" i="3" s="1"/>
  <c r="Q102" i="4"/>
  <c r="AC103" i="3" s="1"/>
  <c r="R102" i="4"/>
  <c r="AD103" i="3" s="1"/>
  <c r="S102" i="4"/>
  <c r="AE103" i="3" s="1"/>
  <c r="T102" i="4"/>
  <c r="AF103" i="3" s="1"/>
  <c r="U102" i="4"/>
  <c r="AG103" i="3" s="1"/>
  <c r="F143" i="4"/>
  <c r="G143" i="4"/>
  <c r="S144" i="3" s="1"/>
  <c r="H143" i="4"/>
  <c r="T144" i="3" s="1"/>
  <c r="I143" i="4"/>
  <c r="U144" i="3" s="1"/>
  <c r="J143" i="4"/>
  <c r="V144" i="3" s="1"/>
  <c r="K143" i="4"/>
  <c r="W144" i="3" s="1"/>
  <c r="L143" i="4"/>
  <c r="X144" i="3" s="1"/>
  <c r="M143" i="4"/>
  <c r="Y144" i="3" s="1"/>
  <c r="O143" i="4"/>
  <c r="AA144" i="3" s="1"/>
  <c r="P143" i="4"/>
  <c r="AB144" i="3" s="1"/>
  <c r="Q143" i="4"/>
  <c r="AC144" i="3" s="1"/>
  <c r="R143" i="4"/>
  <c r="AD144" i="3" s="1"/>
  <c r="S143" i="4"/>
  <c r="AE144" i="3" s="1"/>
  <c r="T143" i="4"/>
  <c r="AF144" i="3" s="1"/>
  <c r="U143" i="4"/>
  <c r="AG144" i="3" s="1"/>
  <c r="F118" i="4"/>
  <c r="G118" i="4"/>
  <c r="S119" i="3" s="1"/>
  <c r="H118" i="4"/>
  <c r="T119" i="3" s="1"/>
  <c r="I118" i="4"/>
  <c r="U119" i="3" s="1"/>
  <c r="J118" i="4"/>
  <c r="V119" i="3" s="1"/>
  <c r="K118" i="4"/>
  <c r="W119" i="3" s="1"/>
  <c r="L118" i="4"/>
  <c r="X119" i="3" s="1"/>
  <c r="M118" i="4"/>
  <c r="Y119" i="3" s="1"/>
  <c r="O118" i="4"/>
  <c r="AA119" i="3" s="1"/>
  <c r="P118" i="4"/>
  <c r="AB119" i="3" s="1"/>
  <c r="Q118" i="4"/>
  <c r="AC119" i="3" s="1"/>
  <c r="R118" i="4"/>
  <c r="AD119" i="3" s="1"/>
  <c r="S118" i="4"/>
  <c r="AE119" i="3" s="1"/>
  <c r="T118" i="4"/>
  <c r="AF119" i="3" s="1"/>
  <c r="U118" i="4"/>
  <c r="AG119" i="3" s="1"/>
  <c r="F142" i="4"/>
  <c r="G142" i="4"/>
  <c r="S143" i="3" s="1"/>
  <c r="H142" i="4"/>
  <c r="T143" i="3" s="1"/>
  <c r="I142" i="4"/>
  <c r="U143" i="3" s="1"/>
  <c r="J142" i="4"/>
  <c r="V143" i="3" s="1"/>
  <c r="K142" i="4"/>
  <c r="W143" i="3" s="1"/>
  <c r="L142" i="4"/>
  <c r="X143" i="3" s="1"/>
  <c r="M142" i="4"/>
  <c r="Y143" i="3" s="1"/>
  <c r="O142" i="4"/>
  <c r="AA143" i="3" s="1"/>
  <c r="P142" i="4"/>
  <c r="AB143" i="3" s="1"/>
  <c r="Q142" i="4"/>
  <c r="AC143" i="3" s="1"/>
  <c r="R142" i="4"/>
  <c r="AD143" i="3" s="1"/>
  <c r="S142" i="4"/>
  <c r="AE143" i="3" s="1"/>
  <c r="T142" i="4"/>
  <c r="AF143" i="3" s="1"/>
  <c r="U142" i="4"/>
  <c r="AG143" i="3" s="1"/>
  <c r="F86" i="4"/>
  <c r="G86" i="4"/>
  <c r="S87" i="3" s="1"/>
  <c r="H86" i="4"/>
  <c r="T87" i="3" s="1"/>
  <c r="I86" i="4"/>
  <c r="U87" i="3" s="1"/>
  <c r="J86" i="4"/>
  <c r="V87" i="3" s="1"/>
  <c r="K86" i="4"/>
  <c r="W87" i="3" s="1"/>
  <c r="L86" i="4"/>
  <c r="X87" i="3" s="1"/>
  <c r="M86" i="4"/>
  <c r="Y87" i="3" s="1"/>
  <c r="O86" i="4"/>
  <c r="AA87" i="3" s="1"/>
  <c r="P86" i="4"/>
  <c r="AB87" i="3" s="1"/>
  <c r="Q86" i="4"/>
  <c r="AC87" i="3" s="1"/>
  <c r="R86" i="4"/>
  <c r="AD87" i="3" s="1"/>
  <c r="S86" i="4"/>
  <c r="AE87" i="3" s="1"/>
  <c r="T86" i="4"/>
  <c r="AF87" i="3" s="1"/>
  <c r="U86" i="4"/>
  <c r="AG87" i="3" s="1"/>
  <c r="F140" i="4"/>
  <c r="G140" i="4"/>
  <c r="S141" i="3" s="1"/>
  <c r="H140" i="4"/>
  <c r="T141" i="3" s="1"/>
  <c r="I140" i="4"/>
  <c r="U141" i="3" s="1"/>
  <c r="J140" i="4"/>
  <c r="V141" i="3" s="1"/>
  <c r="K140" i="4"/>
  <c r="W141" i="3" s="1"/>
  <c r="L140" i="4"/>
  <c r="X141" i="3" s="1"/>
  <c r="M140" i="4"/>
  <c r="Y141" i="3" s="1"/>
  <c r="O140" i="4"/>
  <c r="AA141" i="3" s="1"/>
  <c r="P140" i="4"/>
  <c r="AB141" i="3" s="1"/>
  <c r="Q140" i="4"/>
  <c r="AC141" i="3" s="1"/>
  <c r="R140" i="4"/>
  <c r="AD141" i="3" s="1"/>
  <c r="S140" i="4"/>
  <c r="AE141" i="3" s="1"/>
  <c r="T140" i="4"/>
  <c r="AF141" i="3" s="1"/>
  <c r="U140" i="4"/>
  <c r="AG141" i="3" s="1"/>
  <c r="F115" i="4"/>
  <c r="G115" i="4"/>
  <c r="S116" i="3" s="1"/>
  <c r="H115" i="4"/>
  <c r="T116" i="3" s="1"/>
  <c r="I115" i="4"/>
  <c r="U116" i="3" s="1"/>
  <c r="J115" i="4"/>
  <c r="V116" i="3" s="1"/>
  <c r="K115" i="4"/>
  <c r="W116" i="3" s="1"/>
  <c r="L115" i="4"/>
  <c r="X116" i="3" s="1"/>
  <c r="M115" i="4"/>
  <c r="Y116" i="3" s="1"/>
  <c r="O115" i="4"/>
  <c r="AA116" i="3" s="1"/>
  <c r="P115" i="4"/>
  <c r="AB116" i="3" s="1"/>
  <c r="Q115" i="4"/>
  <c r="AC116" i="3" s="1"/>
  <c r="R115" i="4"/>
  <c r="AD116" i="3" s="1"/>
  <c r="S115" i="4"/>
  <c r="AE116" i="3" s="1"/>
  <c r="T115" i="4"/>
  <c r="AF116" i="3" s="1"/>
  <c r="U115" i="4"/>
  <c r="AG116" i="3" s="1"/>
  <c r="F137" i="4"/>
  <c r="G137" i="4"/>
  <c r="S138" i="3" s="1"/>
  <c r="H137" i="4"/>
  <c r="T138" i="3" s="1"/>
  <c r="I137" i="4"/>
  <c r="U138" i="3" s="1"/>
  <c r="J137" i="4"/>
  <c r="V138" i="3" s="1"/>
  <c r="K137" i="4"/>
  <c r="W138" i="3" s="1"/>
  <c r="L137" i="4"/>
  <c r="X138" i="3" s="1"/>
  <c r="M137" i="4"/>
  <c r="Y138" i="3" s="1"/>
  <c r="O137" i="4"/>
  <c r="AA138" i="3" s="1"/>
  <c r="P137" i="4"/>
  <c r="AB138" i="3" s="1"/>
  <c r="Q137" i="4"/>
  <c r="AC138" i="3" s="1"/>
  <c r="R137" i="4"/>
  <c r="AD138" i="3" s="1"/>
  <c r="S137" i="4"/>
  <c r="AE138" i="3" s="1"/>
  <c r="T137" i="4"/>
  <c r="AF138" i="3" s="1"/>
  <c r="U137" i="4"/>
  <c r="AG138" i="3" s="1"/>
  <c r="F101" i="4"/>
  <c r="G101" i="4"/>
  <c r="S102" i="3" s="1"/>
  <c r="H101" i="4"/>
  <c r="T102" i="3" s="1"/>
  <c r="I101" i="4"/>
  <c r="U102" i="3" s="1"/>
  <c r="J101" i="4"/>
  <c r="V102" i="3" s="1"/>
  <c r="K101" i="4"/>
  <c r="W102" i="3" s="1"/>
  <c r="L101" i="4"/>
  <c r="X102" i="3" s="1"/>
  <c r="M101" i="4"/>
  <c r="Y102" i="3" s="1"/>
  <c r="O101" i="4"/>
  <c r="AA102" i="3" s="1"/>
  <c r="P101" i="4"/>
  <c r="AB102" i="3" s="1"/>
  <c r="Q101" i="4"/>
  <c r="AC102" i="3" s="1"/>
  <c r="R101" i="4"/>
  <c r="AD102" i="3" s="1"/>
  <c r="S101" i="4"/>
  <c r="AE102" i="3" s="1"/>
  <c r="T101" i="4"/>
  <c r="AF102" i="3" s="1"/>
  <c r="U101" i="4"/>
  <c r="AG102" i="3" s="1"/>
  <c r="F153" i="4"/>
  <c r="G153" i="4"/>
  <c r="S154" i="3" s="1"/>
  <c r="H153" i="4"/>
  <c r="T154" i="3" s="1"/>
  <c r="I153" i="4"/>
  <c r="U154" i="3" s="1"/>
  <c r="J153" i="4"/>
  <c r="V154" i="3" s="1"/>
  <c r="K153" i="4"/>
  <c r="W154" i="3" s="1"/>
  <c r="L153" i="4"/>
  <c r="X154" i="3" s="1"/>
  <c r="M153" i="4"/>
  <c r="Y154" i="3" s="1"/>
  <c r="O153" i="4"/>
  <c r="AA154" i="3" s="1"/>
  <c r="P153" i="4"/>
  <c r="AB154" i="3" s="1"/>
  <c r="Q153" i="4"/>
  <c r="AC154" i="3" s="1"/>
  <c r="R153" i="4"/>
  <c r="AD154" i="3" s="1"/>
  <c r="S153" i="4"/>
  <c r="AE154" i="3" s="1"/>
  <c r="T153" i="4"/>
  <c r="AF154" i="3" s="1"/>
  <c r="U153" i="4"/>
  <c r="AG154" i="3" s="1"/>
  <c r="F133" i="4"/>
  <c r="G133" i="4"/>
  <c r="S134" i="3" s="1"/>
  <c r="H133" i="4"/>
  <c r="T134" i="3" s="1"/>
  <c r="I133" i="4"/>
  <c r="U134" i="3" s="1"/>
  <c r="J133" i="4"/>
  <c r="V134" i="3" s="1"/>
  <c r="K133" i="4"/>
  <c r="W134" i="3" s="1"/>
  <c r="L133" i="4"/>
  <c r="X134" i="3" s="1"/>
  <c r="M133" i="4"/>
  <c r="Y134" i="3" s="1"/>
  <c r="O133" i="4"/>
  <c r="AA134" i="3" s="1"/>
  <c r="P133" i="4"/>
  <c r="AB134" i="3" s="1"/>
  <c r="Q133" i="4"/>
  <c r="AC134" i="3" s="1"/>
  <c r="R133" i="4"/>
  <c r="AD134" i="3" s="1"/>
  <c r="S133" i="4"/>
  <c r="AE134" i="3" s="1"/>
  <c r="T133" i="4"/>
  <c r="AF134" i="3" s="1"/>
  <c r="U133" i="4"/>
  <c r="AG134" i="3" s="1"/>
  <c r="F152" i="4"/>
  <c r="G152" i="4"/>
  <c r="S153" i="3" s="1"/>
  <c r="H152" i="4"/>
  <c r="T153" i="3" s="1"/>
  <c r="I152" i="4"/>
  <c r="U153" i="3" s="1"/>
  <c r="J152" i="4"/>
  <c r="V153" i="3" s="1"/>
  <c r="K152" i="4"/>
  <c r="W153" i="3" s="1"/>
  <c r="L152" i="4"/>
  <c r="X153" i="3" s="1"/>
  <c r="M152" i="4"/>
  <c r="Y153" i="3" s="1"/>
  <c r="O152" i="4"/>
  <c r="AA153" i="3" s="1"/>
  <c r="P152" i="4"/>
  <c r="AB153" i="3" s="1"/>
  <c r="Q152" i="4"/>
  <c r="AC153" i="3" s="1"/>
  <c r="R152" i="4"/>
  <c r="AD153" i="3" s="1"/>
  <c r="S152" i="4"/>
  <c r="AE153" i="3" s="1"/>
  <c r="T152" i="4"/>
  <c r="AF153" i="3" s="1"/>
  <c r="U152" i="4"/>
  <c r="AG153" i="3" s="1"/>
  <c r="F149" i="4"/>
  <c r="G149" i="4"/>
  <c r="S150" i="3" s="1"/>
  <c r="H149" i="4"/>
  <c r="T150" i="3" s="1"/>
  <c r="I149" i="4"/>
  <c r="U150" i="3" s="1"/>
  <c r="J149" i="4"/>
  <c r="V150" i="3" s="1"/>
  <c r="K149" i="4"/>
  <c r="W150" i="3" s="1"/>
  <c r="L149" i="4"/>
  <c r="X150" i="3" s="1"/>
  <c r="M149" i="4"/>
  <c r="Y150" i="3" s="1"/>
  <c r="O149" i="4"/>
  <c r="AA150" i="3" s="1"/>
  <c r="P149" i="4"/>
  <c r="AB150" i="3" s="1"/>
  <c r="Q149" i="4"/>
  <c r="AC150" i="3" s="1"/>
  <c r="R149" i="4"/>
  <c r="AD150" i="3" s="1"/>
  <c r="S149" i="4"/>
  <c r="AE150" i="3" s="1"/>
  <c r="T149" i="4"/>
  <c r="AF150" i="3" s="1"/>
  <c r="U149" i="4"/>
  <c r="AG150" i="3" s="1"/>
  <c r="F93" i="4"/>
  <c r="G93" i="4"/>
  <c r="S94" i="3" s="1"/>
  <c r="H93" i="4"/>
  <c r="T94" i="3" s="1"/>
  <c r="I93" i="4"/>
  <c r="U94" i="3" s="1"/>
  <c r="J93" i="4"/>
  <c r="V94" i="3" s="1"/>
  <c r="K93" i="4"/>
  <c r="W94" i="3" s="1"/>
  <c r="L93" i="4"/>
  <c r="X94" i="3" s="1"/>
  <c r="M93" i="4"/>
  <c r="Y94" i="3" s="1"/>
  <c r="O93" i="4"/>
  <c r="AA94" i="3" s="1"/>
  <c r="P93" i="4"/>
  <c r="AB94" i="3" s="1"/>
  <c r="Q93" i="4"/>
  <c r="AC94" i="3" s="1"/>
  <c r="R93" i="4"/>
  <c r="AD94" i="3" s="1"/>
  <c r="S93" i="4"/>
  <c r="AE94" i="3" s="1"/>
  <c r="T93" i="4"/>
  <c r="AF94" i="3" s="1"/>
  <c r="U93" i="4"/>
  <c r="AG94" i="3" s="1"/>
  <c r="F131" i="4"/>
  <c r="G131" i="4"/>
  <c r="S132" i="3" s="1"/>
  <c r="H131" i="4"/>
  <c r="T132" i="3" s="1"/>
  <c r="I131" i="4"/>
  <c r="U132" i="3" s="1"/>
  <c r="J131" i="4"/>
  <c r="V132" i="3" s="1"/>
  <c r="K131" i="4"/>
  <c r="W132" i="3" s="1"/>
  <c r="L131" i="4"/>
  <c r="X132" i="3" s="1"/>
  <c r="M131" i="4"/>
  <c r="Y132" i="3" s="1"/>
  <c r="O131" i="4"/>
  <c r="AA132" i="3" s="1"/>
  <c r="P131" i="4"/>
  <c r="AB132" i="3" s="1"/>
  <c r="Q131" i="4"/>
  <c r="AC132" i="3" s="1"/>
  <c r="R131" i="4"/>
  <c r="AD132" i="3" s="1"/>
  <c r="S131" i="4"/>
  <c r="AE132" i="3" s="1"/>
  <c r="T131" i="4"/>
  <c r="AF132" i="3" s="1"/>
  <c r="U131" i="4"/>
  <c r="AG132" i="3" s="1"/>
  <c r="F100" i="4"/>
  <c r="G100" i="4"/>
  <c r="S101" i="3" s="1"/>
  <c r="H100" i="4"/>
  <c r="T101" i="3" s="1"/>
  <c r="I100" i="4"/>
  <c r="U101" i="3" s="1"/>
  <c r="J100" i="4"/>
  <c r="V101" i="3" s="1"/>
  <c r="K100" i="4"/>
  <c r="W101" i="3" s="1"/>
  <c r="L100" i="4"/>
  <c r="X101" i="3" s="1"/>
  <c r="M100" i="4"/>
  <c r="Y101" i="3" s="1"/>
  <c r="O100" i="4"/>
  <c r="AA101" i="3" s="1"/>
  <c r="P100" i="4"/>
  <c r="AB101" i="3" s="1"/>
  <c r="Q100" i="4"/>
  <c r="AC101" i="3" s="1"/>
  <c r="R100" i="4"/>
  <c r="AD101" i="3" s="1"/>
  <c r="S100" i="4"/>
  <c r="AE101" i="3" s="1"/>
  <c r="T100" i="4"/>
  <c r="AF101" i="3" s="1"/>
  <c r="U100" i="4"/>
  <c r="AG101" i="3" s="1"/>
  <c r="F151" i="4"/>
  <c r="G151" i="4"/>
  <c r="S152" i="3" s="1"/>
  <c r="H151" i="4"/>
  <c r="T152" i="3" s="1"/>
  <c r="I151" i="4"/>
  <c r="U152" i="3" s="1"/>
  <c r="J151" i="4"/>
  <c r="V152" i="3" s="1"/>
  <c r="K151" i="4"/>
  <c r="W152" i="3" s="1"/>
  <c r="L151" i="4"/>
  <c r="X152" i="3" s="1"/>
  <c r="M151" i="4"/>
  <c r="Y152" i="3" s="1"/>
  <c r="O151" i="4"/>
  <c r="AA152" i="3" s="1"/>
  <c r="P151" i="4"/>
  <c r="AB152" i="3" s="1"/>
  <c r="Q151" i="4"/>
  <c r="AC152" i="3" s="1"/>
  <c r="R151" i="4"/>
  <c r="AD152" i="3" s="1"/>
  <c r="S151" i="4"/>
  <c r="AE152" i="3" s="1"/>
  <c r="T151" i="4"/>
  <c r="AF152" i="3" s="1"/>
  <c r="U151" i="4"/>
  <c r="AG152" i="3" s="1"/>
  <c r="F162" i="4"/>
  <c r="G162" i="4"/>
  <c r="S163" i="3" s="1"/>
  <c r="H162" i="4"/>
  <c r="T163" i="3" s="1"/>
  <c r="I162" i="4"/>
  <c r="U163" i="3" s="1"/>
  <c r="J162" i="4"/>
  <c r="V163" i="3" s="1"/>
  <c r="K162" i="4"/>
  <c r="W163" i="3" s="1"/>
  <c r="L162" i="4"/>
  <c r="X163" i="3" s="1"/>
  <c r="M162" i="4"/>
  <c r="Y163" i="3" s="1"/>
  <c r="O162" i="4"/>
  <c r="AA163" i="3" s="1"/>
  <c r="P162" i="4"/>
  <c r="AB163" i="3" s="1"/>
  <c r="Q162" i="4"/>
  <c r="AC163" i="3" s="1"/>
  <c r="R162" i="4"/>
  <c r="AD163" i="3" s="1"/>
  <c r="S162" i="4"/>
  <c r="AE163" i="3" s="1"/>
  <c r="T162" i="4"/>
  <c r="AF163" i="3" s="1"/>
  <c r="U162" i="4"/>
  <c r="AG163" i="3" s="1"/>
  <c r="F127" i="4"/>
  <c r="G127" i="4"/>
  <c r="S128" i="3" s="1"/>
  <c r="H127" i="4"/>
  <c r="T128" i="3" s="1"/>
  <c r="I127" i="4"/>
  <c r="U128" i="3" s="1"/>
  <c r="J127" i="4"/>
  <c r="V128" i="3" s="1"/>
  <c r="K127" i="4"/>
  <c r="W128" i="3" s="1"/>
  <c r="L127" i="4"/>
  <c r="X128" i="3" s="1"/>
  <c r="M127" i="4"/>
  <c r="Y128" i="3" s="1"/>
  <c r="O127" i="4"/>
  <c r="AA128" i="3" s="1"/>
  <c r="P127" i="4"/>
  <c r="AB128" i="3" s="1"/>
  <c r="Q127" i="4"/>
  <c r="AC128" i="3" s="1"/>
  <c r="R127" i="4"/>
  <c r="AD128" i="3" s="1"/>
  <c r="S127" i="4"/>
  <c r="AE128" i="3" s="1"/>
  <c r="T127" i="4"/>
  <c r="AF128" i="3" s="1"/>
  <c r="U127" i="4"/>
  <c r="AG128" i="3" s="1"/>
  <c r="F126" i="4"/>
  <c r="G126" i="4"/>
  <c r="S127" i="3" s="1"/>
  <c r="H126" i="4"/>
  <c r="T127" i="3" s="1"/>
  <c r="I126" i="4"/>
  <c r="U127" i="3" s="1"/>
  <c r="J126" i="4"/>
  <c r="V127" i="3" s="1"/>
  <c r="K126" i="4"/>
  <c r="W127" i="3" s="1"/>
  <c r="L126" i="4"/>
  <c r="X127" i="3" s="1"/>
  <c r="M126" i="4"/>
  <c r="Y127" i="3" s="1"/>
  <c r="O126" i="4"/>
  <c r="AA127" i="3" s="1"/>
  <c r="P126" i="4"/>
  <c r="AB127" i="3" s="1"/>
  <c r="Q126" i="4"/>
  <c r="AC127" i="3" s="1"/>
  <c r="R126" i="4"/>
  <c r="AD127" i="3" s="1"/>
  <c r="S126" i="4"/>
  <c r="AE127" i="3" s="1"/>
  <c r="T126" i="4"/>
  <c r="AF127" i="3" s="1"/>
  <c r="U126" i="4"/>
  <c r="AG127" i="3" s="1"/>
  <c r="F89" i="4"/>
  <c r="G89" i="4"/>
  <c r="S90" i="3" s="1"/>
  <c r="H89" i="4"/>
  <c r="T90" i="3" s="1"/>
  <c r="I89" i="4"/>
  <c r="U90" i="3" s="1"/>
  <c r="J89" i="4"/>
  <c r="V90" i="3" s="1"/>
  <c r="K89" i="4"/>
  <c r="W90" i="3" s="1"/>
  <c r="L89" i="4"/>
  <c r="X90" i="3" s="1"/>
  <c r="M89" i="4"/>
  <c r="Y90" i="3" s="1"/>
  <c r="O89" i="4"/>
  <c r="AA90" i="3" s="1"/>
  <c r="P89" i="4"/>
  <c r="AB90" i="3" s="1"/>
  <c r="Q89" i="4"/>
  <c r="AC90" i="3" s="1"/>
  <c r="R89" i="4"/>
  <c r="AD90" i="3" s="1"/>
  <c r="S89" i="4"/>
  <c r="AE90" i="3" s="1"/>
  <c r="T89" i="4"/>
  <c r="AF90" i="3" s="1"/>
  <c r="U89" i="4"/>
  <c r="AG90" i="3" s="1"/>
  <c r="F147" i="4"/>
  <c r="G147" i="4"/>
  <c r="S148" i="3" s="1"/>
  <c r="H147" i="4"/>
  <c r="T148" i="3" s="1"/>
  <c r="I147" i="4"/>
  <c r="U148" i="3" s="1"/>
  <c r="J147" i="4"/>
  <c r="V148" i="3" s="1"/>
  <c r="K147" i="4"/>
  <c r="W148" i="3" s="1"/>
  <c r="L147" i="4"/>
  <c r="X148" i="3" s="1"/>
  <c r="M147" i="4"/>
  <c r="Y148" i="3" s="1"/>
  <c r="O147" i="4"/>
  <c r="AA148" i="3" s="1"/>
  <c r="P147" i="4"/>
  <c r="AB148" i="3" s="1"/>
  <c r="Q147" i="4"/>
  <c r="AC148" i="3" s="1"/>
  <c r="R147" i="4"/>
  <c r="AD148" i="3" s="1"/>
  <c r="S147" i="4"/>
  <c r="AE148" i="3" s="1"/>
  <c r="T147" i="4"/>
  <c r="AF148" i="3" s="1"/>
  <c r="U147" i="4"/>
  <c r="AG148" i="3" s="1"/>
  <c r="F123" i="4"/>
  <c r="G123" i="4"/>
  <c r="S124" i="3" s="1"/>
  <c r="H123" i="4"/>
  <c r="T124" i="3" s="1"/>
  <c r="I123" i="4"/>
  <c r="U124" i="3" s="1"/>
  <c r="J123" i="4"/>
  <c r="V124" i="3" s="1"/>
  <c r="K123" i="4"/>
  <c r="W124" i="3" s="1"/>
  <c r="L123" i="4"/>
  <c r="X124" i="3" s="1"/>
  <c r="M123" i="4"/>
  <c r="Y124" i="3" s="1"/>
  <c r="O123" i="4"/>
  <c r="AA124" i="3" s="1"/>
  <c r="P123" i="4"/>
  <c r="AB124" i="3" s="1"/>
  <c r="Q123" i="4"/>
  <c r="AC124" i="3" s="1"/>
  <c r="R123" i="4"/>
  <c r="AD124" i="3" s="1"/>
  <c r="S123" i="4"/>
  <c r="AE124" i="3" s="1"/>
  <c r="T123" i="4"/>
  <c r="AF124" i="3" s="1"/>
  <c r="U123" i="4"/>
  <c r="AG124" i="3" s="1"/>
  <c r="F163" i="4"/>
  <c r="G163" i="4"/>
  <c r="S164" i="3" s="1"/>
  <c r="H163" i="4"/>
  <c r="T164" i="3" s="1"/>
  <c r="I163" i="4"/>
  <c r="U164" i="3" s="1"/>
  <c r="J163" i="4"/>
  <c r="V164" i="3" s="1"/>
  <c r="K163" i="4"/>
  <c r="W164" i="3" s="1"/>
  <c r="L163" i="4"/>
  <c r="X164" i="3" s="1"/>
  <c r="M163" i="4"/>
  <c r="Y164" i="3" s="1"/>
  <c r="O163" i="4"/>
  <c r="AA164" i="3" s="1"/>
  <c r="P163" i="4"/>
  <c r="AB164" i="3" s="1"/>
  <c r="Q163" i="4"/>
  <c r="AC164" i="3" s="1"/>
  <c r="R163" i="4"/>
  <c r="AD164" i="3" s="1"/>
  <c r="S163" i="4"/>
  <c r="AE164" i="3" s="1"/>
  <c r="T163" i="4"/>
  <c r="AF164" i="3" s="1"/>
  <c r="U163" i="4"/>
  <c r="AG164" i="3" s="1"/>
  <c r="F146" i="4"/>
  <c r="G146" i="4"/>
  <c r="S147" i="3" s="1"/>
  <c r="H146" i="4"/>
  <c r="T147" i="3" s="1"/>
  <c r="I146" i="4"/>
  <c r="U147" i="3" s="1"/>
  <c r="J146" i="4"/>
  <c r="V147" i="3" s="1"/>
  <c r="K146" i="4"/>
  <c r="W147" i="3" s="1"/>
  <c r="L146" i="4"/>
  <c r="X147" i="3" s="1"/>
  <c r="M146" i="4"/>
  <c r="Y147" i="3" s="1"/>
  <c r="O146" i="4"/>
  <c r="AA147" i="3" s="1"/>
  <c r="P146" i="4"/>
  <c r="AB147" i="3" s="1"/>
  <c r="Q146" i="4"/>
  <c r="AC147" i="3" s="1"/>
  <c r="R146" i="4"/>
  <c r="AD147" i="3" s="1"/>
  <c r="S146" i="4"/>
  <c r="AE147" i="3" s="1"/>
  <c r="T146" i="4"/>
  <c r="AF147" i="3" s="1"/>
  <c r="U146" i="4"/>
  <c r="AG147" i="3" s="1"/>
  <c r="F122" i="4"/>
  <c r="G122" i="4"/>
  <c r="S123" i="3" s="1"/>
  <c r="H122" i="4"/>
  <c r="T123" i="3" s="1"/>
  <c r="I122" i="4"/>
  <c r="U123" i="3" s="1"/>
  <c r="J122" i="4"/>
  <c r="V123" i="3" s="1"/>
  <c r="K122" i="4"/>
  <c r="W123" i="3" s="1"/>
  <c r="L122" i="4"/>
  <c r="X123" i="3" s="1"/>
  <c r="M122" i="4"/>
  <c r="Y123" i="3" s="1"/>
  <c r="O122" i="4"/>
  <c r="AA123" i="3" s="1"/>
  <c r="P122" i="4"/>
  <c r="AB123" i="3" s="1"/>
  <c r="Q122" i="4"/>
  <c r="AC123" i="3" s="1"/>
  <c r="R122" i="4"/>
  <c r="AD123" i="3" s="1"/>
  <c r="S122" i="4"/>
  <c r="AE123" i="3" s="1"/>
  <c r="T122" i="4"/>
  <c r="AF123" i="3" s="1"/>
  <c r="U122" i="4"/>
  <c r="AG123" i="3" s="1"/>
  <c r="F160" i="4"/>
  <c r="G160" i="4"/>
  <c r="S161" i="3" s="1"/>
  <c r="H160" i="4"/>
  <c r="T161" i="3" s="1"/>
  <c r="I160" i="4"/>
  <c r="U161" i="3" s="1"/>
  <c r="J160" i="4"/>
  <c r="V161" i="3" s="1"/>
  <c r="K160" i="4"/>
  <c r="W161" i="3" s="1"/>
  <c r="L160" i="4"/>
  <c r="X161" i="3" s="1"/>
  <c r="M160" i="4"/>
  <c r="Y161" i="3" s="1"/>
  <c r="O160" i="4"/>
  <c r="AA161" i="3" s="1"/>
  <c r="P160" i="4"/>
  <c r="AB161" i="3" s="1"/>
  <c r="Q160" i="4"/>
  <c r="AC161" i="3" s="1"/>
  <c r="R160" i="4"/>
  <c r="AD161" i="3" s="1"/>
  <c r="S160" i="4"/>
  <c r="AE161" i="3" s="1"/>
  <c r="T160" i="4"/>
  <c r="AF161" i="3" s="1"/>
  <c r="U160" i="4"/>
  <c r="AG161" i="3" s="1"/>
  <c r="F113" i="4"/>
  <c r="G113" i="4"/>
  <c r="S114" i="3" s="1"/>
  <c r="H113" i="4"/>
  <c r="T114" i="3" s="1"/>
  <c r="I113" i="4"/>
  <c r="U114" i="3" s="1"/>
  <c r="J113" i="4"/>
  <c r="V114" i="3" s="1"/>
  <c r="K113" i="4"/>
  <c r="W114" i="3" s="1"/>
  <c r="L113" i="4"/>
  <c r="X114" i="3" s="1"/>
  <c r="M113" i="4"/>
  <c r="Y114" i="3" s="1"/>
  <c r="O113" i="4"/>
  <c r="AA114" i="3" s="1"/>
  <c r="P113" i="4"/>
  <c r="AB114" i="3" s="1"/>
  <c r="Q113" i="4"/>
  <c r="AC114" i="3" s="1"/>
  <c r="R113" i="4"/>
  <c r="AD114" i="3" s="1"/>
  <c r="S113" i="4"/>
  <c r="AE114" i="3" s="1"/>
  <c r="T113" i="4"/>
  <c r="AF114" i="3" s="1"/>
  <c r="U113" i="4"/>
  <c r="AG114" i="3" s="1"/>
  <c r="F99" i="4"/>
  <c r="G99" i="4"/>
  <c r="S100" i="3" s="1"/>
  <c r="H99" i="4"/>
  <c r="T100" i="3" s="1"/>
  <c r="I99" i="4"/>
  <c r="U100" i="3" s="1"/>
  <c r="J99" i="4"/>
  <c r="V100" i="3" s="1"/>
  <c r="K99" i="4"/>
  <c r="W100" i="3" s="1"/>
  <c r="L99" i="4"/>
  <c r="X100" i="3" s="1"/>
  <c r="M99" i="4"/>
  <c r="Y100" i="3" s="1"/>
  <c r="O99" i="4"/>
  <c r="AA100" i="3" s="1"/>
  <c r="P99" i="4"/>
  <c r="AB100" i="3" s="1"/>
  <c r="Q99" i="4"/>
  <c r="AC100" i="3" s="1"/>
  <c r="R99" i="4"/>
  <c r="AD100" i="3" s="1"/>
  <c r="S99" i="4"/>
  <c r="AE100" i="3" s="1"/>
  <c r="T99" i="4"/>
  <c r="AF100" i="3" s="1"/>
  <c r="U99" i="4"/>
  <c r="AG100" i="3" s="1"/>
  <c r="F145" i="4"/>
  <c r="G145" i="4"/>
  <c r="S146" i="3" s="1"/>
  <c r="H145" i="4"/>
  <c r="T146" i="3" s="1"/>
  <c r="I145" i="4"/>
  <c r="U146" i="3" s="1"/>
  <c r="J145" i="4"/>
  <c r="V146" i="3" s="1"/>
  <c r="K145" i="4"/>
  <c r="W146" i="3" s="1"/>
  <c r="L145" i="4"/>
  <c r="X146" i="3" s="1"/>
  <c r="M145" i="4"/>
  <c r="Y146" i="3" s="1"/>
  <c r="O145" i="4"/>
  <c r="AA146" i="3" s="1"/>
  <c r="P145" i="4"/>
  <c r="AB146" i="3" s="1"/>
  <c r="Q145" i="4"/>
  <c r="AC146" i="3" s="1"/>
  <c r="R145" i="4"/>
  <c r="AD146" i="3" s="1"/>
  <c r="S145" i="4"/>
  <c r="AE146" i="3" s="1"/>
  <c r="T145" i="4"/>
  <c r="AF146" i="3" s="1"/>
  <c r="U145" i="4"/>
  <c r="AG146" i="3" s="1"/>
  <c r="F119" i="4"/>
  <c r="G119" i="4"/>
  <c r="S120" i="3" s="1"/>
  <c r="H119" i="4"/>
  <c r="T120" i="3" s="1"/>
  <c r="I119" i="4"/>
  <c r="U120" i="3" s="1"/>
  <c r="J119" i="4"/>
  <c r="V120" i="3" s="1"/>
  <c r="K119" i="4"/>
  <c r="W120" i="3" s="1"/>
  <c r="L119" i="4"/>
  <c r="X120" i="3" s="1"/>
  <c r="M119" i="4"/>
  <c r="Y120" i="3" s="1"/>
  <c r="O119" i="4"/>
  <c r="AA120" i="3" s="1"/>
  <c r="P119" i="4"/>
  <c r="AB120" i="3" s="1"/>
  <c r="Q119" i="4"/>
  <c r="AC120" i="3" s="1"/>
  <c r="R119" i="4"/>
  <c r="AD120" i="3" s="1"/>
  <c r="S119" i="4"/>
  <c r="AE120" i="3" s="1"/>
  <c r="T119" i="4"/>
  <c r="AF120" i="3" s="1"/>
  <c r="U119" i="4"/>
  <c r="AG120" i="3" s="1"/>
  <c r="F144" i="4"/>
  <c r="G144" i="4"/>
  <c r="S145" i="3" s="1"/>
  <c r="H144" i="4"/>
  <c r="T145" i="3" s="1"/>
  <c r="I144" i="4"/>
  <c r="U145" i="3" s="1"/>
  <c r="J144" i="4"/>
  <c r="V145" i="3" s="1"/>
  <c r="K144" i="4"/>
  <c r="W145" i="3" s="1"/>
  <c r="L144" i="4"/>
  <c r="X145" i="3" s="1"/>
  <c r="M144" i="4"/>
  <c r="Y145" i="3" s="1"/>
  <c r="O144" i="4"/>
  <c r="AA145" i="3" s="1"/>
  <c r="P144" i="4"/>
  <c r="AB145" i="3" s="1"/>
  <c r="Q144" i="4"/>
  <c r="AC145" i="3" s="1"/>
  <c r="R144" i="4"/>
  <c r="AD145" i="3" s="1"/>
  <c r="S144" i="4"/>
  <c r="AE145" i="3" s="1"/>
  <c r="T144" i="4"/>
  <c r="AF145" i="3" s="1"/>
  <c r="U144" i="4"/>
  <c r="AG145" i="3" s="1"/>
  <c r="F92" i="4"/>
  <c r="G92" i="4"/>
  <c r="S93" i="3" s="1"/>
  <c r="H92" i="4"/>
  <c r="T93" i="3" s="1"/>
  <c r="I92" i="4"/>
  <c r="U93" i="3" s="1"/>
  <c r="J92" i="4"/>
  <c r="V93" i="3" s="1"/>
  <c r="K92" i="4"/>
  <c r="W93" i="3" s="1"/>
  <c r="L92" i="4"/>
  <c r="X93" i="3" s="1"/>
  <c r="M92" i="4"/>
  <c r="Y93" i="3" s="1"/>
  <c r="O92" i="4"/>
  <c r="AA93" i="3" s="1"/>
  <c r="P92" i="4"/>
  <c r="AB93" i="3" s="1"/>
  <c r="Q92" i="4"/>
  <c r="AC93" i="3" s="1"/>
  <c r="R92" i="4"/>
  <c r="AD93" i="3" s="1"/>
  <c r="S92" i="4"/>
  <c r="AE93" i="3" s="1"/>
  <c r="T92" i="4"/>
  <c r="AF93" i="3" s="1"/>
  <c r="U92" i="4"/>
  <c r="AG93" i="3" s="1"/>
  <c r="F117" i="4"/>
  <c r="G117" i="4"/>
  <c r="S118" i="3" s="1"/>
  <c r="H117" i="4"/>
  <c r="T118" i="3" s="1"/>
  <c r="I117" i="4"/>
  <c r="U118" i="3" s="1"/>
  <c r="J117" i="4"/>
  <c r="V118" i="3" s="1"/>
  <c r="K117" i="4"/>
  <c r="W118" i="3" s="1"/>
  <c r="L117" i="4"/>
  <c r="X118" i="3" s="1"/>
  <c r="M117" i="4"/>
  <c r="Y118" i="3" s="1"/>
  <c r="O117" i="4"/>
  <c r="AA118" i="3" s="1"/>
  <c r="P117" i="4"/>
  <c r="AB118" i="3" s="1"/>
  <c r="Q117" i="4"/>
  <c r="AC118" i="3" s="1"/>
  <c r="R117" i="4"/>
  <c r="AD118" i="3" s="1"/>
  <c r="S117" i="4"/>
  <c r="AE118" i="3" s="1"/>
  <c r="T117" i="4"/>
  <c r="AF118" i="3" s="1"/>
  <c r="U117" i="4"/>
  <c r="AG118" i="3" s="1"/>
  <c r="F116" i="4"/>
  <c r="G116" i="4"/>
  <c r="S117" i="3" s="1"/>
  <c r="H116" i="4"/>
  <c r="T117" i="3" s="1"/>
  <c r="I116" i="4"/>
  <c r="U117" i="3" s="1"/>
  <c r="J116" i="4"/>
  <c r="V117" i="3" s="1"/>
  <c r="K116" i="4"/>
  <c r="W117" i="3" s="1"/>
  <c r="L116" i="4"/>
  <c r="X117" i="3" s="1"/>
  <c r="M116" i="4"/>
  <c r="Y117" i="3" s="1"/>
  <c r="O116" i="4"/>
  <c r="AA117" i="3" s="1"/>
  <c r="P116" i="4"/>
  <c r="AB117" i="3" s="1"/>
  <c r="Q116" i="4"/>
  <c r="AC117" i="3" s="1"/>
  <c r="R116" i="4"/>
  <c r="AD117" i="3" s="1"/>
  <c r="S116" i="4"/>
  <c r="AE117" i="3" s="1"/>
  <c r="T116" i="4"/>
  <c r="AF117" i="3" s="1"/>
  <c r="U116" i="4"/>
  <c r="AG117" i="3" s="1"/>
  <c r="F141" i="4"/>
  <c r="G141" i="4"/>
  <c r="S142" i="3" s="1"/>
  <c r="H141" i="4"/>
  <c r="T142" i="3" s="1"/>
  <c r="I141" i="4"/>
  <c r="U142" i="3" s="1"/>
  <c r="J141" i="4"/>
  <c r="V142" i="3" s="1"/>
  <c r="K141" i="4"/>
  <c r="W142" i="3" s="1"/>
  <c r="L141" i="4"/>
  <c r="X142" i="3" s="1"/>
  <c r="M141" i="4"/>
  <c r="Y142" i="3" s="1"/>
  <c r="O141" i="4"/>
  <c r="AA142" i="3" s="1"/>
  <c r="P141" i="4"/>
  <c r="AB142" i="3" s="1"/>
  <c r="Q141" i="4"/>
  <c r="AC142" i="3" s="1"/>
  <c r="R141" i="4"/>
  <c r="AD142" i="3" s="1"/>
  <c r="S141" i="4"/>
  <c r="AE142" i="3" s="1"/>
  <c r="T141" i="4"/>
  <c r="AF142" i="3" s="1"/>
  <c r="U141" i="4"/>
  <c r="AG142" i="3" s="1"/>
  <c r="F98" i="4"/>
  <c r="G98" i="4"/>
  <c r="S99" i="3" s="1"/>
  <c r="H98" i="4"/>
  <c r="T99" i="3" s="1"/>
  <c r="I98" i="4"/>
  <c r="U99" i="3" s="1"/>
  <c r="J98" i="4"/>
  <c r="V99" i="3" s="1"/>
  <c r="K98" i="4"/>
  <c r="W99" i="3" s="1"/>
  <c r="L98" i="4"/>
  <c r="X99" i="3" s="1"/>
  <c r="M98" i="4"/>
  <c r="Y99" i="3" s="1"/>
  <c r="O98" i="4"/>
  <c r="AA99" i="3" s="1"/>
  <c r="P98" i="4"/>
  <c r="AB99" i="3" s="1"/>
  <c r="Q98" i="4"/>
  <c r="AC99" i="3" s="1"/>
  <c r="R98" i="4"/>
  <c r="AD99" i="3" s="1"/>
  <c r="S98" i="4"/>
  <c r="AE99" i="3" s="1"/>
  <c r="T98" i="4"/>
  <c r="AF99" i="3" s="1"/>
  <c r="U98" i="4"/>
  <c r="AG99" i="3" s="1"/>
  <c r="F139" i="4"/>
  <c r="G139" i="4"/>
  <c r="S140" i="3" s="1"/>
  <c r="H139" i="4"/>
  <c r="T140" i="3" s="1"/>
  <c r="I139" i="4"/>
  <c r="U140" i="3" s="1"/>
  <c r="J139" i="4"/>
  <c r="V140" i="3" s="1"/>
  <c r="K139" i="4"/>
  <c r="W140" i="3" s="1"/>
  <c r="L139" i="4"/>
  <c r="X140" i="3" s="1"/>
  <c r="M139" i="4"/>
  <c r="Y140" i="3" s="1"/>
  <c r="O139" i="4"/>
  <c r="AA140" i="3" s="1"/>
  <c r="P139" i="4"/>
  <c r="AB140" i="3" s="1"/>
  <c r="Q139" i="4"/>
  <c r="AC140" i="3" s="1"/>
  <c r="R139" i="4"/>
  <c r="AD140" i="3" s="1"/>
  <c r="S139" i="4"/>
  <c r="AE140" i="3" s="1"/>
  <c r="T139" i="4"/>
  <c r="AF140" i="3" s="1"/>
  <c r="U139" i="4"/>
  <c r="AG140" i="3" s="1"/>
  <c r="F114" i="4"/>
  <c r="G114" i="4"/>
  <c r="S115" i="3" s="1"/>
  <c r="H114" i="4"/>
  <c r="T115" i="3" s="1"/>
  <c r="I114" i="4"/>
  <c r="U115" i="3" s="1"/>
  <c r="J114" i="4"/>
  <c r="V115" i="3" s="1"/>
  <c r="K114" i="4"/>
  <c r="W115" i="3" s="1"/>
  <c r="L114" i="4"/>
  <c r="X115" i="3" s="1"/>
  <c r="M114" i="4"/>
  <c r="Y115" i="3" s="1"/>
  <c r="O114" i="4"/>
  <c r="AA115" i="3" s="1"/>
  <c r="P114" i="4"/>
  <c r="AB115" i="3" s="1"/>
  <c r="Q114" i="4"/>
  <c r="AC115" i="3" s="1"/>
  <c r="R114" i="4"/>
  <c r="AD115" i="3" s="1"/>
  <c r="S114" i="4"/>
  <c r="AE115" i="3" s="1"/>
  <c r="T114" i="4"/>
  <c r="AF115" i="3" s="1"/>
  <c r="U114" i="4"/>
  <c r="AG115" i="3" s="1"/>
  <c r="F138" i="4"/>
  <c r="G138" i="4"/>
  <c r="S139" i="3" s="1"/>
  <c r="H138" i="4"/>
  <c r="T139" i="3" s="1"/>
  <c r="I138" i="4"/>
  <c r="U139" i="3" s="1"/>
  <c r="J138" i="4"/>
  <c r="V139" i="3" s="1"/>
  <c r="K138" i="4"/>
  <c r="W139" i="3" s="1"/>
  <c r="L138" i="4"/>
  <c r="X139" i="3" s="1"/>
  <c r="M138" i="4"/>
  <c r="Y139" i="3" s="1"/>
  <c r="O138" i="4"/>
  <c r="AA139" i="3" s="1"/>
  <c r="P138" i="4"/>
  <c r="AB139" i="3" s="1"/>
  <c r="Q138" i="4"/>
  <c r="AC139" i="3" s="1"/>
  <c r="R138" i="4"/>
  <c r="AD139" i="3" s="1"/>
  <c r="S138" i="4"/>
  <c r="AE139" i="3" s="1"/>
  <c r="T138" i="4"/>
  <c r="AF139" i="3" s="1"/>
  <c r="U138" i="4"/>
  <c r="AG139" i="3" s="1"/>
  <c r="F87" i="4"/>
  <c r="G87" i="4"/>
  <c r="S88" i="3" s="1"/>
  <c r="H87" i="4"/>
  <c r="T88" i="3" s="1"/>
  <c r="I87" i="4"/>
  <c r="U88" i="3" s="1"/>
  <c r="J87" i="4"/>
  <c r="V88" i="3" s="1"/>
  <c r="K87" i="4"/>
  <c r="W88" i="3" s="1"/>
  <c r="L87" i="4"/>
  <c r="X88" i="3" s="1"/>
  <c r="M87" i="4"/>
  <c r="Y88" i="3" s="1"/>
  <c r="O87" i="4"/>
  <c r="AA88" i="3" s="1"/>
  <c r="P87" i="4"/>
  <c r="AB88" i="3" s="1"/>
  <c r="Q87" i="4"/>
  <c r="AC88" i="3" s="1"/>
  <c r="R87" i="4"/>
  <c r="AD88" i="3" s="1"/>
  <c r="S87" i="4"/>
  <c r="AE88" i="3" s="1"/>
  <c r="T87" i="4"/>
  <c r="AF88" i="3" s="1"/>
  <c r="U87" i="4"/>
  <c r="AG88" i="3" s="1"/>
  <c r="F166" i="4"/>
  <c r="G166" i="4"/>
  <c r="S167" i="3" s="1"/>
  <c r="H166" i="4"/>
  <c r="T167" i="3" s="1"/>
  <c r="I166" i="4"/>
  <c r="U167" i="3" s="1"/>
  <c r="J166" i="4"/>
  <c r="V167" i="3" s="1"/>
  <c r="K166" i="4"/>
  <c r="W167" i="3" s="1"/>
  <c r="L166" i="4"/>
  <c r="X167" i="3" s="1"/>
  <c r="M166" i="4"/>
  <c r="Y167" i="3" s="1"/>
  <c r="O166" i="4"/>
  <c r="AA167" i="3" s="1"/>
  <c r="P166" i="4"/>
  <c r="AB167" i="3" s="1"/>
  <c r="Q166" i="4"/>
  <c r="AC167" i="3" s="1"/>
  <c r="R166" i="4"/>
  <c r="AD167" i="3" s="1"/>
  <c r="S166" i="4"/>
  <c r="AE167" i="3" s="1"/>
  <c r="T166" i="4"/>
  <c r="AF167" i="3" s="1"/>
  <c r="U166" i="4"/>
  <c r="AG167" i="3" s="1"/>
  <c r="F112" i="4"/>
  <c r="G112" i="4"/>
  <c r="S113" i="3" s="1"/>
  <c r="H112" i="4"/>
  <c r="T113" i="3" s="1"/>
  <c r="I112" i="4"/>
  <c r="U113" i="3" s="1"/>
  <c r="J112" i="4"/>
  <c r="V113" i="3" s="1"/>
  <c r="K112" i="4"/>
  <c r="W113" i="3" s="1"/>
  <c r="L112" i="4"/>
  <c r="X113" i="3" s="1"/>
  <c r="M112" i="4"/>
  <c r="Y113" i="3" s="1"/>
  <c r="O112" i="4"/>
  <c r="AA113" i="3" s="1"/>
  <c r="P112" i="4"/>
  <c r="AB113" i="3" s="1"/>
  <c r="Q112" i="4"/>
  <c r="AC113" i="3" s="1"/>
  <c r="R112" i="4"/>
  <c r="AD113" i="3" s="1"/>
  <c r="S112" i="4"/>
  <c r="AE113" i="3" s="1"/>
  <c r="T112" i="4"/>
  <c r="AF113" i="3" s="1"/>
  <c r="U112" i="4"/>
  <c r="AG113" i="3" s="1"/>
  <c r="F159" i="4"/>
  <c r="G159" i="4"/>
  <c r="S160" i="3" s="1"/>
  <c r="H159" i="4"/>
  <c r="T160" i="3" s="1"/>
  <c r="I159" i="4"/>
  <c r="U160" i="3" s="1"/>
  <c r="J159" i="4"/>
  <c r="V160" i="3" s="1"/>
  <c r="K159" i="4"/>
  <c r="W160" i="3" s="1"/>
  <c r="L159" i="4"/>
  <c r="X160" i="3" s="1"/>
  <c r="M159" i="4"/>
  <c r="Y160" i="3" s="1"/>
  <c r="O159" i="4"/>
  <c r="AA160" i="3" s="1"/>
  <c r="P159" i="4"/>
  <c r="AB160" i="3" s="1"/>
  <c r="Q159" i="4"/>
  <c r="AC160" i="3" s="1"/>
  <c r="R159" i="4"/>
  <c r="AD160" i="3" s="1"/>
  <c r="S159" i="4"/>
  <c r="AE160" i="3" s="1"/>
  <c r="T159" i="4"/>
  <c r="AF160" i="3" s="1"/>
  <c r="U159" i="4"/>
  <c r="AG160" i="3" s="1"/>
  <c r="F136" i="4"/>
  <c r="G136" i="4"/>
  <c r="S137" i="3" s="1"/>
  <c r="H136" i="4"/>
  <c r="T137" i="3" s="1"/>
  <c r="I136" i="4"/>
  <c r="U137" i="3" s="1"/>
  <c r="J136" i="4"/>
  <c r="V137" i="3" s="1"/>
  <c r="K136" i="4"/>
  <c r="W137" i="3" s="1"/>
  <c r="L136" i="4"/>
  <c r="X137" i="3" s="1"/>
  <c r="M136" i="4"/>
  <c r="Y137" i="3" s="1"/>
  <c r="O136" i="4"/>
  <c r="AA137" i="3" s="1"/>
  <c r="P136" i="4"/>
  <c r="AB137" i="3" s="1"/>
  <c r="Q136" i="4"/>
  <c r="AC137" i="3" s="1"/>
  <c r="R136" i="4"/>
  <c r="AD137" i="3" s="1"/>
  <c r="S136" i="4"/>
  <c r="AE137" i="3" s="1"/>
  <c r="T136" i="4"/>
  <c r="AF137" i="3" s="1"/>
  <c r="U136" i="4"/>
  <c r="AG137" i="3" s="1"/>
  <c r="F111" i="4"/>
  <c r="G111" i="4"/>
  <c r="S112" i="3" s="1"/>
  <c r="H111" i="4"/>
  <c r="T112" i="3" s="1"/>
  <c r="I111" i="4"/>
  <c r="U112" i="3" s="1"/>
  <c r="J111" i="4"/>
  <c r="V112" i="3" s="1"/>
  <c r="K111" i="4"/>
  <c r="W112" i="3" s="1"/>
  <c r="L111" i="4"/>
  <c r="X112" i="3" s="1"/>
  <c r="M111" i="4"/>
  <c r="Y112" i="3" s="1"/>
  <c r="O111" i="4"/>
  <c r="AA112" i="3" s="1"/>
  <c r="P111" i="4"/>
  <c r="AB112" i="3" s="1"/>
  <c r="Q111" i="4"/>
  <c r="AC112" i="3" s="1"/>
  <c r="R111" i="4"/>
  <c r="AD112" i="3" s="1"/>
  <c r="S111" i="4"/>
  <c r="AE112" i="3" s="1"/>
  <c r="T111" i="4"/>
  <c r="AF112" i="3" s="1"/>
  <c r="U111" i="4"/>
  <c r="AG112" i="3" s="1"/>
  <c r="F135" i="4"/>
  <c r="G135" i="4"/>
  <c r="S136" i="3" s="1"/>
  <c r="H135" i="4"/>
  <c r="T136" i="3" s="1"/>
  <c r="I135" i="4"/>
  <c r="U136" i="3" s="1"/>
  <c r="J135" i="4"/>
  <c r="V136" i="3" s="1"/>
  <c r="K135" i="4"/>
  <c r="W136" i="3" s="1"/>
  <c r="L135" i="4"/>
  <c r="X136" i="3" s="1"/>
  <c r="M135" i="4"/>
  <c r="Y136" i="3" s="1"/>
  <c r="O135" i="4"/>
  <c r="AA136" i="3" s="1"/>
  <c r="P135" i="4"/>
  <c r="AB136" i="3" s="1"/>
  <c r="Q135" i="4"/>
  <c r="AC136" i="3" s="1"/>
  <c r="R135" i="4"/>
  <c r="AD136" i="3" s="1"/>
  <c r="S135" i="4"/>
  <c r="AE136" i="3" s="1"/>
  <c r="T135" i="4"/>
  <c r="AF136" i="3" s="1"/>
  <c r="U135" i="4"/>
  <c r="AG136" i="3" s="1"/>
  <c r="F97" i="4"/>
  <c r="G97" i="4"/>
  <c r="S98" i="3" s="1"/>
  <c r="H97" i="4"/>
  <c r="T98" i="3" s="1"/>
  <c r="I97" i="4"/>
  <c r="U98" i="3" s="1"/>
  <c r="J97" i="4"/>
  <c r="V98" i="3" s="1"/>
  <c r="K97" i="4"/>
  <c r="W98" i="3" s="1"/>
  <c r="L97" i="4"/>
  <c r="X98" i="3" s="1"/>
  <c r="M97" i="4"/>
  <c r="Y98" i="3" s="1"/>
  <c r="O97" i="4"/>
  <c r="AA98" i="3" s="1"/>
  <c r="P97" i="4"/>
  <c r="AB98" i="3" s="1"/>
  <c r="Q97" i="4"/>
  <c r="AC98" i="3" s="1"/>
  <c r="R97" i="4"/>
  <c r="AD98" i="3" s="1"/>
  <c r="S97" i="4"/>
  <c r="AE98" i="3" s="1"/>
  <c r="T97" i="4"/>
  <c r="AF98" i="3" s="1"/>
  <c r="U97" i="4"/>
  <c r="AG98" i="3" s="1"/>
  <c r="F134" i="4"/>
  <c r="G134" i="4"/>
  <c r="S135" i="3" s="1"/>
  <c r="H134" i="4"/>
  <c r="T135" i="3" s="1"/>
  <c r="I134" i="4"/>
  <c r="U135" i="3" s="1"/>
  <c r="J134" i="4"/>
  <c r="V135" i="3" s="1"/>
  <c r="K134" i="4"/>
  <c r="W135" i="3" s="1"/>
  <c r="L134" i="4"/>
  <c r="X135" i="3" s="1"/>
  <c r="M134" i="4"/>
  <c r="Y135" i="3" s="1"/>
  <c r="O134" i="4"/>
  <c r="AA135" i="3" s="1"/>
  <c r="P134" i="4"/>
  <c r="AB135" i="3" s="1"/>
  <c r="Q134" i="4"/>
  <c r="AC135" i="3" s="1"/>
  <c r="R134" i="4"/>
  <c r="AD135" i="3" s="1"/>
  <c r="S134" i="4"/>
  <c r="AE135" i="3" s="1"/>
  <c r="T134" i="4"/>
  <c r="AF135" i="3" s="1"/>
  <c r="U134" i="4"/>
  <c r="AG135" i="3" s="1"/>
  <c r="F110" i="4"/>
  <c r="G110" i="4"/>
  <c r="S111" i="3" s="1"/>
  <c r="H110" i="4"/>
  <c r="T111" i="3" s="1"/>
  <c r="I110" i="4"/>
  <c r="U111" i="3" s="1"/>
  <c r="J110" i="4"/>
  <c r="V111" i="3" s="1"/>
  <c r="K110" i="4"/>
  <c r="W111" i="3" s="1"/>
  <c r="L110" i="4"/>
  <c r="X111" i="3" s="1"/>
  <c r="M110" i="4"/>
  <c r="Y111" i="3" s="1"/>
  <c r="O110" i="4"/>
  <c r="AA111" i="3" s="1"/>
  <c r="P110" i="4"/>
  <c r="AB111" i="3" s="1"/>
  <c r="Q110" i="4"/>
  <c r="AC111" i="3" s="1"/>
  <c r="R110" i="4"/>
  <c r="AD111" i="3" s="1"/>
  <c r="S110" i="4"/>
  <c r="AE111" i="3" s="1"/>
  <c r="T110" i="4"/>
  <c r="AF111" i="3" s="1"/>
  <c r="U110" i="4"/>
  <c r="AG111" i="3" s="1"/>
  <c r="F85" i="4"/>
  <c r="G85" i="4"/>
  <c r="S86" i="3" s="1"/>
  <c r="H85" i="4"/>
  <c r="T86" i="3" s="1"/>
  <c r="I85" i="4"/>
  <c r="U86" i="3" s="1"/>
  <c r="J85" i="4"/>
  <c r="V86" i="3" s="1"/>
  <c r="K85" i="4"/>
  <c r="W86" i="3" s="1"/>
  <c r="L85" i="4"/>
  <c r="X86" i="3" s="1"/>
  <c r="M85" i="4"/>
  <c r="Y86" i="3" s="1"/>
  <c r="O85" i="4"/>
  <c r="AA86" i="3" s="1"/>
  <c r="P85" i="4"/>
  <c r="AB86" i="3" s="1"/>
  <c r="Q85" i="4"/>
  <c r="AC86" i="3" s="1"/>
  <c r="R85" i="4"/>
  <c r="AD86" i="3" s="1"/>
  <c r="S85" i="4"/>
  <c r="AE86" i="3" s="1"/>
  <c r="T85" i="4"/>
  <c r="AF86" i="3" s="1"/>
  <c r="U85" i="4"/>
  <c r="AG86" i="3" s="1"/>
  <c r="F91" i="4"/>
  <c r="G91" i="4"/>
  <c r="S92" i="3" s="1"/>
  <c r="H91" i="4"/>
  <c r="T92" i="3" s="1"/>
  <c r="I91" i="4"/>
  <c r="U92" i="3" s="1"/>
  <c r="J91" i="4"/>
  <c r="V92" i="3" s="1"/>
  <c r="K91" i="4"/>
  <c r="W92" i="3" s="1"/>
  <c r="L91" i="4"/>
  <c r="X92" i="3" s="1"/>
  <c r="M91" i="4"/>
  <c r="Y92" i="3" s="1"/>
  <c r="O91" i="4"/>
  <c r="AA92" i="3" s="1"/>
  <c r="P91" i="4"/>
  <c r="AB92" i="3" s="1"/>
  <c r="Q91" i="4"/>
  <c r="AC92" i="3" s="1"/>
  <c r="R91" i="4"/>
  <c r="AD92" i="3" s="1"/>
  <c r="S91" i="4"/>
  <c r="AE92" i="3" s="1"/>
  <c r="T91" i="4"/>
  <c r="AF92" i="3" s="1"/>
  <c r="U91" i="4"/>
  <c r="AG92" i="3" s="1"/>
  <c r="F132" i="4"/>
  <c r="G132" i="4"/>
  <c r="S133" i="3" s="1"/>
  <c r="H132" i="4"/>
  <c r="T133" i="3" s="1"/>
  <c r="I132" i="4"/>
  <c r="U133" i="3" s="1"/>
  <c r="J132" i="4"/>
  <c r="V133" i="3" s="1"/>
  <c r="K132" i="4"/>
  <c r="W133" i="3" s="1"/>
  <c r="L132" i="4"/>
  <c r="X133" i="3" s="1"/>
  <c r="M132" i="4"/>
  <c r="Y133" i="3" s="1"/>
  <c r="O132" i="4"/>
  <c r="AA133" i="3" s="1"/>
  <c r="P132" i="4"/>
  <c r="AB133" i="3" s="1"/>
  <c r="Q132" i="4"/>
  <c r="AC133" i="3" s="1"/>
  <c r="R132" i="4"/>
  <c r="AD133" i="3" s="1"/>
  <c r="S132" i="4"/>
  <c r="AE133" i="3" s="1"/>
  <c r="T132" i="4"/>
  <c r="AF133" i="3" s="1"/>
  <c r="U132" i="4"/>
  <c r="AG133" i="3" s="1"/>
  <c r="F158" i="4"/>
  <c r="G158" i="4"/>
  <c r="S159" i="3" s="1"/>
  <c r="H158" i="4"/>
  <c r="T159" i="3" s="1"/>
  <c r="I158" i="4"/>
  <c r="U159" i="3" s="1"/>
  <c r="J158" i="4"/>
  <c r="V159" i="3" s="1"/>
  <c r="K158" i="4"/>
  <c r="W159" i="3" s="1"/>
  <c r="L158" i="4"/>
  <c r="X159" i="3" s="1"/>
  <c r="M158" i="4"/>
  <c r="Y159" i="3" s="1"/>
  <c r="O158" i="4"/>
  <c r="AA159" i="3" s="1"/>
  <c r="P158" i="4"/>
  <c r="AB159" i="3" s="1"/>
  <c r="Q158" i="4"/>
  <c r="AC159" i="3" s="1"/>
  <c r="R158" i="4"/>
  <c r="AD159" i="3" s="1"/>
  <c r="S158" i="4"/>
  <c r="AE159" i="3" s="1"/>
  <c r="T158" i="4"/>
  <c r="AF159" i="3" s="1"/>
  <c r="U158" i="4"/>
  <c r="AG159" i="3" s="1"/>
  <c r="F109" i="4"/>
  <c r="G109" i="4"/>
  <c r="S110" i="3" s="1"/>
  <c r="H109" i="4"/>
  <c r="T110" i="3" s="1"/>
  <c r="I109" i="4"/>
  <c r="U110" i="3" s="1"/>
  <c r="J109" i="4"/>
  <c r="V110" i="3" s="1"/>
  <c r="K109" i="4"/>
  <c r="W110" i="3" s="1"/>
  <c r="L109" i="4"/>
  <c r="X110" i="3" s="1"/>
  <c r="M109" i="4"/>
  <c r="Y110" i="3" s="1"/>
  <c r="O109" i="4"/>
  <c r="AA110" i="3" s="1"/>
  <c r="P109" i="4"/>
  <c r="AB110" i="3" s="1"/>
  <c r="Q109" i="4"/>
  <c r="AC110" i="3" s="1"/>
  <c r="R109" i="4"/>
  <c r="AD110" i="3" s="1"/>
  <c r="S109" i="4"/>
  <c r="AE110" i="3" s="1"/>
  <c r="T109" i="4"/>
  <c r="AF110" i="3" s="1"/>
  <c r="U109" i="4"/>
  <c r="AG110" i="3" s="1"/>
  <c r="F130" i="4"/>
  <c r="G130" i="4"/>
  <c r="S131" i="3" s="1"/>
  <c r="H130" i="4"/>
  <c r="T131" i="3" s="1"/>
  <c r="I130" i="4"/>
  <c r="U131" i="3" s="1"/>
  <c r="J130" i="4"/>
  <c r="V131" i="3" s="1"/>
  <c r="K130" i="4"/>
  <c r="W131" i="3" s="1"/>
  <c r="L130" i="4"/>
  <c r="X131" i="3" s="1"/>
  <c r="M130" i="4"/>
  <c r="Y131" i="3" s="1"/>
  <c r="O130" i="4"/>
  <c r="AA131" i="3" s="1"/>
  <c r="P130" i="4"/>
  <c r="AB131" i="3" s="1"/>
  <c r="Q130" i="4"/>
  <c r="AC131" i="3" s="1"/>
  <c r="R130" i="4"/>
  <c r="AD131" i="3" s="1"/>
  <c r="S130" i="4"/>
  <c r="AE131" i="3" s="1"/>
  <c r="T130" i="4"/>
  <c r="AF131" i="3" s="1"/>
  <c r="U130" i="4"/>
  <c r="AG131" i="3" s="1"/>
  <c r="F96" i="4"/>
  <c r="G96" i="4"/>
  <c r="S97" i="3" s="1"/>
  <c r="H96" i="4"/>
  <c r="T97" i="3" s="1"/>
  <c r="I96" i="4"/>
  <c r="U97" i="3" s="1"/>
  <c r="J96" i="4"/>
  <c r="V97" i="3" s="1"/>
  <c r="K96" i="4"/>
  <c r="W97" i="3" s="1"/>
  <c r="L96" i="4"/>
  <c r="X97" i="3" s="1"/>
  <c r="M96" i="4"/>
  <c r="Y97" i="3" s="1"/>
  <c r="O96" i="4"/>
  <c r="AA97" i="3" s="1"/>
  <c r="P96" i="4"/>
  <c r="AB97" i="3" s="1"/>
  <c r="Q96" i="4"/>
  <c r="AC97" i="3" s="1"/>
  <c r="R96" i="4"/>
  <c r="AD97" i="3" s="1"/>
  <c r="S96" i="4"/>
  <c r="AE97" i="3" s="1"/>
  <c r="T96" i="4"/>
  <c r="AF97" i="3" s="1"/>
  <c r="U96" i="4"/>
  <c r="AG97" i="3" s="1"/>
  <c r="F129" i="4"/>
  <c r="G129" i="4"/>
  <c r="S130" i="3" s="1"/>
  <c r="H129" i="4"/>
  <c r="T130" i="3" s="1"/>
  <c r="I129" i="4"/>
  <c r="U130" i="3" s="1"/>
  <c r="J129" i="4"/>
  <c r="V130" i="3" s="1"/>
  <c r="K129" i="4"/>
  <c r="W130" i="3" s="1"/>
  <c r="L129" i="4"/>
  <c r="X130" i="3" s="1"/>
  <c r="M129" i="4"/>
  <c r="Y130" i="3" s="1"/>
  <c r="O129" i="4"/>
  <c r="AA130" i="3" s="1"/>
  <c r="P129" i="4"/>
  <c r="AB130" i="3" s="1"/>
  <c r="Q129" i="4"/>
  <c r="AC130" i="3" s="1"/>
  <c r="R129" i="4"/>
  <c r="AD130" i="3" s="1"/>
  <c r="S129" i="4"/>
  <c r="AE130" i="3" s="1"/>
  <c r="T129" i="4"/>
  <c r="AF130" i="3" s="1"/>
  <c r="U129" i="4"/>
  <c r="AG130" i="3" s="1"/>
  <c r="F108" i="4"/>
  <c r="G108" i="4"/>
  <c r="S109" i="3" s="1"/>
  <c r="H108" i="4"/>
  <c r="T109" i="3" s="1"/>
  <c r="I108" i="4"/>
  <c r="U109" i="3" s="1"/>
  <c r="J108" i="4"/>
  <c r="V109" i="3" s="1"/>
  <c r="K108" i="4"/>
  <c r="W109" i="3" s="1"/>
  <c r="L108" i="4"/>
  <c r="X109" i="3" s="1"/>
  <c r="M108" i="4"/>
  <c r="Y109" i="3" s="1"/>
  <c r="O108" i="4"/>
  <c r="AA109" i="3" s="1"/>
  <c r="P108" i="4"/>
  <c r="AB109" i="3" s="1"/>
  <c r="Q108" i="4"/>
  <c r="AC109" i="3" s="1"/>
  <c r="R108" i="4"/>
  <c r="AD109" i="3" s="1"/>
  <c r="S108" i="4"/>
  <c r="AE109" i="3" s="1"/>
  <c r="T108" i="4"/>
  <c r="AF109" i="3" s="1"/>
  <c r="U108" i="4"/>
  <c r="AG109" i="3" s="1"/>
  <c r="F128" i="4"/>
  <c r="G128" i="4"/>
  <c r="S129" i="3" s="1"/>
  <c r="H128" i="4"/>
  <c r="T129" i="3" s="1"/>
  <c r="I128" i="4"/>
  <c r="U129" i="3" s="1"/>
  <c r="J128" i="4"/>
  <c r="V129" i="3" s="1"/>
  <c r="K128" i="4"/>
  <c r="W129" i="3" s="1"/>
  <c r="L128" i="4"/>
  <c r="X129" i="3" s="1"/>
  <c r="M128" i="4"/>
  <c r="Y129" i="3" s="1"/>
  <c r="O128" i="4"/>
  <c r="AA129" i="3" s="1"/>
  <c r="P128" i="4"/>
  <c r="AB129" i="3" s="1"/>
  <c r="Q128" i="4"/>
  <c r="AC129" i="3" s="1"/>
  <c r="R128" i="4"/>
  <c r="AD129" i="3" s="1"/>
  <c r="S128" i="4"/>
  <c r="AE129" i="3" s="1"/>
  <c r="T128" i="4"/>
  <c r="AF129" i="3" s="1"/>
  <c r="U128" i="4"/>
  <c r="AG129" i="3" s="1"/>
  <c r="F107" i="4"/>
  <c r="G107" i="4"/>
  <c r="S108" i="3" s="1"/>
  <c r="H107" i="4"/>
  <c r="T108" i="3" s="1"/>
  <c r="I107" i="4"/>
  <c r="U108" i="3" s="1"/>
  <c r="J107" i="4"/>
  <c r="V108" i="3" s="1"/>
  <c r="K107" i="4"/>
  <c r="W108" i="3" s="1"/>
  <c r="L107" i="4"/>
  <c r="X108" i="3" s="1"/>
  <c r="M107" i="4"/>
  <c r="Y108" i="3" s="1"/>
  <c r="O107" i="4"/>
  <c r="AA108" i="3" s="1"/>
  <c r="P107" i="4"/>
  <c r="AB108" i="3" s="1"/>
  <c r="Q107" i="4"/>
  <c r="AC108" i="3" s="1"/>
  <c r="R107" i="4"/>
  <c r="AD108" i="3" s="1"/>
  <c r="S107" i="4"/>
  <c r="AE108" i="3" s="1"/>
  <c r="T107" i="4"/>
  <c r="AF108" i="3" s="1"/>
  <c r="U107" i="4"/>
  <c r="AG108" i="3" s="1"/>
  <c r="F88" i="4"/>
  <c r="G88" i="4"/>
  <c r="S89" i="3" s="1"/>
  <c r="H88" i="4"/>
  <c r="T89" i="3" s="1"/>
  <c r="I88" i="4"/>
  <c r="U89" i="3" s="1"/>
  <c r="J88" i="4"/>
  <c r="V89" i="3" s="1"/>
  <c r="K88" i="4"/>
  <c r="W89" i="3" s="1"/>
  <c r="L88" i="4"/>
  <c r="X89" i="3" s="1"/>
  <c r="M88" i="4"/>
  <c r="Y89" i="3" s="1"/>
  <c r="O88" i="4"/>
  <c r="AA89" i="3" s="1"/>
  <c r="P88" i="4"/>
  <c r="AB89" i="3" s="1"/>
  <c r="Q88" i="4"/>
  <c r="AC89" i="3" s="1"/>
  <c r="R88" i="4"/>
  <c r="AD89" i="3" s="1"/>
  <c r="S88" i="4"/>
  <c r="AE89" i="3" s="1"/>
  <c r="T88" i="4"/>
  <c r="AF89" i="3" s="1"/>
  <c r="U88" i="4"/>
  <c r="AG89" i="3" s="1"/>
  <c r="F125" i="4"/>
  <c r="G125" i="4"/>
  <c r="S126" i="3" s="1"/>
  <c r="H125" i="4"/>
  <c r="T126" i="3" s="1"/>
  <c r="I125" i="4"/>
  <c r="U126" i="3" s="1"/>
  <c r="J125" i="4"/>
  <c r="V126" i="3" s="1"/>
  <c r="K125" i="4"/>
  <c r="W126" i="3" s="1"/>
  <c r="L125" i="4"/>
  <c r="X126" i="3" s="1"/>
  <c r="M125" i="4"/>
  <c r="Y126" i="3" s="1"/>
  <c r="O125" i="4"/>
  <c r="AA126" i="3" s="1"/>
  <c r="P125" i="4"/>
  <c r="AB126" i="3" s="1"/>
  <c r="Q125" i="4"/>
  <c r="AC126" i="3" s="1"/>
  <c r="R125" i="4"/>
  <c r="AD126" i="3" s="1"/>
  <c r="S125" i="4"/>
  <c r="AE126" i="3" s="1"/>
  <c r="T125" i="4"/>
  <c r="AF126" i="3" s="1"/>
  <c r="U125" i="4"/>
  <c r="AG126" i="3" s="1"/>
  <c r="F106" i="4"/>
  <c r="G106" i="4"/>
  <c r="S107" i="3" s="1"/>
  <c r="H106" i="4"/>
  <c r="T107" i="3" s="1"/>
  <c r="I106" i="4"/>
  <c r="U107" i="3" s="1"/>
  <c r="J106" i="4"/>
  <c r="V107" i="3" s="1"/>
  <c r="K106" i="4"/>
  <c r="W107" i="3" s="1"/>
  <c r="L106" i="4"/>
  <c r="X107" i="3" s="1"/>
  <c r="M106" i="4"/>
  <c r="Y107" i="3" s="1"/>
  <c r="O106" i="4"/>
  <c r="AA107" i="3" s="1"/>
  <c r="P106" i="4"/>
  <c r="AB107" i="3" s="1"/>
  <c r="Q106" i="4"/>
  <c r="AC107" i="3" s="1"/>
  <c r="R106" i="4"/>
  <c r="AD107" i="3" s="1"/>
  <c r="S106" i="4"/>
  <c r="AE107" i="3" s="1"/>
  <c r="T106" i="4"/>
  <c r="AF107" i="3" s="1"/>
  <c r="U106" i="4"/>
  <c r="AG107" i="3" s="1"/>
  <c r="F55" i="4"/>
  <c r="G55" i="4"/>
  <c r="S56" i="3" s="1"/>
  <c r="H55" i="4"/>
  <c r="T56" i="3" s="1"/>
  <c r="I55" i="4"/>
  <c r="U56" i="3" s="1"/>
  <c r="J55" i="4"/>
  <c r="V56" i="3" s="1"/>
  <c r="K55" i="4"/>
  <c r="W56" i="3" s="1"/>
  <c r="L55" i="4"/>
  <c r="X56" i="3" s="1"/>
  <c r="M55" i="4"/>
  <c r="Y56" i="3" s="1"/>
  <c r="O55" i="4"/>
  <c r="AA56" i="3" s="1"/>
  <c r="P55" i="4"/>
  <c r="AB56" i="3" s="1"/>
  <c r="Q55" i="4"/>
  <c r="AC56" i="3" s="1"/>
  <c r="R55" i="4"/>
  <c r="AD56" i="3" s="1"/>
  <c r="S55" i="4"/>
  <c r="AE56" i="3" s="1"/>
  <c r="T55" i="4"/>
  <c r="AF56" i="3" s="1"/>
  <c r="U55" i="4"/>
  <c r="AG56" i="3" s="1"/>
  <c r="F105" i="4"/>
  <c r="G105" i="4"/>
  <c r="S106" i="3" s="1"/>
  <c r="H105" i="4"/>
  <c r="T106" i="3" s="1"/>
  <c r="I105" i="4"/>
  <c r="U106" i="3" s="1"/>
  <c r="J105" i="4"/>
  <c r="V106" i="3" s="1"/>
  <c r="K105" i="4"/>
  <c r="W106" i="3" s="1"/>
  <c r="L105" i="4"/>
  <c r="X106" i="3" s="1"/>
  <c r="M105" i="4"/>
  <c r="Y106" i="3" s="1"/>
  <c r="O105" i="4"/>
  <c r="AA106" i="3" s="1"/>
  <c r="P105" i="4"/>
  <c r="AB106" i="3" s="1"/>
  <c r="Q105" i="4"/>
  <c r="AC106" i="3" s="1"/>
  <c r="R105" i="4"/>
  <c r="AD106" i="3" s="1"/>
  <c r="S105" i="4"/>
  <c r="AE106" i="3" s="1"/>
  <c r="T105" i="4"/>
  <c r="AF106" i="3" s="1"/>
  <c r="U105" i="4"/>
  <c r="AG106" i="3" s="1"/>
  <c r="F124" i="4"/>
  <c r="G124" i="4"/>
  <c r="S125" i="3" s="1"/>
  <c r="H124" i="4"/>
  <c r="T125" i="3" s="1"/>
  <c r="I124" i="4"/>
  <c r="U125" i="3" s="1"/>
  <c r="J124" i="4"/>
  <c r="V125" i="3" s="1"/>
  <c r="K124" i="4"/>
  <c r="W125" i="3" s="1"/>
  <c r="L124" i="4"/>
  <c r="X125" i="3" s="1"/>
  <c r="M124" i="4"/>
  <c r="Y125" i="3" s="1"/>
  <c r="O124" i="4"/>
  <c r="AA125" i="3" s="1"/>
  <c r="P124" i="4"/>
  <c r="AB125" i="3" s="1"/>
  <c r="Q124" i="4"/>
  <c r="AC125" i="3" s="1"/>
  <c r="R124" i="4"/>
  <c r="AD125" i="3" s="1"/>
  <c r="S124" i="4"/>
  <c r="AE125" i="3" s="1"/>
  <c r="T124" i="4"/>
  <c r="AF125" i="3" s="1"/>
  <c r="U124" i="4"/>
  <c r="AG125" i="3" s="1"/>
  <c r="F95" i="4"/>
  <c r="G95" i="4"/>
  <c r="S96" i="3" s="1"/>
  <c r="H95" i="4"/>
  <c r="T96" i="3" s="1"/>
  <c r="I95" i="4"/>
  <c r="U96" i="3" s="1"/>
  <c r="J95" i="4"/>
  <c r="V96" i="3" s="1"/>
  <c r="K95" i="4"/>
  <c r="W96" i="3" s="1"/>
  <c r="L95" i="4"/>
  <c r="X96" i="3" s="1"/>
  <c r="M95" i="4"/>
  <c r="Y96" i="3" s="1"/>
  <c r="O95" i="4"/>
  <c r="AA96" i="3" s="1"/>
  <c r="P95" i="4"/>
  <c r="AB96" i="3" s="1"/>
  <c r="Q95" i="4"/>
  <c r="AC96" i="3" s="1"/>
  <c r="R95" i="4"/>
  <c r="AD96" i="3" s="1"/>
  <c r="S95" i="4"/>
  <c r="AE96" i="3" s="1"/>
  <c r="T95" i="4"/>
  <c r="AF96" i="3" s="1"/>
  <c r="U95" i="4"/>
  <c r="AG96" i="3" s="1"/>
  <c r="F165" i="4"/>
  <c r="G165" i="4"/>
  <c r="S166" i="3" s="1"/>
  <c r="H165" i="4"/>
  <c r="T166" i="3" s="1"/>
  <c r="I165" i="4"/>
  <c r="U166" i="3" s="1"/>
  <c r="J165" i="4"/>
  <c r="V166" i="3" s="1"/>
  <c r="K165" i="4"/>
  <c r="W166" i="3" s="1"/>
  <c r="L165" i="4"/>
  <c r="X166" i="3" s="1"/>
  <c r="M165" i="4"/>
  <c r="Y166" i="3" s="1"/>
  <c r="O165" i="4"/>
  <c r="AA166" i="3" s="1"/>
  <c r="P165" i="4"/>
  <c r="AB166" i="3" s="1"/>
  <c r="Q165" i="4"/>
  <c r="AC166" i="3" s="1"/>
  <c r="R165" i="4"/>
  <c r="AD166" i="3" s="1"/>
  <c r="S165" i="4"/>
  <c r="AE166" i="3" s="1"/>
  <c r="T165" i="4"/>
  <c r="AF166" i="3" s="1"/>
  <c r="U165" i="4"/>
  <c r="AG166" i="3" s="1"/>
  <c r="F164" i="4"/>
  <c r="G164" i="4"/>
  <c r="S165" i="3" s="1"/>
  <c r="H164" i="4"/>
  <c r="T165" i="3" s="1"/>
  <c r="I164" i="4"/>
  <c r="U165" i="3" s="1"/>
  <c r="J164" i="4"/>
  <c r="V165" i="3" s="1"/>
  <c r="K164" i="4"/>
  <c r="W165" i="3" s="1"/>
  <c r="L164" i="4"/>
  <c r="X165" i="3" s="1"/>
  <c r="M164" i="4"/>
  <c r="Y165" i="3" s="1"/>
  <c r="O164" i="4"/>
  <c r="AA165" i="3" s="1"/>
  <c r="P164" i="4"/>
  <c r="AB165" i="3" s="1"/>
  <c r="Q164" i="4"/>
  <c r="AC165" i="3" s="1"/>
  <c r="R164" i="4"/>
  <c r="AD165" i="3" s="1"/>
  <c r="S164" i="4"/>
  <c r="AE165" i="3" s="1"/>
  <c r="T164" i="4"/>
  <c r="AF165" i="3" s="1"/>
  <c r="U164" i="4"/>
  <c r="AG165" i="3" s="1"/>
  <c r="F104" i="4"/>
  <c r="G104" i="4"/>
  <c r="S105" i="3" s="1"/>
  <c r="H104" i="4"/>
  <c r="T105" i="3" s="1"/>
  <c r="I104" i="4"/>
  <c r="U105" i="3" s="1"/>
  <c r="J104" i="4"/>
  <c r="V105" i="3" s="1"/>
  <c r="K104" i="4"/>
  <c r="W105" i="3" s="1"/>
  <c r="L104" i="4"/>
  <c r="X105" i="3" s="1"/>
  <c r="M104" i="4"/>
  <c r="Y105" i="3" s="1"/>
  <c r="O104" i="4"/>
  <c r="AA105" i="3" s="1"/>
  <c r="P104" i="4"/>
  <c r="AB105" i="3" s="1"/>
  <c r="Q104" i="4"/>
  <c r="AC105" i="3" s="1"/>
  <c r="R104" i="4"/>
  <c r="AD105" i="3" s="1"/>
  <c r="S104" i="4"/>
  <c r="AE105" i="3" s="1"/>
  <c r="T104" i="4"/>
  <c r="AF105" i="3" s="1"/>
  <c r="U104" i="4"/>
  <c r="AG105" i="3" s="1"/>
  <c r="F161" i="4"/>
  <c r="G161" i="4"/>
  <c r="S162" i="3" s="1"/>
  <c r="H161" i="4"/>
  <c r="T162" i="3" s="1"/>
  <c r="I161" i="4"/>
  <c r="U162" i="3" s="1"/>
  <c r="J161" i="4"/>
  <c r="V162" i="3" s="1"/>
  <c r="K161" i="4"/>
  <c r="W162" i="3" s="1"/>
  <c r="L161" i="4"/>
  <c r="X162" i="3" s="1"/>
  <c r="M161" i="4"/>
  <c r="Y162" i="3" s="1"/>
  <c r="O161" i="4"/>
  <c r="AA162" i="3" s="1"/>
  <c r="P161" i="4"/>
  <c r="AB162" i="3" s="1"/>
  <c r="Q161" i="4"/>
  <c r="AC162" i="3" s="1"/>
  <c r="R161" i="4"/>
  <c r="AD162" i="3" s="1"/>
  <c r="S161" i="4"/>
  <c r="AE162" i="3" s="1"/>
  <c r="T161" i="4"/>
  <c r="AF162" i="3" s="1"/>
  <c r="U161" i="4"/>
  <c r="AG162" i="3" s="1"/>
  <c r="F90" i="4"/>
  <c r="G90" i="4"/>
  <c r="S91" i="3" s="1"/>
  <c r="H90" i="4"/>
  <c r="T91" i="3" s="1"/>
  <c r="I90" i="4"/>
  <c r="U91" i="3" s="1"/>
  <c r="J90" i="4"/>
  <c r="V91" i="3" s="1"/>
  <c r="K90" i="4"/>
  <c r="W91" i="3" s="1"/>
  <c r="L90" i="4"/>
  <c r="X91" i="3" s="1"/>
  <c r="M90" i="4"/>
  <c r="Y91" i="3" s="1"/>
  <c r="O90" i="4"/>
  <c r="AA91" i="3" s="1"/>
  <c r="P90" i="4"/>
  <c r="AB91" i="3" s="1"/>
  <c r="Q90" i="4"/>
  <c r="AC91" i="3" s="1"/>
  <c r="R90" i="4"/>
  <c r="AD91" i="3" s="1"/>
  <c r="S90" i="4"/>
  <c r="AE91" i="3" s="1"/>
  <c r="T90" i="4"/>
  <c r="AF91" i="3" s="1"/>
  <c r="U90" i="4"/>
  <c r="AG91" i="3" s="1"/>
  <c r="F156" i="4"/>
  <c r="G156" i="4"/>
  <c r="S157" i="3" s="1"/>
  <c r="H156" i="4"/>
  <c r="T157" i="3" s="1"/>
  <c r="I156" i="4"/>
  <c r="U157" i="3" s="1"/>
  <c r="J156" i="4"/>
  <c r="V157" i="3" s="1"/>
  <c r="K156" i="4"/>
  <c r="W157" i="3" s="1"/>
  <c r="L156" i="4"/>
  <c r="X157" i="3" s="1"/>
  <c r="M156" i="4"/>
  <c r="Y157" i="3" s="1"/>
  <c r="O156" i="4"/>
  <c r="AA157" i="3" s="1"/>
  <c r="P156" i="4"/>
  <c r="AB157" i="3" s="1"/>
  <c r="Q156" i="4"/>
  <c r="AC157" i="3" s="1"/>
  <c r="R156" i="4"/>
  <c r="AD157" i="3" s="1"/>
  <c r="S156" i="4"/>
  <c r="AE157" i="3" s="1"/>
  <c r="T156" i="4"/>
  <c r="AF157" i="3" s="1"/>
  <c r="U156" i="4"/>
  <c r="AG157" i="3" s="1"/>
  <c r="F103" i="4"/>
  <c r="G103" i="4"/>
  <c r="S104" i="3" s="1"/>
  <c r="H103" i="4"/>
  <c r="T104" i="3" s="1"/>
  <c r="I103" i="4"/>
  <c r="U104" i="3" s="1"/>
  <c r="J103" i="4"/>
  <c r="V104" i="3" s="1"/>
  <c r="K103" i="4"/>
  <c r="W104" i="3" s="1"/>
  <c r="L103" i="4"/>
  <c r="X104" i="3" s="1"/>
  <c r="M103" i="4"/>
  <c r="Y104" i="3" s="1"/>
  <c r="O103" i="4"/>
  <c r="AA104" i="3" s="1"/>
  <c r="P103" i="4"/>
  <c r="AB104" i="3" s="1"/>
  <c r="Q103" i="4"/>
  <c r="AC104" i="3" s="1"/>
  <c r="R103" i="4"/>
  <c r="AD104" i="3" s="1"/>
  <c r="S103" i="4"/>
  <c r="AE104" i="3" s="1"/>
  <c r="T103" i="4"/>
  <c r="AF104" i="3" s="1"/>
  <c r="U103" i="4"/>
  <c r="AG104" i="3" s="1"/>
  <c r="F84" i="4"/>
  <c r="G84" i="4"/>
  <c r="S85" i="3" s="1"/>
  <c r="H84" i="4"/>
  <c r="T85" i="3" s="1"/>
  <c r="I84" i="4"/>
  <c r="U85" i="3" s="1"/>
  <c r="J84" i="4"/>
  <c r="V85" i="3" s="1"/>
  <c r="K84" i="4"/>
  <c r="W85" i="3" s="1"/>
  <c r="L84" i="4"/>
  <c r="X85" i="3" s="1"/>
  <c r="M84" i="4"/>
  <c r="Y85" i="3" s="1"/>
  <c r="O84" i="4"/>
  <c r="AA85" i="3" s="1"/>
  <c r="P84" i="4"/>
  <c r="AB85" i="3" s="1"/>
  <c r="Q84" i="4"/>
  <c r="AC85" i="3" s="1"/>
  <c r="R84" i="4"/>
  <c r="AD85" i="3" s="1"/>
  <c r="S84" i="4"/>
  <c r="AE85" i="3" s="1"/>
  <c r="T84" i="4"/>
  <c r="AF85" i="3" s="1"/>
  <c r="U84" i="4"/>
  <c r="AG85" i="3" s="1"/>
  <c r="F83" i="4"/>
  <c r="G83" i="4"/>
  <c r="S84" i="3" s="1"/>
  <c r="H83" i="4"/>
  <c r="T84" i="3" s="1"/>
  <c r="I83" i="4"/>
  <c r="U84" i="3" s="1"/>
  <c r="J83" i="4"/>
  <c r="V84" i="3" s="1"/>
  <c r="K83" i="4"/>
  <c r="W84" i="3" s="1"/>
  <c r="L83" i="4"/>
  <c r="X84" i="3" s="1"/>
  <c r="M83" i="4"/>
  <c r="Y84" i="3" s="1"/>
  <c r="O83" i="4"/>
  <c r="AA84" i="3" s="1"/>
  <c r="P83" i="4"/>
  <c r="AB84" i="3" s="1"/>
  <c r="Q83" i="4"/>
  <c r="AC84" i="3" s="1"/>
  <c r="R83" i="4"/>
  <c r="AD84" i="3" s="1"/>
  <c r="S83" i="4"/>
  <c r="AE84" i="3" s="1"/>
  <c r="T83" i="4"/>
  <c r="AF84" i="3" s="1"/>
  <c r="U83" i="4"/>
  <c r="AG84" i="3" s="1"/>
  <c r="F82" i="4"/>
  <c r="G82" i="4"/>
  <c r="S83" i="3" s="1"/>
  <c r="H82" i="4"/>
  <c r="T83" i="3" s="1"/>
  <c r="I82" i="4"/>
  <c r="U83" i="3" s="1"/>
  <c r="J82" i="4"/>
  <c r="V83" i="3" s="1"/>
  <c r="K82" i="4"/>
  <c r="W83" i="3" s="1"/>
  <c r="L82" i="4"/>
  <c r="X83" i="3" s="1"/>
  <c r="M82" i="4"/>
  <c r="Y83" i="3" s="1"/>
  <c r="O82" i="4"/>
  <c r="AA83" i="3" s="1"/>
  <c r="P82" i="4"/>
  <c r="AB83" i="3" s="1"/>
  <c r="Q82" i="4"/>
  <c r="AC83" i="3" s="1"/>
  <c r="R82" i="4"/>
  <c r="AD83" i="3" s="1"/>
  <c r="S82" i="4"/>
  <c r="AE83" i="3" s="1"/>
  <c r="T82" i="4"/>
  <c r="AF83" i="3" s="1"/>
  <c r="U82" i="4"/>
  <c r="AG83" i="3" s="1"/>
  <c r="F81" i="4"/>
  <c r="G81" i="4"/>
  <c r="S82" i="3" s="1"/>
  <c r="H81" i="4"/>
  <c r="T82" i="3" s="1"/>
  <c r="I81" i="4"/>
  <c r="U82" i="3" s="1"/>
  <c r="J81" i="4"/>
  <c r="V82" i="3" s="1"/>
  <c r="K81" i="4"/>
  <c r="W82" i="3" s="1"/>
  <c r="L81" i="4"/>
  <c r="X82" i="3" s="1"/>
  <c r="M81" i="4"/>
  <c r="Y82" i="3" s="1"/>
  <c r="O81" i="4"/>
  <c r="AA82" i="3" s="1"/>
  <c r="P81" i="4"/>
  <c r="AB82" i="3" s="1"/>
  <c r="Q81" i="4"/>
  <c r="AC82" i="3" s="1"/>
  <c r="R81" i="4"/>
  <c r="AD82" i="3" s="1"/>
  <c r="S81" i="4"/>
  <c r="AE82" i="3" s="1"/>
  <c r="T81" i="4"/>
  <c r="AF82" i="3" s="1"/>
  <c r="U81" i="4"/>
  <c r="AG82" i="3" s="1"/>
  <c r="F80" i="4"/>
  <c r="G80" i="4"/>
  <c r="S81" i="3" s="1"/>
  <c r="H80" i="4"/>
  <c r="T81" i="3" s="1"/>
  <c r="I80" i="4"/>
  <c r="U81" i="3" s="1"/>
  <c r="J80" i="4"/>
  <c r="V81" i="3" s="1"/>
  <c r="K80" i="4"/>
  <c r="W81" i="3" s="1"/>
  <c r="L80" i="4"/>
  <c r="X81" i="3" s="1"/>
  <c r="M80" i="4"/>
  <c r="Y81" i="3" s="1"/>
  <c r="O80" i="4"/>
  <c r="AA81" i="3" s="1"/>
  <c r="P80" i="4"/>
  <c r="AB81" i="3" s="1"/>
  <c r="Q80" i="4"/>
  <c r="AC81" i="3" s="1"/>
  <c r="R80" i="4"/>
  <c r="AD81" i="3" s="1"/>
  <c r="S80" i="4"/>
  <c r="AE81" i="3" s="1"/>
  <c r="T80" i="4"/>
  <c r="AF81" i="3" s="1"/>
  <c r="U80" i="4"/>
  <c r="AG81" i="3" s="1"/>
  <c r="F79" i="4"/>
  <c r="G79" i="4"/>
  <c r="S80" i="3" s="1"/>
  <c r="H79" i="4"/>
  <c r="T80" i="3" s="1"/>
  <c r="I79" i="4"/>
  <c r="U80" i="3" s="1"/>
  <c r="J79" i="4"/>
  <c r="V80" i="3" s="1"/>
  <c r="K79" i="4"/>
  <c r="W80" i="3" s="1"/>
  <c r="L79" i="4"/>
  <c r="X80" i="3" s="1"/>
  <c r="M79" i="4"/>
  <c r="Y80" i="3" s="1"/>
  <c r="O79" i="4"/>
  <c r="AA80" i="3" s="1"/>
  <c r="P79" i="4"/>
  <c r="AB80" i="3" s="1"/>
  <c r="Q79" i="4"/>
  <c r="AC80" i="3" s="1"/>
  <c r="R79" i="4"/>
  <c r="AD80" i="3" s="1"/>
  <c r="S79" i="4"/>
  <c r="AE80" i="3" s="1"/>
  <c r="T79" i="4"/>
  <c r="AF80" i="3" s="1"/>
  <c r="U79" i="4"/>
  <c r="AG80" i="3" s="1"/>
  <c r="F78" i="4"/>
  <c r="G78" i="4"/>
  <c r="S79" i="3" s="1"/>
  <c r="H78" i="4"/>
  <c r="T79" i="3" s="1"/>
  <c r="I78" i="4"/>
  <c r="U79" i="3" s="1"/>
  <c r="J78" i="4"/>
  <c r="V79" i="3" s="1"/>
  <c r="K78" i="4"/>
  <c r="W79" i="3" s="1"/>
  <c r="L78" i="4"/>
  <c r="X79" i="3" s="1"/>
  <c r="M78" i="4"/>
  <c r="Y79" i="3" s="1"/>
  <c r="O78" i="4"/>
  <c r="AA79" i="3" s="1"/>
  <c r="P78" i="4"/>
  <c r="AB79" i="3" s="1"/>
  <c r="Q78" i="4"/>
  <c r="AC79" i="3" s="1"/>
  <c r="R78" i="4"/>
  <c r="AD79" i="3" s="1"/>
  <c r="S78" i="4"/>
  <c r="AE79" i="3" s="1"/>
  <c r="T78" i="4"/>
  <c r="AF79" i="3" s="1"/>
  <c r="U78" i="4"/>
  <c r="AG79" i="3" s="1"/>
  <c r="F77" i="4"/>
  <c r="G77" i="4"/>
  <c r="S78" i="3" s="1"/>
  <c r="H77" i="4"/>
  <c r="T78" i="3" s="1"/>
  <c r="I77" i="4"/>
  <c r="U78" i="3" s="1"/>
  <c r="J77" i="4"/>
  <c r="V78" i="3" s="1"/>
  <c r="K77" i="4"/>
  <c r="W78" i="3" s="1"/>
  <c r="L77" i="4"/>
  <c r="X78" i="3" s="1"/>
  <c r="M77" i="4"/>
  <c r="Y78" i="3" s="1"/>
  <c r="O77" i="4"/>
  <c r="AA78" i="3" s="1"/>
  <c r="P77" i="4"/>
  <c r="AB78" i="3" s="1"/>
  <c r="Q77" i="4"/>
  <c r="AC78" i="3" s="1"/>
  <c r="R77" i="4"/>
  <c r="AD78" i="3" s="1"/>
  <c r="S77" i="4"/>
  <c r="AE78" i="3" s="1"/>
  <c r="T77" i="4"/>
  <c r="AF78" i="3" s="1"/>
  <c r="U77" i="4"/>
  <c r="AG78" i="3" s="1"/>
  <c r="F76" i="4"/>
  <c r="G76" i="4"/>
  <c r="S77" i="3" s="1"/>
  <c r="H76" i="4"/>
  <c r="T77" i="3" s="1"/>
  <c r="I76" i="4"/>
  <c r="U77" i="3" s="1"/>
  <c r="J76" i="4"/>
  <c r="V77" i="3" s="1"/>
  <c r="K76" i="4"/>
  <c r="W77" i="3" s="1"/>
  <c r="L76" i="4"/>
  <c r="X77" i="3" s="1"/>
  <c r="M76" i="4"/>
  <c r="Y77" i="3" s="1"/>
  <c r="O76" i="4"/>
  <c r="AA77" i="3" s="1"/>
  <c r="P76" i="4"/>
  <c r="AB77" i="3" s="1"/>
  <c r="Q76" i="4"/>
  <c r="AC77" i="3" s="1"/>
  <c r="R76" i="4"/>
  <c r="AD77" i="3" s="1"/>
  <c r="S76" i="4"/>
  <c r="AE77" i="3" s="1"/>
  <c r="T76" i="4"/>
  <c r="AF77" i="3" s="1"/>
  <c r="U76" i="4"/>
  <c r="AG77" i="3" s="1"/>
  <c r="F75" i="4"/>
  <c r="G75" i="4"/>
  <c r="S76" i="3" s="1"/>
  <c r="H75" i="4"/>
  <c r="T76" i="3" s="1"/>
  <c r="I75" i="4"/>
  <c r="U76" i="3" s="1"/>
  <c r="J75" i="4"/>
  <c r="V76" i="3" s="1"/>
  <c r="K75" i="4"/>
  <c r="W76" i="3" s="1"/>
  <c r="L75" i="4"/>
  <c r="X76" i="3" s="1"/>
  <c r="M75" i="4"/>
  <c r="Y76" i="3" s="1"/>
  <c r="O75" i="4"/>
  <c r="AA76" i="3" s="1"/>
  <c r="P75" i="4"/>
  <c r="AB76" i="3" s="1"/>
  <c r="Q75" i="4"/>
  <c r="AC76" i="3" s="1"/>
  <c r="R75" i="4"/>
  <c r="AD76" i="3" s="1"/>
  <c r="S75" i="4"/>
  <c r="AE76" i="3" s="1"/>
  <c r="T75" i="4"/>
  <c r="AF76" i="3" s="1"/>
  <c r="U75" i="4"/>
  <c r="AG76" i="3" s="1"/>
  <c r="F74" i="4"/>
  <c r="G74" i="4"/>
  <c r="S75" i="3" s="1"/>
  <c r="H74" i="4"/>
  <c r="T75" i="3" s="1"/>
  <c r="I74" i="4"/>
  <c r="U75" i="3" s="1"/>
  <c r="J74" i="4"/>
  <c r="V75" i="3" s="1"/>
  <c r="K74" i="4"/>
  <c r="W75" i="3" s="1"/>
  <c r="L74" i="4"/>
  <c r="X75" i="3" s="1"/>
  <c r="M74" i="4"/>
  <c r="Y75" i="3" s="1"/>
  <c r="O74" i="4"/>
  <c r="AA75" i="3" s="1"/>
  <c r="P74" i="4"/>
  <c r="AB75" i="3" s="1"/>
  <c r="Q74" i="4"/>
  <c r="AC75" i="3" s="1"/>
  <c r="R74" i="4"/>
  <c r="AD75" i="3" s="1"/>
  <c r="S74" i="4"/>
  <c r="AE75" i="3" s="1"/>
  <c r="T74" i="4"/>
  <c r="AF75" i="3" s="1"/>
  <c r="U74" i="4"/>
  <c r="AG75" i="3" s="1"/>
  <c r="F73" i="4"/>
  <c r="G73" i="4"/>
  <c r="S74" i="3" s="1"/>
  <c r="H73" i="4"/>
  <c r="T74" i="3" s="1"/>
  <c r="I73" i="4"/>
  <c r="U74" i="3" s="1"/>
  <c r="J73" i="4"/>
  <c r="V74" i="3" s="1"/>
  <c r="K73" i="4"/>
  <c r="W74" i="3" s="1"/>
  <c r="L73" i="4"/>
  <c r="X74" i="3" s="1"/>
  <c r="M73" i="4"/>
  <c r="Y74" i="3" s="1"/>
  <c r="O73" i="4"/>
  <c r="AA74" i="3" s="1"/>
  <c r="P73" i="4"/>
  <c r="AB74" i="3" s="1"/>
  <c r="Q73" i="4"/>
  <c r="AC74" i="3" s="1"/>
  <c r="R73" i="4"/>
  <c r="AD74" i="3" s="1"/>
  <c r="S73" i="4"/>
  <c r="AE74" i="3" s="1"/>
  <c r="T73" i="4"/>
  <c r="AF74" i="3" s="1"/>
  <c r="U73" i="4"/>
  <c r="AG74" i="3" s="1"/>
  <c r="F72" i="4"/>
  <c r="G72" i="4"/>
  <c r="S73" i="3" s="1"/>
  <c r="H72" i="4"/>
  <c r="T73" i="3" s="1"/>
  <c r="I72" i="4"/>
  <c r="U73" i="3" s="1"/>
  <c r="J72" i="4"/>
  <c r="V73" i="3" s="1"/>
  <c r="K72" i="4"/>
  <c r="W73" i="3" s="1"/>
  <c r="L72" i="4"/>
  <c r="X73" i="3" s="1"/>
  <c r="M72" i="4"/>
  <c r="Y73" i="3" s="1"/>
  <c r="O72" i="4"/>
  <c r="AA73" i="3" s="1"/>
  <c r="P72" i="4"/>
  <c r="AB73" i="3" s="1"/>
  <c r="Q72" i="4"/>
  <c r="AC73" i="3" s="1"/>
  <c r="R72" i="4"/>
  <c r="AD73" i="3" s="1"/>
  <c r="S72" i="4"/>
  <c r="AE73" i="3" s="1"/>
  <c r="T72" i="4"/>
  <c r="AF73" i="3" s="1"/>
  <c r="U72" i="4"/>
  <c r="AG73" i="3" s="1"/>
  <c r="F71" i="4"/>
  <c r="G71" i="4"/>
  <c r="S72" i="3" s="1"/>
  <c r="H71" i="4"/>
  <c r="T72" i="3" s="1"/>
  <c r="I71" i="4"/>
  <c r="U72" i="3" s="1"/>
  <c r="J71" i="4"/>
  <c r="V72" i="3" s="1"/>
  <c r="K71" i="4"/>
  <c r="W72" i="3" s="1"/>
  <c r="L71" i="4"/>
  <c r="X72" i="3" s="1"/>
  <c r="M71" i="4"/>
  <c r="Y72" i="3" s="1"/>
  <c r="O71" i="4"/>
  <c r="AA72" i="3" s="1"/>
  <c r="P71" i="4"/>
  <c r="AB72" i="3" s="1"/>
  <c r="Q71" i="4"/>
  <c r="AC72" i="3" s="1"/>
  <c r="R71" i="4"/>
  <c r="AD72" i="3" s="1"/>
  <c r="S71" i="4"/>
  <c r="AE72" i="3" s="1"/>
  <c r="T71" i="4"/>
  <c r="AF72" i="3" s="1"/>
  <c r="U71" i="4"/>
  <c r="AG72" i="3" s="1"/>
  <c r="F70" i="4"/>
  <c r="G70" i="4"/>
  <c r="S71" i="3" s="1"/>
  <c r="H70" i="4"/>
  <c r="T71" i="3" s="1"/>
  <c r="I70" i="4"/>
  <c r="U71" i="3" s="1"/>
  <c r="J70" i="4"/>
  <c r="V71" i="3" s="1"/>
  <c r="K70" i="4"/>
  <c r="W71" i="3" s="1"/>
  <c r="L70" i="4"/>
  <c r="X71" i="3" s="1"/>
  <c r="M70" i="4"/>
  <c r="Y71" i="3" s="1"/>
  <c r="O70" i="4"/>
  <c r="AA71" i="3" s="1"/>
  <c r="P70" i="4"/>
  <c r="AB71" i="3" s="1"/>
  <c r="Q70" i="4"/>
  <c r="AC71" i="3" s="1"/>
  <c r="R70" i="4"/>
  <c r="AD71" i="3" s="1"/>
  <c r="S70" i="4"/>
  <c r="AE71" i="3" s="1"/>
  <c r="T70" i="4"/>
  <c r="AF71" i="3" s="1"/>
  <c r="U70" i="4"/>
  <c r="AG71" i="3" s="1"/>
  <c r="F69" i="4"/>
  <c r="G69" i="4"/>
  <c r="S70" i="3" s="1"/>
  <c r="H69" i="4"/>
  <c r="T70" i="3" s="1"/>
  <c r="I69" i="4"/>
  <c r="U70" i="3" s="1"/>
  <c r="J69" i="4"/>
  <c r="V70" i="3" s="1"/>
  <c r="K69" i="4"/>
  <c r="W70" i="3" s="1"/>
  <c r="L69" i="4"/>
  <c r="X70" i="3" s="1"/>
  <c r="M69" i="4"/>
  <c r="Y70" i="3" s="1"/>
  <c r="O69" i="4"/>
  <c r="AA70" i="3" s="1"/>
  <c r="P69" i="4"/>
  <c r="AB70" i="3" s="1"/>
  <c r="Q69" i="4"/>
  <c r="AC70" i="3" s="1"/>
  <c r="R69" i="4"/>
  <c r="AD70" i="3" s="1"/>
  <c r="S69" i="4"/>
  <c r="AE70" i="3" s="1"/>
  <c r="T69" i="4"/>
  <c r="AF70" i="3" s="1"/>
  <c r="U69" i="4"/>
  <c r="AG70" i="3" s="1"/>
  <c r="F68" i="4"/>
  <c r="G68" i="4"/>
  <c r="S69" i="3" s="1"/>
  <c r="H68" i="4"/>
  <c r="T69" i="3" s="1"/>
  <c r="I68" i="4"/>
  <c r="U69" i="3" s="1"/>
  <c r="J68" i="4"/>
  <c r="V69" i="3" s="1"/>
  <c r="K68" i="4"/>
  <c r="W69" i="3" s="1"/>
  <c r="L68" i="4"/>
  <c r="X69" i="3" s="1"/>
  <c r="M68" i="4"/>
  <c r="Y69" i="3" s="1"/>
  <c r="O68" i="4"/>
  <c r="AA69" i="3" s="1"/>
  <c r="P68" i="4"/>
  <c r="AB69" i="3" s="1"/>
  <c r="Q68" i="4"/>
  <c r="AC69" i="3" s="1"/>
  <c r="R68" i="4"/>
  <c r="AD69" i="3" s="1"/>
  <c r="S68" i="4"/>
  <c r="AE69" i="3" s="1"/>
  <c r="T68" i="4"/>
  <c r="AF69" i="3" s="1"/>
  <c r="U68" i="4"/>
  <c r="AG69" i="3" s="1"/>
  <c r="F67" i="4"/>
  <c r="G67" i="4"/>
  <c r="S68" i="3" s="1"/>
  <c r="H67" i="4"/>
  <c r="T68" i="3" s="1"/>
  <c r="I67" i="4"/>
  <c r="U68" i="3" s="1"/>
  <c r="J67" i="4"/>
  <c r="V68" i="3" s="1"/>
  <c r="K67" i="4"/>
  <c r="W68" i="3" s="1"/>
  <c r="L67" i="4"/>
  <c r="X68" i="3" s="1"/>
  <c r="M67" i="4"/>
  <c r="Y68" i="3" s="1"/>
  <c r="O67" i="4"/>
  <c r="AA68" i="3" s="1"/>
  <c r="P67" i="4"/>
  <c r="AB68" i="3" s="1"/>
  <c r="Q67" i="4"/>
  <c r="AC68" i="3" s="1"/>
  <c r="R67" i="4"/>
  <c r="AD68" i="3" s="1"/>
  <c r="S67" i="4"/>
  <c r="AE68" i="3" s="1"/>
  <c r="T67" i="4"/>
  <c r="AF68" i="3" s="1"/>
  <c r="U67" i="4"/>
  <c r="AG68" i="3" s="1"/>
  <c r="F66" i="4"/>
  <c r="G66" i="4"/>
  <c r="S67" i="3" s="1"/>
  <c r="H66" i="4"/>
  <c r="T67" i="3" s="1"/>
  <c r="I66" i="4"/>
  <c r="U67" i="3" s="1"/>
  <c r="J66" i="4"/>
  <c r="V67" i="3" s="1"/>
  <c r="K66" i="4"/>
  <c r="W67" i="3" s="1"/>
  <c r="L66" i="4"/>
  <c r="X67" i="3" s="1"/>
  <c r="M66" i="4"/>
  <c r="Y67" i="3" s="1"/>
  <c r="O66" i="4"/>
  <c r="AA67" i="3" s="1"/>
  <c r="P66" i="4"/>
  <c r="AB67" i="3" s="1"/>
  <c r="Q66" i="4"/>
  <c r="AC67" i="3" s="1"/>
  <c r="R66" i="4"/>
  <c r="AD67" i="3" s="1"/>
  <c r="S66" i="4"/>
  <c r="AE67" i="3" s="1"/>
  <c r="T66" i="4"/>
  <c r="AF67" i="3" s="1"/>
  <c r="U66" i="4"/>
  <c r="AG67" i="3" s="1"/>
  <c r="F65" i="4"/>
  <c r="G65" i="4"/>
  <c r="S66" i="3" s="1"/>
  <c r="H65" i="4"/>
  <c r="T66" i="3" s="1"/>
  <c r="I65" i="4"/>
  <c r="U66" i="3" s="1"/>
  <c r="J65" i="4"/>
  <c r="V66" i="3" s="1"/>
  <c r="K65" i="4"/>
  <c r="W66" i="3" s="1"/>
  <c r="L65" i="4"/>
  <c r="X66" i="3" s="1"/>
  <c r="M65" i="4"/>
  <c r="Y66" i="3" s="1"/>
  <c r="O65" i="4"/>
  <c r="AA66" i="3" s="1"/>
  <c r="P65" i="4"/>
  <c r="AB66" i="3" s="1"/>
  <c r="Q65" i="4"/>
  <c r="AC66" i="3" s="1"/>
  <c r="R65" i="4"/>
  <c r="AD66" i="3" s="1"/>
  <c r="S65" i="4"/>
  <c r="AE66" i="3" s="1"/>
  <c r="T65" i="4"/>
  <c r="AF66" i="3" s="1"/>
  <c r="U65" i="4"/>
  <c r="AG66" i="3" s="1"/>
  <c r="F64" i="4"/>
  <c r="G64" i="4"/>
  <c r="S65" i="3" s="1"/>
  <c r="H64" i="4"/>
  <c r="T65" i="3" s="1"/>
  <c r="I64" i="4"/>
  <c r="U65" i="3" s="1"/>
  <c r="J64" i="4"/>
  <c r="V65" i="3" s="1"/>
  <c r="K64" i="4"/>
  <c r="W65" i="3" s="1"/>
  <c r="L64" i="4"/>
  <c r="X65" i="3" s="1"/>
  <c r="M64" i="4"/>
  <c r="Y65" i="3" s="1"/>
  <c r="O64" i="4"/>
  <c r="AA65" i="3" s="1"/>
  <c r="P64" i="4"/>
  <c r="AB65" i="3" s="1"/>
  <c r="Q64" i="4"/>
  <c r="AC65" i="3" s="1"/>
  <c r="R64" i="4"/>
  <c r="AD65" i="3" s="1"/>
  <c r="S64" i="4"/>
  <c r="AE65" i="3" s="1"/>
  <c r="T64" i="4"/>
  <c r="AF65" i="3" s="1"/>
  <c r="U64" i="4"/>
  <c r="AG65" i="3" s="1"/>
  <c r="F63" i="4"/>
  <c r="G63" i="4"/>
  <c r="S64" i="3" s="1"/>
  <c r="H63" i="4"/>
  <c r="T64" i="3" s="1"/>
  <c r="I63" i="4"/>
  <c r="U64" i="3" s="1"/>
  <c r="J63" i="4"/>
  <c r="V64" i="3" s="1"/>
  <c r="K63" i="4"/>
  <c r="W64" i="3" s="1"/>
  <c r="L63" i="4"/>
  <c r="X64" i="3" s="1"/>
  <c r="M63" i="4"/>
  <c r="Y64" i="3" s="1"/>
  <c r="O63" i="4"/>
  <c r="AA64" i="3" s="1"/>
  <c r="P63" i="4"/>
  <c r="AB64" i="3" s="1"/>
  <c r="Q63" i="4"/>
  <c r="AC64" i="3" s="1"/>
  <c r="R63" i="4"/>
  <c r="AD64" i="3" s="1"/>
  <c r="S63" i="4"/>
  <c r="AE64" i="3" s="1"/>
  <c r="T63" i="4"/>
  <c r="AF64" i="3" s="1"/>
  <c r="U63" i="4"/>
  <c r="AG64" i="3" s="1"/>
  <c r="F62" i="4"/>
  <c r="G62" i="4"/>
  <c r="S63" i="3" s="1"/>
  <c r="H62" i="4"/>
  <c r="T63" i="3" s="1"/>
  <c r="I62" i="4"/>
  <c r="U63" i="3" s="1"/>
  <c r="J62" i="4"/>
  <c r="V63" i="3" s="1"/>
  <c r="K62" i="4"/>
  <c r="W63" i="3" s="1"/>
  <c r="L62" i="4"/>
  <c r="X63" i="3" s="1"/>
  <c r="M62" i="4"/>
  <c r="Y63" i="3" s="1"/>
  <c r="O62" i="4"/>
  <c r="AA63" i="3" s="1"/>
  <c r="P62" i="4"/>
  <c r="AB63" i="3" s="1"/>
  <c r="Q62" i="4"/>
  <c r="AC63" i="3" s="1"/>
  <c r="R62" i="4"/>
  <c r="AD63" i="3" s="1"/>
  <c r="S62" i="4"/>
  <c r="AE63" i="3" s="1"/>
  <c r="T62" i="4"/>
  <c r="AF63" i="3" s="1"/>
  <c r="U62" i="4"/>
  <c r="AG63" i="3" s="1"/>
  <c r="F61" i="4"/>
  <c r="G61" i="4"/>
  <c r="S62" i="3" s="1"/>
  <c r="H61" i="4"/>
  <c r="T62" i="3" s="1"/>
  <c r="I61" i="4"/>
  <c r="U62" i="3" s="1"/>
  <c r="J61" i="4"/>
  <c r="V62" i="3" s="1"/>
  <c r="K61" i="4"/>
  <c r="W62" i="3" s="1"/>
  <c r="L61" i="4"/>
  <c r="X62" i="3" s="1"/>
  <c r="M61" i="4"/>
  <c r="Y62" i="3" s="1"/>
  <c r="O61" i="4"/>
  <c r="AA62" i="3" s="1"/>
  <c r="P61" i="4"/>
  <c r="AB62" i="3" s="1"/>
  <c r="Q61" i="4"/>
  <c r="AC62" i="3" s="1"/>
  <c r="R61" i="4"/>
  <c r="AD62" i="3" s="1"/>
  <c r="S61" i="4"/>
  <c r="AE62" i="3" s="1"/>
  <c r="T61" i="4"/>
  <c r="AF62" i="3" s="1"/>
  <c r="U61" i="4"/>
  <c r="AG62" i="3" s="1"/>
  <c r="F60" i="4"/>
  <c r="G60" i="4"/>
  <c r="S61" i="3" s="1"/>
  <c r="H60" i="4"/>
  <c r="T61" i="3" s="1"/>
  <c r="I60" i="4"/>
  <c r="U61" i="3" s="1"/>
  <c r="J60" i="4"/>
  <c r="V61" i="3" s="1"/>
  <c r="K60" i="4"/>
  <c r="W61" i="3" s="1"/>
  <c r="L60" i="4"/>
  <c r="X61" i="3" s="1"/>
  <c r="M60" i="4"/>
  <c r="Y61" i="3" s="1"/>
  <c r="O60" i="4"/>
  <c r="AA61" i="3" s="1"/>
  <c r="P60" i="4"/>
  <c r="AB61" i="3" s="1"/>
  <c r="Q60" i="4"/>
  <c r="AC61" i="3" s="1"/>
  <c r="R60" i="4"/>
  <c r="AD61" i="3" s="1"/>
  <c r="S60" i="4"/>
  <c r="AE61" i="3" s="1"/>
  <c r="T60" i="4"/>
  <c r="AF61" i="3" s="1"/>
  <c r="U60" i="4"/>
  <c r="AG61" i="3" s="1"/>
  <c r="F59" i="4"/>
  <c r="G59" i="4"/>
  <c r="S60" i="3" s="1"/>
  <c r="H59" i="4"/>
  <c r="T60" i="3" s="1"/>
  <c r="I59" i="4"/>
  <c r="U60" i="3" s="1"/>
  <c r="J59" i="4"/>
  <c r="V60" i="3" s="1"/>
  <c r="K59" i="4"/>
  <c r="W60" i="3" s="1"/>
  <c r="L59" i="4"/>
  <c r="X60" i="3" s="1"/>
  <c r="M59" i="4"/>
  <c r="Y60" i="3" s="1"/>
  <c r="O59" i="4"/>
  <c r="AA60" i="3" s="1"/>
  <c r="P59" i="4"/>
  <c r="AB60" i="3" s="1"/>
  <c r="Q59" i="4"/>
  <c r="AC60" i="3" s="1"/>
  <c r="R59" i="4"/>
  <c r="AD60" i="3" s="1"/>
  <c r="S59" i="4"/>
  <c r="AE60" i="3" s="1"/>
  <c r="T59" i="4"/>
  <c r="AF60" i="3" s="1"/>
  <c r="U59" i="4"/>
  <c r="AG60" i="3" s="1"/>
  <c r="F58" i="4"/>
  <c r="G58" i="4"/>
  <c r="S59" i="3" s="1"/>
  <c r="H58" i="4"/>
  <c r="T59" i="3" s="1"/>
  <c r="I58" i="4"/>
  <c r="U59" i="3" s="1"/>
  <c r="J58" i="4"/>
  <c r="V59" i="3" s="1"/>
  <c r="K58" i="4"/>
  <c r="W59" i="3" s="1"/>
  <c r="L58" i="4"/>
  <c r="X59" i="3" s="1"/>
  <c r="M58" i="4"/>
  <c r="Y59" i="3" s="1"/>
  <c r="O58" i="4"/>
  <c r="AA59" i="3" s="1"/>
  <c r="P58" i="4"/>
  <c r="AB59" i="3" s="1"/>
  <c r="Q58" i="4"/>
  <c r="AC59" i="3" s="1"/>
  <c r="R58" i="4"/>
  <c r="AD59" i="3" s="1"/>
  <c r="S58" i="4"/>
  <c r="AE59" i="3" s="1"/>
  <c r="T58" i="4"/>
  <c r="AF59" i="3" s="1"/>
  <c r="U58" i="4"/>
  <c r="AG59" i="3" s="1"/>
  <c r="F57" i="4"/>
  <c r="G57" i="4"/>
  <c r="S58" i="3" s="1"/>
  <c r="H57" i="4"/>
  <c r="T58" i="3" s="1"/>
  <c r="I57" i="4"/>
  <c r="U58" i="3" s="1"/>
  <c r="J57" i="4"/>
  <c r="V58" i="3" s="1"/>
  <c r="K57" i="4"/>
  <c r="W58" i="3" s="1"/>
  <c r="L57" i="4"/>
  <c r="X58" i="3" s="1"/>
  <c r="M57" i="4"/>
  <c r="Y58" i="3" s="1"/>
  <c r="O57" i="4"/>
  <c r="AA58" i="3" s="1"/>
  <c r="P57" i="4"/>
  <c r="AB58" i="3" s="1"/>
  <c r="Q57" i="4"/>
  <c r="AC58" i="3" s="1"/>
  <c r="R57" i="4"/>
  <c r="AD58" i="3" s="1"/>
  <c r="S57" i="4"/>
  <c r="AE58" i="3" s="1"/>
  <c r="T57" i="4"/>
  <c r="AF58" i="3" s="1"/>
  <c r="U57" i="4"/>
  <c r="AG58" i="3" s="1"/>
  <c r="F56" i="4"/>
  <c r="G56" i="4"/>
  <c r="S57" i="3" s="1"/>
  <c r="H56" i="4"/>
  <c r="T57" i="3" s="1"/>
  <c r="I56" i="4"/>
  <c r="U57" i="3" s="1"/>
  <c r="J56" i="4"/>
  <c r="V57" i="3" s="1"/>
  <c r="K56" i="4"/>
  <c r="W57" i="3" s="1"/>
  <c r="L56" i="4"/>
  <c r="X57" i="3" s="1"/>
  <c r="M56" i="4"/>
  <c r="Y57" i="3" s="1"/>
  <c r="O56" i="4"/>
  <c r="AA57" i="3" s="1"/>
  <c r="P56" i="4"/>
  <c r="AB57" i="3" s="1"/>
  <c r="Q56" i="4"/>
  <c r="AC57" i="3" s="1"/>
  <c r="R56" i="4"/>
  <c r="AD57" i="3" s="1"/>
  <c r="S56" i="4"/>
  <c r="AE57" i="3" s="1"/>
  <c r="T56" i="4"/>
  <c r="AF57" i="3" s="1"/>
  <c r="U56" i="4"/>
  <c r="AG57" i="3" s="1"/>
  <c r="F54" i="4"/>
  <c r="G54" i="4"/>
  <c r="S55" i="3" s="1"/>
  <c r="H54" i="4"/>
  <c r="T55" i="3" s="1"/>
  <c r="I54" i="4"/>
  <c r="U55" i="3" s="1"/>
  <c r="J54" i="4"/>
  <c r="V55" i="3" s="1"/>
  <c r="K54" i="4"/>
  <c r="W55" i="3" s="1"/>
  <c r="L54" i="4"/>
  <c r="X55" i="3" s="1"/>
  <c r="M54" i="4"/>
  <c r="Y55" i="3" s="1"/>
  <c r="O54" i="4"/>
  <c r="AA55" i="3" s="1"/>
  <c r="P54" i="4"/>
  <c r="AB55" i="3" s="1"/>
  <c r="Q54" i="4"/>
  <c r="AC55" i="3" s="1"/>
  <c r="R54" i="4"/>
  <c r="AD55" i="3" s="1"/>
  <c r="S54" i="4"/>
  <c r="AE55" i="3" s="1"/>
  <c r="T54" i="4"/>
  <c r="AF55" i="3" s="1"/>
  <c r="U54" i="4"/>
  <c r="AG55" i="3" s="1"/>
  <c r="F53" i="4"/>
  <c r="G53" i="4"/>
  <c r="S54" i="3" s="1"/>
  <c r="H53" i="4"/>
  <c r="T54" i="3" s="1"/>
  <c r="I53" i="4"/>
  <c r="U54" i="3" s="1"/>
  <c r="J53" i="4"/>
  <c r="V54" i="3" s="1"/>
  <c r="K53" i="4"/>
  <c r="W54" i="3" s="1"/>
  <c r="L53" i="4"/>
  <c r="X54" i="3" s="1"/>
  <c r="M53" i="4"/>
  <c r="Y54" i="3" s="1"/>
  <c r="O53" i="4"/>
  <c r="AA54" i="3" s="1"/>
  <c r="P53" i="4"/>
  <c r="AB54" i="3" s="1"/>
  <c r="Q53" i="4"/>
  <c r="AC54" i="3" s="1"/>
  <c r="R53" i="4"/>
  <c r="AD54" i="3" s="1"/>
  <c r="S53" i="4"/>
  <c r="AE54" i="3" s="1"/>
  <c r="T53" i="4"/>
  <c r="AF54" i="3" s="1"/>
  <c r="U53" i="4"/>
  <c r="AG54" i="3" s="1"/>
  <c r="F52" i="4"/>
  <c r="G52" i="4"/>
  <c r="S53" i="3" s="1"/>
  <c r="H52" i="4"/>
  <c r="T53" i="3" s="1"/>
  <c r="I52" i="4"/>
  <c r="U53" i="3" s="1"/>
  <c r="J52" i="4"/>
  <c r="V53" i="3" s="1"/>
  <c r="K52" i="4"/>
  <c r="W53" i="3" s="1"/>
  <c r="L52" i="4"/>
  <c r="X53" i="3" s="1"/>
  <c r="M52" i="4"/>
  <c r="Y53" i="3" s="1"/>
  <c r="O52" i="4"/>
  <c r="AA53" i="3" s="1"/>
  <c r="P52" i="4"/>
  <c r="AB53" i="3" s="1"/>
  <c r="Q52" i="4"/>
  <c r="AC53" i="3" s="1"/>
  <c r="R52" i="4"/>
  <c r="AD53" i="3" s="1"/>
  <c r="S52" i="4"/>
  <c r="AE53" i="3" s="1"/>
  <c r="T52" i="4"/>
  <c r="AF53" i="3" s="1"/>
  <c r="U52" i="4"/>
  <c r="AG53" i="3" s="1"/>
  <c r="F51" i="4"/>
  <c r="G51" i="4"/>
  <c r="S52" i="3" s="1"/>
  <c r="H51" i="4"/>
  <c r="T52" i="3" s="1"/>
  <c r="I51" i="4"/>
  <c r="U52" i="3" s="1"/>
  <c r="J51" i="4"/>
  <c r="V52" i="3" s="1"/>
  <c r="K51" i="4"/>
  <c r="W52" i="3" s="1"/>
  <c r="L51" i="4"/>
  <c r="X52" i="3" s="1"/>
  <c r="M51" i="4"/>
  <c r="Y52" i="3" s="1"/>
  <c r="O51" i="4"/>
  <c r="AA52" i="3" s="1"/>
  <c r="P51" i="4"/>
  <c r="AB52" i="3" s="1"/>
  <c r="Q51" i="4"/>
  <c r="AC52" i="3" s="1"/>
  <c r="R51" i="4"/>
  <c r="AD52" i="3" s="1"/>
  <c r="S51" i="4"/>
  <c r="AE52" i="3" s="1"/>
  <c r="T51" i="4"/>
  <c r="AF52" i="3" s="1"/>
  <c r="U51" i="4"/>
  <c r="AG52" i="3" s="1"/>
  <c r="F50" i="4"/>
  <c r="G50" i="4"/>
  <c r="S51" i="3" s="1"/>
  <c r="H50" i="4"/>
  <c r="T51" i="3" s="1"/>
  <c r="I50" i="4"/>
  <c r="U51" i="3" s="1"/>
  <c r="J50" i="4"/>
  <c r="V51" i="3" s="1"/>
  <c r="K50" i="4"/>
  <c r="W51" i="3" s="1"/>
  <c r="L50" i="4"/>
  <c r="X51" i="3" s="1"/>
  <c r="M50" i="4"/>
  <c r="Y51" i="3" s="1"/>
  <c r="O50" i="4"/>
  <c r="AA51" i="3" s="1"/>
  <c r="P50" i="4"/>
  <c r="AB51" i="3" s="1"/>
  <c r="Q50" i="4"/>
  <c r="AC51" i="3" s="1"/>
  <c r="R50" i="4"/>
  <c r="AD51" i="3" s="1"/>
  <c r="S50" i="4"/>
  <c r="AE51" i="3" s="1"/>
  <c r="T50" i="4"/>
  <c r="AF51" i="3" s="1"/>
  <c r="U50" i="4"/>
  <c r="AG51" i="3" s="1"/>
  <c r="F49" i="4"/>
  <c r="G49" i="4"/>
  <c r="S50" i="3" s="1"/>
  <c r="H49" i="4"/>
  <c r="T50" i="3" s="1"/>
  <c r="I49" i="4"/>
  <c r="U50" i="3" s="1"/>
  <c r="J49" i="4"/>
  <c r="V50" i="3" s="1"/>
  <c r="K49" i="4"/>
  <c r="W50" i="3" s="1"/>
  <c r="L49" i="4"/>
  <c r="X50" i="3" s="1"/>
  <c r="M49" i="4"/>
  <c r="Y50" i="3" s="1"/>
  <c r="O49" i="4"/>
  <c r="AA50" i="3" s="1"/>
  <c r="P49" i="4"/>
  <c r="AB50" i="3" s="1"/>
  <c r="Q49" i="4"/>
  <c r="AC50" i="3" s="1"/>
  <c r="R49" i="4"/>
  <c r="AD50" i="3" s="1"/>
  <c r="S49" i="4"/>
  <c r="AE50" i="3" s="1"/>
  <c r="T49" i="4"/>
  <c r="AF50" i="3" s="1"/>
  <c r="U49" i="4"/>
  <c r="AG50" i="3" s="1"/>
  <c r="F48" i="4"/>
  <c r="G48" i="4"/>
  <c r="S49" i="3" s="1"/>
  <c r="H48" i="4"/>
  <c r="T49" i="3" s="1"/>
  <c r="I48" i="4"/>
  <c r="U49" i="3" s="1"/>
  <c r="J48" i="4"/>
  <c r="V49" i="3" s="1"/>
  <c r="K48" i="4"/>
  <c r="W49" i="3" s="1"/>
  <c r="L48" i="4"/>
  <c r="X49" i="3" s="1"/>
  <c r="M48" i="4"/>
  <c r="Y49" i="3" s="1"/>
  <c r="O48" i="4"/>
  <c r="AA49" i="3" s="1"/>
  <c r="P48" i="4"/>
  <c r="AB49" i="3" s="1"/>
  <c r="Q48" i="4"/>
  <c r="AC49" i="3" s="1"/>
  <c r="R48" i="4"/>
  <c r="AD49" i="3" s="1"/>
  <c r="S48" i="4"/>
  <c r="AE49" i="3" s="1"/>
  <c r="T48" i="4"/>
  <c r="AF49" i="3" s="1"/>
  <c r="U48" i="4"/>
  <c r="AG49" i="3" s="1"/>
  <c r="F47" i="4"/>
  <c r="G47" i="4"/>
  <c r="S48" i="3" s="1"/>
  <c r="H47" i="4"/>
  <c r="T48" i="3" s="1"/>
  <c r="I47" i="4"/>
  <c r="U48" i="3" s="1"/>
  <c r="J47" i="4"/>
  <c r="V48" i="3" s="1"/>
  <c r="K47" i="4"/>
  <c r="W48" i="3" s="1"/>
  <c r="L47" i="4"/>
  <c r="X48" i="3" s="1"/>
  <c r="M47" i="4"/>
  <c r="Y48" i="3" s="1"/>
  <c r="O47" i="4"/>
  <c r="AA48" i="3" s="1"/>
  <c r="P47" i="4"/>
  <c r="AB48" i="3" s="1"/>
  <c r="Q47" i="4"/>
  <c r="AC48" i="3" s="1"/>
  <c r="R47" i="4"/>
  <c r="AD48" i="3" s="1"/>
  <c r="S47" i="4"/>
  <c r="AE48" i="3" s="1"/>
  <c r="T47" i="4"/>
  <c r="AF48" i="3" s="1"/>
  <c r="U47" i="4"/>
  <c r="AG48" i="3" s="1"/>
  <c r="F46" i="4"/>
  <c r="G46" i="4"/>
  <c r="S47" i="3" s="1"/>
  <c r="H46" i="4"/>
  <c r="T47" i="3" s="1"/>
  <c r="I46" i="4"/>
  <c r="U47" i="3" s="1"/>
  <c r="J46" i="4"/>
  <c r="V47" i="3" s="1"/>
  <c r="K46" i="4"/>
  <c r="W47" i="3" s="1"/>
  <c r="L46" i="4"/>
  <c r="X47" i="3" s="1"/>
  <c r="M46" i="4"/>
  <c r="Y47" i="3" s="1"/>
  <c r="O46" i="4"/>
  <c r="AA47" i="3" s="1"/>
  <c r="P46" i="4"/>
  <c r="AB47" i="3" s="1"/>
  <c r="Q46" i="4"/>
  <c r="AC47" i="3" s="1"/>
  <c r="R46" i="4"/>
  <c r="AD47" i="3" s="1"/>
  <c r="S46" i="4"/>
  <c r="AE47" i="3" s="1"/>
  <c r="T46" i="4"/>
  <c r="AF47" i="3" s="1"/>
  <c r="U46" i="4"/>
  <c r="AG47" i="3" s="1"/>
  <c r="F45" i="4"/>
  <c r="G45" i="4"/>
  <c r="S46" i="3" s="1"/>
  <c r="H45" i="4"/>
  <c r="T46" i="3" s="1"/>
  <c r="I45" i="4"/>
  <c r="U46" i="3" s="1"/>
  <c r="J45" i="4"/>
  <c r="V46" i="3" s="1"/>
  <c r="K45" i="4"/>
  <c r="W46" i="3" s="1"/>
  <c r="L45" i="4"/>
  <c r="X46" i="3" s="1"/>
  <c r="M45" i="4"/>
  <c r="Y46" i="3" s="1"/>
  <c r="O45" i="4"/>
  <c r="AA46" i="3" s="1"/>
  <c r="P45" i="4"/>
  <c r="AB46" i="3" s="1"/>
  <c r="Q45" i="4"/>
  <c r="AC46" i="3" s="1"/>
  <c r="R45" i="4"/>
  <c r="AD46" i="3" s="1"/>
  <c r="S45" i="4"/>
  <c r="AE46" i="3" s="1"/>
  <c r="T45" i="4"/>
  <c r="AF46" i="3" s="1"/>
  <c r="U45" i="4"/>
  <c r="AG46" i="3" s="1"/>
  <c r="F44" i="4"/>
  <c r="G44" i="4"/>
  <c r="S45" i="3" s="1"/>
  <c r="H44" i="4"/>
  <c r="T45" i="3" s="1"/>
  <c r="I44" i="4"/>
  <c r="U45" i="3" s="1"/>
  <c r="J44" i="4"/>
  <c r="V45" i="3" s="1"/>
  <c r="K44" i="4"/>
  <c r="W45" i="3" s="1"/>
  <c r="L44" i="4"/>
  <c r="X45" i="3" s="1"/>
  <c r="M44" i="4"/>
  <c r="Y45" i="3" s="1"/>
  <c r="O44" i="4"/>
  <c r="AA45" i="3" s="1"/>
  <c r="P44" i="4"/>
  <c r="AB45" i="3" s="1"/>
  <c r="Q44" i="4"/>
  <c r="AC45" i="3" s="1"/>
  <c r="R44" i="4"/>
  <c r="AD45" i="3" s="1"/>
  <c r="S44" i="4"/>
  <c r="AE45" i="3" s="1"/>
  <c r="T44" i="4"/>
  <c r="AF45" i="3" s="1"/>
  <c r="U44" i="4"/>
  <c r="AG45" i="3" s="1"/>
  <c r="F43" i="4"/>
  <c r="G43" i="4"/>
  <c r="S44" i="3" s="1"/>
  <c r="H43" i="4"/>
  <c r="T44" i="3" s="1"/>
  <c r="I43" i="4"/>
  <c r="U44" i="3" s="1"/>
  <c r="J43" i="4"/>
  <c r="V44" i="3" s="1"/>
  <c r="K43" i="4"/>
  <c r="W44" i="3" s="1"/>
  <c r="L43" i="4"/>
  <c r="X44" i="3" s="1"/>
  <c r="M43" i="4"/>
  <c r="Y44" i="3" s="1"/>
  <c r="O43" i="4"/>
  <c r="AA44" i="3" s="1"/>
  <c r="P43" i="4"/>
  <c r="AB44" i="3" s="1"/>
  <c r="Q43" i="4"/>
  <c r="AC44" i="3" s="1"/>
  <c r="R43" i="4"/>
  <c r="AD44" i="3" s="1"/>
  <c r="S43" i="4"/>
  <c r="AE44" i="3" s="1"/>
  <c r="T43" i="4"/>
  <c r="AF44" i="3" s="1"/>
  <c r="U43" i="4"/>
  <c r="AG44" i="3" s="1"/>
  <c r="F42" i="4"/>
  <c r="G42" i="4"/>
  <c r="S43" i="3" s="1"/>
  <c r="H42" i="4"/>
  <c r="T43" i="3" s="1"/>
  <c r="I42" i="4"/>
  <c r="U43" i="3" s="1"/>
  <c r="J42" i="4"/>
  <c r="V43" i="3" s="1"/>
  <c r="K42" i="4"/>
  <c r="W43" i="3" s="1"/>
  <c r="L42" i="4"/>
  <c r="X43" i="3" s="1"/>
  <c r="M42" i="4"/>
  <c r="Y43" i="3" s="1"/>
  <c r="O42" i="4"/>
  <c r="AA43" i="3" s="1"/>
  <c r="P42" i="4"/>
  <c r="AB43" i="3" s="1"/>
  <c r="Q42" i="4"/>
  <c r="AC43" i="3" s="1"/>
  <c r="R42" i="4"/>
  <c r="AD43" i="3" s="1"/>
  <c r="S42" i="4"/>
  <c r="AE43" i="3" s="1"/>
  <c r="T42" i="4"/>
  <c r="AF43" i="3" s="1"/>
  <c r="U42" i="4"/>
  <c r="AG43" i="3" s="1"/>
  <c r="F41" i="4"/>
  <c r="G41" i="4"/>
  <c r="S42" i="3" s="1"/>
  <c r="H41" i="4"/>
  <c r="T42" i="3" s="1"/>
  <c r="I41" i="4"/>
  <c r="U42" i="3" s="1"/>
  <c r="J41" i="4"/>
  <c r="V42" i="3" s="1"/>
  <c r="K41" i="4"/>
  <c r="W42" i="3" s="1"/>
  <c r="L41" i="4"/>
  <c r="X42" i="3" s="1"/>
  <c r="M41" i="4"/>
  <c r="Y42" i="3" s="1"/>
  <c r="O41" i="4"/>
  <c r="AA42" i="3" s="1"/>
  <c r="P41" i="4"/>
  <c r="AB42" i="3" s="1"/>
  <c r="Q41" i="4"/>
  <c r="AC42" i="3" s="1"/>
  <c r="R41" i="4"/>
  <c r="AD42" i="3" s="1"/>
  <c r="S41" i="4"/>
  <c r="AE42" i="3" s="1"/>
  <c r="T41" i="4"/>
  <c r="AF42" i="3" s="1"/>
  <c r="U41" i="4"/>
  <c r="AG42" i="3" s="1"/>
  <c r="F40" i="4"/>
  <c r="G40" i="4"/>
  <c r="S41" i="3" s="1"/>
  <c r="H40" i="4"/>
  <c r="T41" i="3" s="1"/>
  <c r="I40" i="4"/>
  <c r="U41" i="3" s="1"/>
  <c r="J40" i="4"/>
  <c r="V41" i="3" s="1"/>
  <c r="K40" i="4"/>
  <c r="W41" i="3" s="1"/>
  <c r="L40" i="4"/>
  <c r="X41" i="3" s="1"/>
  <c r="M40" i="4"/>
  <c r="Y41" i="3" s="1"/>
  <c r="O40" i="4"/>
  <c r="AA41" i="3" s="1"/>
  <c r="P40" i="4"/>
  <c r="AB41" i="3" s="1"/>
  <c r="Q40" i="4"/>
  <c r="AC41" i="3" s="1"/>
  <c r="R40" i="4"/>
  <c r="AD41" i="3" s="1"/>
  <c r="S40" i="4"/>
  <c r="AE41" i="3" s="1"/>
  <c r="T40" i="4"/>
  <c r="AF41" i="3" s="1"/>
  <c r="U40" i="4"/>
  <c r="AG41" i="3" s="1"/>
  <c r="F39" i="4"/>
  <c r="G39" i="4"/>
  <c r="S40" i="3" s="1"/>
  <c r="H39" i="4"/>
  <c r="T40" i="3" s="1"/>
  <c r="I39" i="4"/>
  <c r="U40" i="3" s="1"/>
  <c r="J39" i="4"/>
  <c r="V40" i="3" s="1"/>
  <c r="K39" i="4"/>
  <c r="W40" i="3" s="1"/>
  <c r="L39" i="4"/>
  <c r="X40" i="3" s="1"/>
  <c r="M39" i="4"/>
  <c r="Y40" i="3" s="1"/>
  <c r="O39" i="4"/>
  <c r="AA40" i="3" s="1"/>
  <c r="P39" i="4"/>
  <c r="AB40" i="3" s="1"/>
  <c r="Q39" i="4"/>
  <c r="AC40" i="3" s="1"/>
  <c r="R39" i="4"/>
  <c r="AD40" i="3" s="1"/>
  <c r="S39" i="4"/>
  <c r="AE40" i="3" s="1"/>
  <c r="T39" i="4"/>
  <c r="AF40" i="3" s="1"/>
  <c r="U39" i="4"/>
  <c r="AG40" i="3" s="1"/>
  <c r="F38" i="4"/>
  <c r="G38" i="4"/>
  <c r="S39" i="3" s="1"/>
  <c r="H38" i="4"/>
  <c r="T39" i="3" s="1"/>
  <c r="I38" i="4"/>
  <c r="U39" i="3" s="1"/>
  <c r="J38" i="4"/>
  <c r="V39" i="3" s="1"/>
  <c r="K38" i="4"/>
  <c r="W39" i="3" s="1"/>
  <c r="L38" i="4"/>
  <c r="X39" i="3" s="1"/>
  <c r="M38" i="4"/>
  <c r="Y39" i="3" s="1"/>
  <c r="O38" i="4"/>
  <c r="AA39" i="3" s="1"/>
  <c r="P38" i="4"/>
  <c r="AB39" i="3" s="1"/>
  <c r="Q38" i="4"/>
  <c r="AC39" i="3" s="1"/>
  <c r="R38" i="4"/>
  <c r="AD39" i="3" s="1"/>
  <c r="S38" i="4"/>
  <c r="AE39" i="3" s="1"/>
  <c r="T38" i="4"/>
  <c r="AF39" i="3" s="1"/>
  <c r="U38" i="4"/>
  <c r="AG39" i="3" s="1"/>
  <c r="F37" i="4"/>
  <c r="G37" i="4"/>
  <c r="S38" i="3" s="1"/>
  <c r="H37" i="4"/>
  <c r="T38" i="3" s="1"/>
  <c r="I37" i="4"/>
  <c r="U38" i="3" s="1"/>
  <c r="J37" i="4"/>
  <c r="V38" i="3" s="1"/>
  <c r="K37" i="4"/>
  <c r="W38" i="3" s="1"/>
  <c r="L37" i="4"/>
  <c r="X38" i="3" s="1"/>
  <c r="M37" i="4"/>
  <c r="Y38" i="3" s="1"/>
  <c r="O37" i="4"/>
  <c r="AA38" i="3" s="1"/>
  <c r="P37" i="4"/>
  <c r="AB38" i="3" s="1"/>
  <c r="Q37" i="4"/>
  <c r="AC38" i="3" s="1"/>
  <c r="R37" i="4"/>
  <c r="AD38" i="3" s="1"/>
  <c r="S37" i="4"/>
  <c r="AE38" i="3" s="1"/>
  <c r="T37" i="4"/>
  <c r="AF38" i="3" s="1"/>
  <c r="U37" i="4"/>
  <c r="AG38" i="3" s="1"/>
  <c r="F36" i="4"/>
  <c r="G36" i="4"/>
  <c r="S37" i="3" s="1"/>
  <c r="H36" i="4"/>
  <c r="T37" i="3" s="1"/>
  <c r="I36" i="4"/>
  <c r="U37" i="3" s="1"/>
  <c r="J36" i="4"/>
  <c r="V37" i="3" s="1"/>
  <c r="K36" i="4"/>
  <c r="W37" i="3" s="1"/>
  <c r="L36" i="4"/>
  <c r="X37" i="3" s="1"/>
  <c r="M36" i="4"/>
  <c r="Y37" i="3" s="1"/>
  <c r="O36" i="4"/>
  <c r="AA37" i="3" s="1"/>
  <c r="P36" i="4"/>
  <c r="AB37" i="3" s="1"/>
  <c r="Q36" i="4"/>
  <c r="AC37" i="3" s="1"/>
  <c r="R36" i="4"/>
  <c r="AD37" i="3" s="1"/>
  <c r="S36" i="4"/>
  <c r="AE37" i="3" s="1"/>
  <c r="T36" i="4"/>
  <c r="AF37" i="3" s="1"/>
  <c r="U36" i="4"/>
  <c r="AG37" i="3" s="1"/>
  <c r="F35" i="4"/>
  <c r="G35" i="4"/>
  <c r="S36" i="3" s="1"/>
  <c r="H35" i="4"/>
  <c r="T36" i="3" s="1"/>
  <c r="I35" i="4"/>
  <c r="U36" i="3" s="1"/>
  <c r="J35" i="4"/>
  <c r="V36" i="3" s="1"/>
  <c r="K35" i="4"/>
  <c r="W36" i="3" s="1"/>
  <c r="L35" i="4"/>
  <c r="X36" i="3" s="1"/>
  <c r="M35" i="4"/>
  <c r="Y36" i="3" s="1"/>
  <c r="O35" i="4"/>
  <c r="AA36" i="3" s="1"/>
  <c r="P35" i="4"/>
  <c r="AB36" i="3" s="1"/>
  <c r="Q35" i="4"/>
  <c r="AC36" i="3" s="1"/>
  <c r="R35" i="4"/>
  <c r="AD36" i="3" s="1"/>
  <c r="S35" i="4"/>
  <c r="AE36" i="3" s="1"/>
  <c r="T35" i="4"/>
  <c r="AF36" i="3" s="1"/>
  <c r="U35" i="4"/>
  <c r="AG36" i="3" s="1"/>
  <c r="F34" i="4"/>
  <c r="G34" i="4"/>
  <c r="S35" i="3" s="1"/>
  <c r="H34" i="4"/>
  <c r="T35" i="3" s="1"/>
  <c r="I34" i="4"/>
  <c r="U35" i="3" s="1"/>
  <c r="J34" i="4"/>
  <c r="V35" i="3" s="1"/>
  <c r="K34" i="4"/>
  <c r="W35" i="3" s="1"/>
  <c r="L34" i="4"/>
  <c r="X35" i="3" s="1"/>
  <c r="M34" i="4"/>
  <c r="Y35" i="3" s="1"/>
  <c r="O34" i="4"/>
  <c r="AA35" i="3" s="1"/>
  <c r="P34" i="4"/>
  <c r="AB35" i="3" s="1"/>
  <c r="Q34" i="4"/>
  <c r="AC35" i="3" s="1"/>
  <c r="R34" i="4"/>
  <c r="AD35" i="3" s="1"/>
  <c r="S34" i="4"/>
  <c r="AE35" i="3" s="1"/>
  <c r="T34" i="4"/>
  <c r="AF35" i="3" s="1"/>
  <c r="U34" i="4"/>
  <c r="AG35" i="3" s="1"/>
  <c r="F33" i="4"/>
  <c r="G33" i="4"/>
  <c r="S34" i="3" s="1"/>
  <c r="H33" i="4"/>
  <c r="T34" i="3" s="1"/>
  <c r="I33" i="4"/>
  <c r="U34" i="3" s="1"/>
  <c r="J33" i="4"/>
  <c r="V34" i="3" s="1"/>
  <c r="K33" i="4"/>
  <c r="W34" i="3" s="1"/>
  <c r="L33" i="4"/>
  <c r="X34" i="3" s="1"/>
  <c r="M33" i="4"/>
  <c r="Y34" i="3" s="1"/>
  <c r="O33" i="4"/>
  <c r="AA34" i="3" s="1"/>
  <c r="P33" i="4"/>
  <c r="AB34" i="3" s="1"/>
  <c r="Q33" i="4"/>
  <c r="AC34" i="3" s="1"/>
  <c r="R33" i="4"/>
  <c r="AD34" i="3" s="1"/>
  <c r="S33" i="4"/>
  <c r="AE34" i="3" s="1"/>
  <c r="T33" i="4"/>
  <c r="AF34" i="3" s="1"/>
  <c r="U33" i="4"/>
  <c r="AG34" i="3" s="1"/>
  <c r="F32" i="4"/>
  <c r="G32" i="4"/>
  <c r="S33" i="3" s="1"/>
  <c r="H32" i="4"/>
  <c r="T33" i="3" s="1"/>
  <c r="I32" i="4"/>
  <c r="U33" i="3" s="1"/>
  <c r="J32" i="4"/>
  <c r="V33" i="3" s="1"/>
  <c r="K32" i="4"/>
  <c r="W33" i="3" s="1"/>
  <c r="L32" i="4"/>
  <c r="X33" i="3" s="1"/>
  <c r="M32" i="4"/>
  <c r="Y33" i="3" s="1"/>
  <c r="O32" i="4"/>
  <c r="AA33" i="3" s="1"/>
  <c r="P32" i="4"/>
  <c r="AB33" i="3" s="1"/>
  <c r="Q32" i="4"/>
  <c r="AC33" i="3" s="1"/>
  <c r="R32" i="4"/>
  <c r="AD33" i="3" s="1"/>
  <c r="S32" i="4"/>
  <c r="AE33" i="3" s="1"/>
  <c r="T32" i="4"/>
  <c r="AF33" i="3" s="1"/>
  <c r="U32" i="4"/>
  <c r="AG33" i="3" s="1"/>
  <c r="F31" i="4"/>
  <c r="G31" i="4"/>
  <c r="S32" i="3" s="1"/>
  <c r="H31" i="4"/>
  <c r="T32" i="3" s="1"/>
  <c r="I31" i="4"/>
  <c r="U32" i="3" s="1"/>
  <c r="J31" i="4"/>
  <c r="V32" i="3" s="1"/>
  <c r="K31" i="4"/>
  <c r="W32" i="3" s="1"/>
  <c r="L31" i="4"/>
  <c r="X32" i="3" s="1"/>
  <c r="M31" i="4"/>
  <c r="Y32" i="3" s="1"/>
  <c r="O31" i="4"/>
  <c r="AA32" i="3" s="1"/>
  <c r="P31" i="4"/>
  <c r="AB32" i="3" s="1"/>
  <c r="Q31" i="4"/>
  <c r="AC32" i="3" s="1"/>
  <c r="R31" i="4"/>
  <c r="AD32" i="3" s="1"/>
  <c r="S31" i="4"/>
  <c r="AE32" i="3" s="1"/>
  <c r="T31" i="4"/>
  <c r="AF32" i="3" s="1"/>
  <c r="U31" i="4"/>
  <c r="AG32" i="3" s="1"/>
  <c r="F30" i="4"/>
  <c r="G30" i="4"/>
  <c r="S31" i="3" s="1"/>
  <c r="H30" i="4"/>
  <c r="T31" i="3" s="1"/>
  <c r="I30" i="4"/>
  <c r="U31" i="3" s="1"/>
  <c r="J30" i="4"/>
  <c r="V31" i="3" s="1"/>
  <c r="K30" i="4"/>
  <c r="W31" i="3" s="1"/>
  <c r="L30" i="4"/>
  <c r="X31" i="3" s="1"/>
  <c r="M30" i="4"/>
  <c r="Y31" i="3" s="1"/>
  <c r="O30" i="4"/>
  <c r="AA31" i="3" s="1"/>
  <c r="P30" i="4"/>
  <c r="AB31" i="3" s="1"/>
  <c r="Q30" i="4"/>
  <c r="AC31" i="3" s="1"/>
  <c r="R30" i="4"/>
  <c r="AD31" i="3" s="1"/>
  <c r="S30" i="4"/>
  <c r="AE31" i="3" s="1"/>
  <c r="T30" i="4"/>
  <c r="AF31" i="3" s="1"/>
  <c r="U30" i="4"/>
  <c r="AG31" i="3" s="1"/>
  <c r="F29" i="4"/>
  <c r="G29" i="4"/>
  <c r="S30" i="3" s="1"/>
  <c r="H29" i="4"/>
  <c r="T30" i="3" s="1"/>
  <c r="I29" i="4"/>
  <c r="U30" i="3" s="1"/>
  <c r="J29" i="4"/>
  <c r="V30" i="3" s="1"/>
  <c r="K29" i="4"/>
  <c r="W30" i="3" s="1"/>
  <c r="L29" i="4"/>
  <c r="X30" i="3" s="1"/>
  <c r="M29" i="4"/>
  <c r="Y30" i="3" s="1"/>
  <c r="O29" i="4"/>
  <c r="AA30" i="3" s="1"/>
  <c r="P29" i="4"/>
  <c r="AB30" i="3" s="1"/>
  <c r="Q29" i="4"/>
  <c r="AC30" i="3" s="1"/>
  <c r="R29" i="4"/>
  <c r="AD30" i="3" s="1"/>
  <c r="S29" i="4"/>
  <c r="AE30" i="3" s="1"/>
  <c r="T29" i="4"/>
  <c r="AF30" i="3" s="1"/>
  <c r="U29" i="4"/>
  <c r="AG30" i="3" s="1"/>
  <c r="F28" i="4"/>
  <c r="G28" i="4"/>
  <c r="S29" i="3" s="1"/>
  <c r="H28" i="4"/>
  <c r="T29" i="3" s="1"/>
  <c r="I28" i="4"/>
  <c r="U29" i="3" s="1"/>
  <c r="J28" i="4"/>
  <c r="V29" i="3" s="1"/>
  <c r="K28" i="4"/>
  <c r="W29" i="3" s="1"/>
  <c r="L28" i="4"/>
  <c r="X29" i="3" s="1"/>
  <c r="M28" i="4"/>
  <c r="Y29" i="3" s="1"/>
  <c r="O28" i="4"/>
  <c r="AA29" i="3" s="1"/>
  <c r="P28" i="4"/>
  <c r="AB29" i="3" s="1"/>
  <c r="Q28" i="4"/>
  <c r="AC29" i="3" s="1"/>
  <c r="R28" i="4"/>
  <c r="AD29" i="3" s="1"/>
  <c r="S28" i="4"/>
  <c r="AE29" i="3" s="1"/>
  <c r="T28" i="4"/>
  <c r="AF29" i="3" s="1"/>
  <c r="U28" i="4"/>
  <c r="AG29" i="3" s="1"/>
  <c r="F27" i="4"/>
  <c r="G27" i="4"/>
  <c r="S28" i="3" s="1"/>
  <c r="H27" i="4"/>
  <c r="T28" i="3" s="1"/>
  <c r="I27" i="4"/>
  <c r="U28" i="3" s="1"/>
  <c r="J27" i="4"/>
  <c r="V28" i="3" s="1"/>
  <c r="K27" i="4"/>
  <c r="W28" i="3" s="1"/>
  <c r="L27" i="4"/>
  <c r="X28" i="3" s="1"/>
  <c r="M27" i="4"/>
  <c r="Y28" i="3" s="1"/>
  <c r="O27" i="4"/>
  <c r="AA28" i="3" s="1"/>
  <c r="P27" i="4"/>
  <c r="AB28" i="3" s="1"/>
  <c r="Q27" i="4"/>
  <c r="AC28" i="3" s="1"/>
  <c r="R27" i="4"/>
  <c r="AD28" i="3" s="1"/>
  <c r="S27" i="4"/>
  <c r="AE28" i="3" s="1"/>
  <c r="T27" i="4"/>
  <c r="AF28" i="3" s="1"/>
  <c r="U27" i="4"/>
  <c r="AG28" i="3" s="1"/>
  <c r="F26" i="4"/>
  <c r="G26" i="4"/>
  <c r="S27" i="3" s="1"/>
  <c r="H26" i="4"/>
  <c r="T27" i="3" s="1"/>
  <c r="I26" i="4"/>
  <c r="U27" i="3" s="1"/>
  <c r="J26" i="4"/>
  <c r="V27" i="3" s="1"/>
  <c r="K26" i="4"/>
  <c r="W27" i="3" s="1"/>
  <c r="L26" i="4"/>
  <c r="X27" i="3" s="1"/>
  <c r="M26" i="4"/>
  <c r="Y27" i="3" s="1"/>
  <c r="O26" i="4"/>
  <c r="AA27" i="3" s="1"/>
  <c r="P26" i="4"/>
  <c r="AB27" i="3" s="1"/>
  <c r="Q26" i="4"/>
  <c r="AC27" i="3" s="1"/>
  <c r="R26" i="4"/>
  <c r="AD27" i="3" s="1"/>
  <c r="S26" i="4"/>
  <c r="AE27" i="3" s="1"/>
  <c r="T26" i="4"/>
  <c r="AF27" i="3" s="1"/>
  <c r="U26" i="4"/>
  <c r="AG27" i="3" s="1"/>
  <c r="F25" i="4"/>
  <c r="G25" i="4"/>
  <c r="S26" i="3" s="1"/>
  <c r="H25" i="4"/>
  <c r="T26" i="3" s="1"/>
  <c r="I25" i="4"/>
  <c r="U26" i="3" s="1"/>
  <c r="J25" i="4"/>
  <c r="V26" i="3" s="1"/>
  <c r="K25" i="4"/>
  <c r="W26" i="3" s="1"/>
  <c r="L25" i="4"/>
  <c r="X26" i="3" s="1"/>
  <c r="M25" i="4"/>
  <c r="Y26" i="3" s="1"/>
  <c r="O25" i="4"/>
  <c r="AA26" i="3" s="1"/>
  <c r="P25" i="4"/>
  <c r="AB26" i="3" s="1"/>
  <c r="Q25" i="4"/>
  <c r="AC26" i="3" s="1"/>
  <c r="R25" i="4"/>
  <c r="AD26" i="3" s="1"/>
  <c r="S25" i="4"/>
  <c r="AE26" i="3" s="1"/>
  <c r="T25" i="4"/>
  <c r="AF26" i="3" s="1"/>
  <c r="U25" i="4"/>
  <c r="AG26" i="3" s="1"/>
  <c r="F24" i="4"/>
  <c r="I24" i="4"/>
  <c r="U25" i="3" s="1"/>
  <c r="J24" i="4"/>
  <c r="V25" i="3" s="1"/>
  <c r="L24" i="4"/>
  <c r="X25" i="3" s="1"/>
  <c r="O24" i="4"/>
  <c r="AA25" i="3" s="1"/>
  <c r="Q24" i="4"/>
  <c r="AC25" i="3" s="1"/>
  <c r="R24" i="4"/>
  <c r="AD25" i="3" s="1"/>
  <c r="S24" i="4"/>
  <c r="AE25" i="3" s="1"/>
  <c r="T24" i="4"/>
  <c r="AF25" i="3" s="1"/>
  <c r="U24" i="4"/>
  <c r="AG25" i="3" s="1"/>
  <c r="G24" i="4"/>
  <c r="S25" i="3" s="1"/>
  <c r="H24" i="4"/>
  <c r="T25" i="3" s="1"/>
  <c r="K24" i="4"/>
  <c r="W25" i="3" s="1"/>
  <c r="M24" i="4"/>
  <c r="Y25" i="3" s="1"/>
  <c r="P24" i="4"/>
  <c r="AB25" i="3" s="1"/>
  <c r="F23" i="4"/>
  <c r="H23" i="4"/>
  <c r="T24" i="3" s="1"/>
  <c r="J23" i="4"/>
  <c r="V24" i="3" s="1"/>
  <c r="L23" i="4"/>
  <c r="X24" i="3" s="1"/>
  <c r="P23" i="4"/>
  <c r="AB24" i="3" s="1"/>
  <c r="R23" i="4"/>
  <c r="AD24" i="3" s="1"/>
  <c r="T23" i="4"/>
  <c r="AF24" i="3" s="1"/>
  <c r="U23" i="4"/>
  <c r="AG24" i="3" s="1"/>
  <c r="G23" i="4"/>
  <c r="S24" i="3" s="1"/>
  <c r="I23" i="4"/>
  <c r="U24" i="3" s="1"/>
  <c r="K23" i="4"/>
  <c r="W24" i="3" s="1"/>
  <c r="M23" i="4"/>
  <c r="Y24" i="3" s="1"/>
  <c r="O23" i="4"/>
  <c r="AA24" i="3" s="1"/>
  <c r="Q23" i="4"/>
  <c r="AC24" i="3" s="1"/>
  <c r="S23" i="4"/>
  <c r="AE24" i="3" s="1"/>
  <c r="F22" i="4"/>
  <c r="I22" i="4"/>
  <c r="U23" i="3" s="1"/>
  <c r="K22" i="4"/>
  <c r="W23" i="3" s="1"/>
  <c r="M22" i="4"/>
  <c r="Y23" i="3" s="1"/>
  <c r="O22" i="4"/>
  <c r="AA23" i="3" s="1"/>
  <c r="Q22" i="4"/>
  <c r="AC23" i="3" s="1"/>
  <c r="S22" i="4"/>
  <c r="AE23" i="3" s="1"/>
  <c r="G22" i="4"/>
  <c r="S23" i="3" s="1"/>
  <c r="H22" i="4"/>
  <c r="T23" i="3" s="1"/>
  <c r="J22" i="4"/>
  <c r="V23" i="3" s="1"/>
  <c r="L22" i="4"/>
  <c r="X23" i="3" s="1"/>
  <c r="P22" i="4"/>
  <c r="AB23" i="3" s="1"/>
  <c r="R22" i="4"/>
  <c r="AD23" i="3" s="1"/>
  <c r="T22" i="4"/>
  <c r="AF23" i="3" s="1"/>
  <c r="U22" i="4"/>
  <c r="AG23" i="3" s="1"/>
  <c r="F21" i="4"/>
  <c r="H21" i="4"/>
  <c r="T22" i="3" s="1"/>
  <c r="J21" i="4"/>
  <c r="V22" i="3" s="1"/>
  <c r="K21" i="4"/>
  <c r="W22" i="3" s="1"/>
  <c r="M21" i="4"/>
  <c r="Y22" i="3" s="1"/>
  <c r="O21" i="4"/>
  <c r="AA22" i="3" s="1"/>
  <c r="Q21" i="4"/>
  <c r="AC22" i="3" s="1"/>
  <c r="R21" i="4"/>
  <c r="AD22" i="3" s="1"/>
  <c r="T21" i="4"/>
  <c r="AF22" i="3" s="1"/>
  <c r="U21" i="4"/>
  <c r="AG22" i="3" s="1"/>
  <c r="G21" i="4"/>
  <c r="S22" i="3" s="1"/>
  <c r="I21" i="4"/>
  <c r="U22" i="3" s="1"/>
  <c r="L21" i="4"/>
  <c r="X22" i="3" s="1"/>
  <c r="P21" i="4"/>
  <c r="AB22" i="3" s="1"/>
  <c r="S21" i="4"/>
  <c r="AE22" i="3" s="1"/>
  <c r="F20" i="4"/>
  <c r="H20" i="4"/>
  <c r="T21" i="3" s="1"/>
  <c r="J20" i="4"/>
  <c r="V21" i="3" s="1"/>
  <c r="L20" i="4"/>
  <c r="X21" i="3" s="1"/>
  <c r="P20" i="4"/>
  <c r="AB21" i="3" s="1"/>
  <c r="S20" i="4"/>
  <c r="AE21" i="3" s="1"/>
  <c r="G20" i="4"/>
  <c r="S21" i="3" s="1"/>
  <c r="I20" i="4"/>
  <c r="U21" i="3" s="1"/>
  <c r="K20" i="4"/>
  <c r="W21" i="3" s="1"/>
  <c r="M20" i="4"/>
  <c r="Y21" i="3" s="1"/>
  <c r="O20" i="4"/>
  <c r="AA21" i="3" s="1"/>
  <c r="Q20" i="4"/>
  <c r="AC21" i="3" s="1"/>
  <c r="R20" i="4"/>
  <c r="AD21" i="3" s="1"/>
  <c r="T20" i="4"/>
  <c r="AF21" i="3" s="1"/>
  <c r="U20" i="4"/>
  <c r="AG21" i="3" s="1"/>
  <c r="F19" i="4"/>
  <c r="H19" i="4"/>
  <c r="T20" i="3" s="1"/>
  <c r="K19" i="4"/>
  <c r="W20" i="3" s="1"/>
  <c r="M19" i="4"/>
  <c r="Y20" i="3" s="1"/>
  <c r="O19" i="4"/>
  <c r="AA20" i="3" s="1"/>
  <c r="Q19" i="4"/>
  <c r="AC20" i="3" s="1"/>
  <c r="S19" i="4"/>
  <c r="AE20" i="3" s="1"/>
  <c r="G19" i="4"/>
  <c r="S20" i="3" s="1"/>
  <c r="I19" i="4"/>
  <c r="U20" i="3" s="1"/>
  <c r="J19" i="4"/>
  <c r="V20" i="3" s="1"/>
  <c r="L19" i="4"/>
  <c r="X20" i="3" s="1"/>
  <c r="P19" i="4"/>
  <c r="AB20" i="3" s="1"/>
  <c r="R19" i="4"/>
  <c r="AD20" i="3" s="1"/>
  <c r="T19" i="4"/>
  <c r="AF20" i="3" s="1"/>
  <c r="U19" i="4"/>
  <c r="AG20" i="3" s="1"/>
  <c r="G18" i="4"/>
  <c r="S19" i="3" s="1"/>
  <c r="J18" i="4"/>
  <c r="V19" i="3" s="1"/>
  <c r="L18" i="4"/>
  <c r="X19" i="3" s="1"/>
  <c r="O18" i="4"/>
  <c r="AA19" i="3" s="1"/>
  <c r="Q18" i="4"/>
  <c r="AC19" i="3" s="1"/>
  <c r="S18" i="4"/>
  <c r="AE19" i="3" s="1"/>
  <c r="F18" i="4"/>
  <c r="H18" i="4"/>
  <c r="T19" i="3" s="1"/>
  <c r="I18" i="4"/>
  <c r="U19" i="3" s="1"/>
  <c r="K18" i="4"/>
  <c r="W19" i="3" s="1"/>
  <c r="M18" i="4"/>
  <c r="Y19" i="3" s="1"/>
  <c r="P18" i="4"/>
  <c r="AB19" i="3" s="1"/>
  <c r="R18" i="4"/>
  <c r="AD19" i="3" s="1"/>
  <c r="T18" i="4"/>
  <c r="AF19" i="3" s="1"/>
  <c r="U18" i="4"/>
  <c r="AG19" i="3" s="1"/>
  <c r="F17" i="4"/>
  <c r="I17" i="4"/>
  <c r="U18" i="3" s="1"/>
  <c r="K17" i="4"/>
  <c r="W18" i="3" s="1"/>
  <c r="M17" i="4"/>
  <c r="Y18" i="3" s="1"/>
  <c r="O17" i="4"/>
  <c r="AA18" i="3" s="1"/>
  <c r="R17" i="4"/>
  <c r="AD18" i="3" s="1"/>
  <c r="T17" i="4"/>
  <c r="AF18" i="3" s="1"/>
  <c r="G17" i="4"/>
  <c r="S18" i="3" s="1"/>
  <c r="H17" i="4"/>
  <c r="T18" i="3" s="1"/>
  <c r="J17" i="4"/>
  <c r="V18" i="3" s="1"/>
  <c r="L17" i="4"/>
  <c r="X18" i="3" s="1"/>
  <c r="P17" i="4"/>
  <c r="AB18" i="3" s="1"/>
  <c r="Q17" i="4"/>
  <c r="AC18" i="3" s="1"/>
  <c r="S17" i="4"/>
  <c r="AE18" i="3" s="1"/>
  <c r="U17" i="4"/>
  <c r="AG18" i="3" s="1"/>
  <c r="G16" i="4"/>
  <c r="S17" i="3" s="1"/>
  <c r="H16" i="4"/>
  <c r="T17" i="3" s="1"/>
  <c r="J16" i="4"/>
  <c r="V17" i="3" s="1"/>
  <c r="K16" i="4"/>
  <c r="W17" i="3" s="1"/>
  <c r="M16" i="4"/>
  <c r="Y17" i="3" s="1"/>
  <c r="O16" i="4"/>
  <c r="AA17" i="3" s="1"/>
  <c r="P16" i="4"/>
  <c r="AB17" i="3" s="1"/>
  <c r="R16" i="4"/>
  <c r="AD17" i="3" s="1"/>
  <c r="T16" i="4"/>
  <c r="AF17" i="3" s="1"/>
  <c r="F16" i="4"/>
  <c r="I16" i="4"/>
  <c r="U17" i="3" s="1"/>
  <c r="L16" i="4"/>
  <c r="X17" i="3" s="1"/>
  <c r="Q16" i="4"/>
  <c r="AC17" i="3" s="1"/>
  <c r="S16" i="4"/>
  <c r="AE17" i="3" s="1"/>
  <c r="U16" i="4"/>
  <c r="AG17" i="3" s="1"/>
  <c r="F15" i="4"/>
  <c r="H15" i="4"/>
  <c r="T16" i="3" s="1"/>
  <c r="J15" i="4"/>
  <c r="V16" i="3" s="1"/>
  <c r="T15" i="4"/>
  <c r="AF16" i="3" s="1"/>
  <c r="U15" i="4"/>
  <c r="AG16" i="3" s="1"/>
  <c r="G15" i="4"/>
  <c r="S16" i="3" s="1"/>
  <c r="I15" i="4"/>
  <c r="U16" i="3" s="1"/>
  <c r="K15" i="4"/>
  <c r="W16" i="3" s="1"/>
  <c r="L15" i="4"/>
  <c r="X16" i="3" s="1"/>
  <c r="M15" i="4"/>
  <c r="Y16" i="3" s="1"/>
  <c r="O15" i="4"/>
  <c r="AA16" i="3" s="1"/>
  <c r="P15" i="4"/>
  <c r="AB16" i="3" s="1"/>
  <c r="Q15" i="4"/>
  <c r="AC16" i="3" s="1"/>
  <c r="R15" i="4"/>
  <c r="AD16" i="3" s="1"/>
  <c r="S15" i="4"/>
  <c r="AE16" i="3" s="1"/>
  <c r="F14" i="4"/>
  <c r="H14" i="4"/>
  <c r="T15" i="3" s="1"/>
  <c r="K14" i="4"/>
  <c r="W15" i="3" s="1"/>
  <c r="M14" i="4"/>
  <c r="Y15" i="3" s="1"/>
  <c r="O14" i="4"/>
  <c r="AA15" i="3" s="1"/>
  <c r="R14" i="4"/>
  <c r="AD15" i="3" s="1"/>
  <c r="S14" i="4"/>
  <c r="AE15" i="3" s="1"/>
  <c r="U14" i="4"/>
  <c r="AG15" i="3" s="1"/>
  <c r="G14" i="4"/>
  <c r="S15" i="3" s="1"/>
  <c r="I14" i="4"/>
  <c r="U15" i="3" s="1"/>
  <c r="J14" i="4"/>
  <c r="V15" i="3" s="1"/>
  <c r="L14" i="4"/>
  <c r="X15" i="3" s="1"/>
  <c r="P14" i="4"/>
  <c r="AB15" i="3" s="1"/>
  <c r="Q14" i="4"/>
  <c r="AC15" i="3" s="1"/>
  <c r="T14" i="4"/>
  <c r="AF15" i="3" s="1"/>
  <c r="F13" i="4"/>
  <c r="H13" i="4"/>
  <c r="T14" i="3" s="1"/>
  <c r="I13" i="4"/>
  <c r="U14" i="3" s="1"/>
  <c r="K13" i="4"/>
  <c r="W14" i="3" s="1"/>
  <c r="L13" i="4"/>
  <c r="X14" i="3" s="1"/>
  <c r="O13" i="4"/>
  <c r="AA14" i="3" s="1"/>
  <c r="Q13" i="4"/>
  <c r="AC14" i="3" s="1"/>
  <c r="R13" i="4"/>
  <c r="AD14" i="3" s="1"/>
  <c r="T13" i="4"/>
  <c r="AF14" i="3" s="1"/>
  <c r="U13" i="4"/>
  <c r="AG14" i="3" s="1"/>
  <c r="G13" i="4"/>
  <c r="S14" i="3" s="1"/>
  <c r="J13" i="4"/>
  <c r="V14" i="3" s="1"/>
  <c r="M13" i="4"/>
  <c r="Y14" i="3" s="1"/>
  <c r="P13" i="4"/>
  <c r="AB14" i="3" s="1"/>
  <c r="S13" i="4"/>
  <c r="AE14" i="3" s="1"/>
  <c r="F12" i="4"/>
  <c r="H12" i="4"/>
  <c r="T13" i="3" s="1"/>
  <c r="K12" i="4"/>
  <c r="W13" i="3" s="1"/>
  <c r="M12" i="4"/>
  <c r="Y13" i="3" s="1"/>
  <c r="O12" i="4"/>
  <c r="AA13" i="3" s="1"/>
  <c r="Q12" i="4"/>
  <c r="AC13" i="3" s="1"/>
  <c r="S12" i="4"/>
  <c r="AE13" i="3" s="1"/>
  <c r="U12" i="4"/>
  <c r="AG13" i="3" s="1"/>
  <c r="G12" i="4"/>
  <c r="S13" i="3" s="1"/>
  <c r="I12" i="4"/>
  <c r="U13" i="3" s="1"/>
  <c r="J12" i="4"/>
  <c r="V13" i="3" s="1"/>
  <c r="L12" i="4"/>
  <c r="X13" i="3" s="1"/>
  <c r="P12" i="4"/>
  <c r="AB13" i="3" s="1"/>
  <c r="R12" i="4"/>
  <c r="AD13" i="3" s="1"/>
  <c r="T12" i="4"/>
  <c r="AF13" i="3" s="1"/>
  <c r="F11" i="4"/>
  <c r="H11" i="4"/>
  <c r="T12" i="3" s="1"/>
  <c r="I11" i="4"/>
  <c r="U12" i="3" s="1"/>
  <c r="K11" i="4"/>
  <c r="W12" i="3" s="1"/>
  <c r="M11" i="4"/>
  <c r="Y12" i="3" s="1"/>
  <c r="P11" i="4"/>
  <c r="AB12" i="3" s="1"/>
  <c r="R11" i="4"/>
  <c r="AD12" i="3" s="1"/>
  <c r="T11" i="4"/>
  <c r="AF12" i="3" s="1"/>
  <c r="U11" i="4"/>
  <c r="AG12" i="3" s="1"/>
  <c r="G11" i="4"/>
  <c r="S12" i="3" s="1"/>
  <c r="J11" i="4"/>
  <c r="V12" i="3" s="1"/>
  <c r="L11" i="4"/>
  <c r="X12" i="3" s="1"/>
  <c r="O11" i="4"/>
  <c r="AA12" i="3" s="1"/>
  <c r="Q11" i="4"/>
  <c r="AC12" i="3" s="1"/>
  <c r="S11" i="4"/>
  <c r="AE12" i="3" s="1"/>
  <c r="F10" i="4"/>
  <c r="H10" i="4"/>
  <c r="T11" i="3" s="1"/>
  <c r="J10" i="4"/>
  <c r="V11" i="3" s="1"/>
  <c r="L10" i="4"/>
  <c r="X11" i="3" s="1"/>
  <c r="P10" i="4"/>
  <c r="AB11" i="3" s="1"/>
  <c r="R10" i="4"/>
  <c r="AD11" i="3" s="1"/>
  <c r="T10" i="4"/>
  <c r="AF11" i="3" s="1"/>
  <c r="U10" i="4"/>
  <c r="AG11" i="3" s="1"/>
  <c r="G10" i="4"/>
  <c r="S11" i="3" s="1"/>
  <c r="I10" i="4"/>
  <c r="U11" i="3" s="1"/>
  <c r="K10" i="4"/>
  <c r="W11" i="3" s="1"/>
  <c r="M10" i="4"/>
  <c r="Y11" i="3" s="1"/>
  <c r="O10" i="4"/>
  <c r="AA11" i="3" s="1"/>
  <c r="Q10" i="4"/>
  <c r="AC11" i="3" s="1"/>
  <c r="S10" i="4"/>
  <c r="AE11" i="3" s="1"/>
  <c r="G9" i="4"/>
  <c r="S10" i="3" s="1"/>
  <c r="I9" i="4"/>
  <c r="U10" i="3" s="1"/>
  <c r="L9" i="4"/>
  <c r="X10" i="3" s="1"/>
  <c r="P9" i="4"/>
  <c r="AB10" i="3" s="1"/>
  <c r="R9" i="4"/>
  <c r="AD10" i="3" s="1"/>
  <c r="F9" i="4"/>
  <c r="H9" i="4"/>
  <c r="T10" i="3" s="1"/>
  <c r="J9" i="4"/>
  <c r="V10" i="3" s="1"/>
  <c r="K9" i="4"/>
  <c r="W10" i="3" s="1"/>
  <c r="M9" i="4"/>
  <c r="Y10" i="3" s="1"/>
  <c r="O9" i="4"/>
  <c r="AA10" i="3" s="1"/>
  <c r="Q9" i="4"/>
  <c r="AC10" i="3" s="1"/>
  <c r="S9" i="4"/>
  <c r="AE10" i="3" s="1"/>
  <c r="T9" i="4"/>
  <c r="AF10" i="3" s="1"/>
  <c r="U9" i="4"/>
  <c r="AG10" i="3" s="1"/>
  <c r="F8" i="4"/>
  <c r="G8" i="4"/>
  <c r="S9" i="3" s="1"/>
  <c r="I8" i="4"/>
  <c r="U9" i="3" s="1"/>
  <c r="J8" i="4"/>
  <c r="V9" i="3" s="1"/>
  <c r="L8" i="4"/>
  <c r="X9" i="3" s="1"/>
  <c r="O8" i="4"/>
  <c r="AA9" i="3" s="1"/>
  <c r="Q8" i="4"/>
  <c r="AC9" i="3" s="1"/>
  <c r="S8" i="4"/>
  <c r="AE9" i="3" s="1"/>
  <c r="U8" i="4"/>
  <c r="AG9" i="3" s="1"/>
  <c r="H8" i="4"/>
  <c r="T9" i="3" s="1"/>
  <c r="K8" i="4"/>
  <c r="W9" i="3" s="1"/>
  <c r="M8" i="4"/>
  <c r="Y9" i="3" s="1"/>
  <c r="P8" i="4"/>
  <c r="AB9" i="3" s="1"/>
  <c r="R8" i="4"/>
  <c r="AD9" i="3" s="1"/>
  <c r="T8" i="4"/>
  <c r="AF9" i="3" s="1"/>
  <c r="G7" i="4"/>
  <c r="S8" i="3" s="1"/>
  <c r="I7" i="4"/>
  <c r="U8" i="3" s="1"/>
  <c r="K7" i="4"/>
  <c r="W8" i="3" s="1"/>
  <c r="Q7" i="4"/>
  <c r="AC8" i="3" s="1"/>
  <c r="S7" i="4"/>
  <c r="AE8" i="3" s="1"/>
  <c r="F7" i="4"/>
  <c r="H7" i="4"/>
  <c r="T8" i="3" s="1"/>
  <c r="J7" i="4"/>
  <c r="V8" i="3" s="1"/>
  <c r="L7" i="4"/>
  <c r="X8" i="3" s="1"/>
  <c r="M7" i="4"/>
  <c r="Y8" i="3" s="1"/>
  <c r="O7" i="4"/>
  <c r="AA8" i="3" s="1"/>
  <c r="P7" i="4"/>
  <c r="AB8" i="3" s="1"/>
  <c r="R7" i="4"/>
  <c r="AD8" i="3" s="1"/>
  <c r="T7" i="4"/>
  <c r="AF8" i="3" s="1"/>
  <c r="U7" i="4"/>
  <c r="AG8" i="3" s="1"/>
  <c r="F6" i="4"/>
  <c r="H6" i="4"/>
  <c r="T7" i="3" s="1"/>
  <c r="J6" i="4"/>
  <c r="V7" i="3" s="1"/>
  <c r="M6" i="4"/>
  <c r="Y7" i="3" s="1"/>
  <c r="P6" i="4"/>
  <c r="AB7" i="3" s="1"/>
  <c r="R6" i="4"/>
  <c r="AD7" i="3" s="1"/>
  <c r="U6" i="4"/>
  <c r="AG7" i="3" s="1"/>
  <c r="G6" i="4"/>
  <c r="S7" i="3" s="1"/>
  <c r="I6" i="4"/>
  <c r="U7" i="3" s="1"/>
  <c r="K6" i="4"/>
  <c r="W7" i="3" s="1"/>
  <c r="L6" i="4"/>
  <c r="X7" i="3" s="1"/>
  <c r="O6" i="4"/>
  <c r="AA7" i="3" s="1"/>
  <c r="Q6" i="4"/>
  <c r="AC7" i="3" s="1"/>
  <c r="S6" i="4"/>
  <c r="AE7" i="3" s="1"/>
  <c r="T6" i="4"/>
  <c r="AF7" i="3" s="1"/>
  <c r="G5" i="4"/>
  <c r="S6" i="3" s="1"/>
  <c r="I5" i="4"/>
  <c r="U6" i="3" s="1"/>
  <c r="K5" i="4"/>
  <c r="W6" i="3" s="1"/>
  <c r="M5" i="4"/>
  <c r="Y6" i="3" s="1"/>
  <c r="P5" i="4"/>
  <c r="AB6" i="3" s="1"/>
  <c r="R5" i="4"/>
  <c r="AD6" i="3" s="1"/>
  <c r="U5" i="4"/>
  <c r="AG6" i="3" s="1"/>
  <c r="F5" i="4"/>
  <c r="H5" i="4"/>
  <c r="T6" i="3" s="1"/>
  <c r="J5" i="4"/>
  <c r="V6" i="3" s="1"/>
  <c r="L5" i="4"/>
  <c r="X6" i="3" s="1"/>
  <c r="O5" i="4"/>
  <c r="AA6" i="3" s="1"/>
  <c r="Q5" i="4"/>
  <c r="AC6" i="3" s="1"/>
  <c r="S5" i="4"/>
  <c r="AE6" i="3" s="1"/>
  <c r="T5" i="4"/>
  <c r="AF6" i="3" s="1"/>
  <c r="C4" i="4"/>
  <c r="L9" i="3" l="1"/>
  <c r="K9" i="3"/>
  <c r="L11" i="3"/>
  <c r="K11" i="3"/>
  <c r="L12" i="3"/>
  <c r="K12" i="3"/>
  <c r="L14" i="3"/>
  <c r="K14" i="3"/>
  <c r="L16" i="3"/>
  <c r="K16" i="3"/>
  <c r="L22" i="3"/>
  <c r="K22" i="3"/>
  <c r="L26" i="3"/>
  <c r="K26" i="3"/>
  <c r="L27" i="3"/>
  <c r="K27" i="3"/>
  <c r="L28" i="3"/>
  <c r="K28" i="3"/>
  <c r="L29" i="3"/>
  <c r="K29" i="3"/>
  <c r="L30" i="3"/>
  <c r="K30" i="3" s="1"/>
  <c r="L31" i="3"/>
  <c r="K31" i="3"/>
  <c r="L32" i="3"/>
  <c r="K32" i="3"/>
  <c r="L33" i="3"/>
  <c r="K33" i="3"/>
  <c r="L34" i="3"/>
  <c r="K34" i="3"/>
  <c r="L35" i="3"/>
  <c r="K35" i="3"/>
  <c r="L36" i="3"/>
  <c r="K36" i="3"/>
  <c r="L37" i="3"/>
  <c r="K37" i="3"/>
  <c r="L38" i="3"/>
  <c r="K38" i="3"/>
  <c r="L39" i="3"/>
  <c r="K39" i="3"/>
  <c r="L40" i="3"/>
  <c r="K40" i="3"/>
  <c r="L41" i="3"/>
  <c r="K41" i="3"/>
  <c r="L42" i="3"/>
  <c r="K42" i="3"/>
  <c r="L43" i="3"/>
  <c r="K43" i="3"/>
  <c r="L44" i="3"/>
  <c r="K44" i="3" s="1"/>
  <c r="L45" i="3"/>
  <c r="K45" i="3"/>
  <c r="L46" i="3"/>
  <c r="K46" i="3"/>
  <c r="L47" i="3"/>
  <c r="K47" i="3"/>
  <c r="Z6" i="3"/>
  <c r="N2" i="4"/>
  <c r="F38" i="1" s="1"/>
  <c r="F46" i="1" s="1"/>
  <c r="L7" i="3"/>
  <c r="L4" i="3" s="1"/>
  <c r="K7" i="3"/>
  <c r="L8" i="3"/>
  <c r="K8" i="3"/>
  <c r="L10" i="3"/>
  <c r="K10" i="3"/>
  <c r="L13" i="3"/>
  <c r="K13" i="3"/>
  <c r="L15" i="3"/>
  <c r="K15" i="3"/>
  <c r="L17" i="3"/>
  <c r="K17" i="3"/>
  <c r="L18" i="3"/>
  <c r="K18" i="3"/>
  <c r="L19" i="3"/>
  <c r="K19" i="3"/>
  <c r="L20" i="3"/>
  <c r="K20" i="3"/>
  <c r="L21" i="3"/>
  <c r="K21" i="3"/>
  <c r="L23" i="3"/>
  <c r="K23" i="3"/>
  <c r="L24" i="3"/>
  <c r="K24" i="3"/>
  <c r="L25" i="3"/>
  <c r="K25" i="3"/>
  <c r="L48" i="3"/>
  <c r="K48" i="3"/>
  <c r="L49" i="3"/>
  <c r="K49" i="3" s="1"/>
  <c r="L50" i="3"/>
  <c r="K50" i="3"/>
  <c r="L51" i="3"/>
  <c r="K51" i="3"/>
  <c r="L52" i="3"/>
  <c r="K52" i="3"/>
  <c r="L53" i="3"/>
  <c r="K53" i="3"/>
  <c r="L54" i="3"/>
  <c r="K54" i="3"/>
  <c r="L55" i="3"/>
  <c r="K55" i="3"/>
  <c r="L56" i="3"/>
  <c r="K56" i="3"/>
  <c r="L57" i="3"/>
  <c r="K57" i="3"/>
  <c r="L58" i="3"/>
  <c r="K58" i="3"/>
  <c r="L59" i="3"/>
  <c r="K59" i="3"/>
  <c r="L60" i="3"/>
  <c r="K60" i="3"/>
  <c r="L61" i="3"/>
  <c r="K61" i="3"/>
  <c r="L62" i="3"/>
  <c r="K62" i="3" s="1"/>
  <c r="L63" i="3"/>
  <c r="K63" i="3" s="1"/>
  <c r="L64" i="3"/>
  <c r="K64" i="3"/>
  <c r="L65" i="3"/>
  <c r="K65" i="3"/>
  <c r="L66" i="3"/>
  <c r="K66" i="3"/>
  <c r="L67" i="3"/>
  <c r="K67" i="3" s="1"/>
  <c r="L68" i="3"/>
  <c r="K68" i="3" s="1"/>
  <c r="L69" i="3"/>
  <c r="K69" i="3"/>
  <c r="L70" i="3"/>
  <c r="K70" i="3"/>
  <c r="L71" i="3"/>
  <c r="K71" i="3"/>
  <c r="L72" i="3"/>
  <c r="K72" i="3"/>
  <c r="L73" i="3"/>
  <c r="K73" i="3"/>
  <c r="L74" i="3"/>
  <c r="K74" i="3"/>
  <c r="L75" i="3"/>
  <c r="K75" i="3"/>
  <c r="L76" i="3"/>
  <c r="K76" i="3"/>
  <c r="L77" i="3"/>
  <c r="K77" i="3"/>
  <c r="L78" i="3"/>
  <c r="K78" i="3"/>
  <c r="L79" i="3"/>
  <c r="K79" i="3"/>
  <c r="L80" i="3"/>
  <c r="K80" i="3"/>
  <c r="L81" i="3"/>
  <c r="K81" i="3"/>
  <c r="L82" i="3"/>
  <c r="K82" i="3"/>
  <c r="L83" i="3"/>
  <c r="K83" i="3"/>
  <c r="L84" i="3"/>
  <c r="K84" i="3"/>
  <c r="L85" i="3"/>
  <c r="K85" i="3"/>
  <c r="L86" i="3"/>
  <c r="K86" i="3"/>
  <c r="L87" i="3"/>
  <c r="K87" i="3"/>
  <c r="L88" i="3"/>
  <c r="K88" i="3"/>
  <c r="L89" i="3"/>
  <c r="K89" i="3"/>
  <c r="L90" i="3"/>
  <c r="K90" i="3"/>
  <c r="L91" i="3"/>
  <c r="K91" i="3"/>
  <c r="L92" i="3"/>
  <c r="K92" i="3"/>
  <c r="L93" i="3"/>
  <c r="K93" i="3"/>
  <c r="L94" i="3"/>
  <c r="K94" i="3"/>
  <c r="L95" i="3"/>
  <c r="K95" i="3"/>
  <c r="L96" i="3"/>
  <c r="K96" i="3"/>
  <c r="L97" i="3"/>
  <c r="K97" i="3"/>
  <c r="L98" i="3"/>
  <c r="K98" i="3"/>
  <c r="L99" i="3"/>
  <c r="K99" i="3"/>
  <c r="L100" i="3"/>
  <c r="K100" i="3"/>
  <c r="L101" i="3"/>
  <c r="K101" i="3"/>
  <c r="L102" i="3"/>
  <c r="K102" i="3"/>
  <c r="L103" i="3"/>
  <c r="K103" i="3"/>
  <c r="L104" i="3"/>
  <c r="K104" i="3"/>
  <c r="L105" i="3"/>
  <c r="K105" i="3"/>
  <c r="L106" i="3"/>
  <c r="K106" i="3"/>
  <c r="L107" i="3"/>
  <c r="K107" i="3"/>
  <c r="L108" i="3"/>
  <c r="K108" i="3"/>
  <c r="L109" i="3"/>
  <c r="K109" i="3"/>
  <c r="L110" i="3"/>
  <c r="K110" i="3"/>
  <c r="L111" i="3"/>
  <c r="K111" i="3"/>
  <c r="L112" i="3"/>
  <c r="K112" i="3"/>
  <c r="L113" i="3"/>
  <c r="K113" i="3"/>
  <c r="L114" i="3"/>
  <c r="K114" i="3"/>
  <c r="L115" i="3"/>
  <c r="K115" i="3"/>
  <c r="L116" i="3"/>
  <c r="K116" i="3"/>
  <c r="L117" i="3"/>
  <c r="K117" i="3"/>
  <c r="L118" i="3"/>
  <c r="K118" i="3"/>
  <c r="L119" i="3"/>
  <c r="K119" i="3"/>
  <c r="L120" i="3"/>
  <c r="K120" i="3"/>
  <c r="L121" i="3"/>
  <c r="K121" i="3"/>
  <c r="L122" i="3"/>
  <c r="K122" i="3"/>
  <c r="L123" i="3"/>
  <c r="K123" i="3"/>
  <c r="L124" i="3"/>
  <c r="K124" i="3"/>
  <c r="L125" i="3"/>
  <c r="K125" i="3"/>
  <c r="L126" i="3"/>
  <c r="K126" i="3"/>
  <c r="L127" i="3"/>
  <c r="K127" i="3"/>
  <c r="L128" i="3"/>
  <c r="K128" i="3"/>
  <c r="L129" i="3"/>
  <c r="K129" i="3"/>
  <c r="L130" i="3"/>
  <c r="K130" i="3"/>
  <c r="L131" i="3"/>
  <c r="K131" i="3"/>
  <c r="L132" i="3"/>
  <c r="K132" i="3"/>
  <c r="L133" i="3"/>
  <c r="K133" i="3"/>
  <c r="L134" i="3"/>
  <c r="K134" i="3"/>
  <c r="L135" i="3"/>
  <c r="K135" i="3"/>
  <c r="L136" i="3"/>
  <c r="K136" i="3"/>
  <c r="L137" i="3"/>
  <c r="K137" i="3"/>
  <c r="L138" i="3"/>
  <c r="K138" i="3"/>
  <c r="L139" i="3"/>
  <c r="K139" i="3"/>
  <c r="L140" i="3"/>
  <c r="K140" i="3"/>
  <c r="L141" i="3"/>
  <c r="K141" i="3"/>
  <c r="L142" i="3"/>
  <c r="K142" i="3"/>
  <c r="L143" i="3"/>
  <c r="K143" i="3"/>
  <c r="L144" i="3"/>
  <c r="K144" i="3"/>
  <c r="L145" i="3"/>
  <c r="K145" i="3"/>
  <c r="L146" i="3"/>
  <c r="K146" i="3"/>
  <c r="L147" i="3"/>
  <c r="K147" i="3"/>
  <c r="L148" i="3"/>
  <c r="K148" i="3"/>
  <c r="L149" i="3"/>
  <c r="K149" i="3"/>
  <c r="L150" i="3"/>
  <c r="K150" i="3"/>
  <c r="L151" i="3"/>
  <c r="K151" i="3"/>
  <c r="L152" i="3"/>
  <c r="K152" i="3"/>
  <c r="L153" i="3"/>
  <c r="K153" i="3"/>
  <c r="L154" i="3"/>
  <c r="K154" i="3"/>
  <c r="L155" i="3"/>
  <c r="K155" i="3"/>
  <c r="L156" i="3"/>
  <c r="K156" i="3"/>
  <c r="L157" i="3"/>
  <c r="K157" i="3"/>
  <c r="L158" i="3"/>
  <c r="K158" i="3"/>
  <c r="L159" i="3"/>
  <c r="K159" i="3"/>
  <c r="L160" i="3"/>
  <c r="K160" i="3"/>
  <c r="L161" i="3"/>
  <c r="K161" i="3"/>
  <c r="L162" i="3"/>
  <c r="K162" i="3"/>
  <c r="L163" i="3"/>
  <c r="K163" i="3"/>
  <c r="L164" i="3"/>
  <c r="K164" i="3"/>
  <c r="L165" i="3"/>
  <c r="K165" i="3"/>
  <c r="L166" i="3"/>
  <c r="K166" i="3"/>
  <c r="L167" i="3"/>
  <c r="K167" i="3"/>
  <c r="O6" i="3"/>
  <c r="P6" i="3"/>
  <c r="M6" i="3"/>
  <c r="Q6" i="3" s="1"/>
  <c r="N6" i="3"/>
  <c r="V157" i="4"/>
  <c r="R158" i="3"/>
  <c r="AH158" i="3" s="1"/>
  <c r="V154" i="4"/>
  <c r="R155" i="3"/>
  <c r="AH155" i="3" s="1"/>
  <c r="V150" i="4"/>
  <c r="R151" i="3"/>
  <c r="AH151" i="3" s="1"/>
  <c r="V94" i="4"/>
  <c r="R95" i="3"/>
  <c r="AH95" i="3" s="1"/>
  <c r="V121" i="4"/>
  <c r="R122" i="3"/>
  <c r="AH122" i="3" s="1"/>
  <c r="V148" i="4"/>
  <c r="R149" i="3"/>
  <c r="AH149" i="3" s="1"/>
  <c r="V120" i="4"/>
  <c r="R121" i="3"/>
  <c r="AH121" i="3" s="1"/>
  <c r="V155" i="4"/>
  <c r="R156" i="3"/>
  <c r="AH156" i="3" s="1"/>
  <c r="V102" i="4"/>
  <c r="R103" i="3"/>
  <c r="AH103" i="3" s="1"/>
  <c r="V143" i="4"/>
  <c r="R144" i="3"/>
  <c r="AH144" i="3" s="1"/>
  <c r="V118" i="4"/>
  <c r="R119" i="3"/>
  <c r="AH119" i="3" s="1"/>
  <c r="V142" i="4"/>
  <c r="R143" i="3"/>
  <c r="AH143" i="3" s="1"/>
  <c r="V86" i="4"/>
  <c r="R87" i="3"/>
  <c r="AH87" i="3" s="1"/>
  <c r="V140" i="4"/>
  <c r="R141" i="3"/>
  <c r="AH141" i="3" s="1"/>
  <c r="V115" i="4"/>
  <c r="R116" i="3"/>
  <c r="AH116" i="3" s="1"/>
  <c r="V137" i="4"/>
  <c r="R138" i="3"/>
  <c r="AH138" i="3" s="1"/>
  <c r="V101" i="4"/>
  <c r="R102" i="3"/>
  <c r="AH102" i="3" s="1"/>
  <c r="V153" i="4"/>
  <c r="R154" i="3"/>
  <c r="AH154" i="3" s="1"/>
  <c r="V133" i="4"/>
  <c r="R134" i="3"/>
  <c r="AH134" i="3" s="1"/>
  <c r="V152" i="4"/>
  <c r="R153" i="3"/>
  <c r="AH153" i="3" s="1"/>
  <c r="V149" i="4"/>
  <c r="R150" i="3"/>
  <c r="AH150" i="3" s="1"/>
  <c r="V93" i="4"/>
  <c r="R94" i="3"/>
  <c r="AH94" i="3" s="1"/>
  <c r="V131" i="4"/>
  <c r="R132" i="3"/>
  <c r="AH132" i="3" s="1"/>
  <c r="V100" i="4"/>
  <c r="R101" i="3"/>
  <c r="AH101" i="3" s="1"/>
  <c r="V151" i="4"/>
  <c r="R152" i="3"/>
  <c r="AH152" i="3" s="1"/>
  <c r="V162" i="4"/>
  <c r="R163" i="3"/>
  <c r="AH163" i="3" s="1"/>
  <c r="V127" i="4"/>
  <c r="R128" i="3"/>
  <c r="AH128" i="3" s="1"/>
  <c r="V126" i="4"/>
  <c r="R127" i="3"/>
  <c r="AH127" i="3" s="1"/>
  <c r="V89" i="4"/>
  <c r="R90" i="3"/>
  <c r="AH90" i="3" s="1"/>
  <c r="V147" i="4"/>
  <c r="R148" i="3"/>
  <c r="AH148" i="3" s="1"/>
  <c r="V123" i="4"/>
  <c r="R124" i="3"/>
  <c r="AH124" i="3" s="1"/>
  <c r="V163" i="4"/>
  <c r="R164" i="3"/>
  <c r="AH164" i="3" s="1"/>
  <c r="V146" i="4"/>
  <c r="R147" i="3"/>
  <c r="AH147" i="3" s="1"/>
  <c r="V122" i="4"/>
  <c r="R123" i="3"/>
  <c r="AH123" i="3" s="1"/>
  <c r="V160" i="4"/>
  <c r="R161" i="3"/>
  <c r="AH161" i="3" s="1"/>
  <c r="V113" i="4"/>
  <c r="R114" i="3"/>
  <c r="AH114" i="3" s="1"/>
  <c r="V99" i="4"/>
  <c r="R100" i="3"/>
  <c r="AH100" i="3" s="1"/>
  <c r="V145" i="4"/>
  <c r="R146" i="3"/>
  <c r="AH146" i="3" s="1"/>
  <c r="V119" i="4"/>
  <c r="R120" i="3"/>
  <c r="AH120" i="3" s="1"/>
  <c r="V144" i="4"/>
  <c r="R145" i="3"/>
  <c r="AH145" i="3" s="1"/>
  <c r="V92" i="4"/>
  <c r="R93" i="3"/>
  <c r="AH93" i="3" s="1"/>
  <c r="V117" i="4"/>
  <c r="R118" i="3"/>
  <c r="AH118" i="3" s="1"/>
  <c r="V116" i="4"/>
  <c r="R117" i="3"/>
  <c r="AH117" i="3" s="1"/>
  <c r="V141" i="4"/>
  <c r="R142" i="3"/>
  <c r="AH142" i="3" s="1"/>
  <c r="V98" i="4"/>
  <c r="R99" i="3"/>
  <c r="AH99" i="3" s="1"/>
  <c r="V139" i="4"/>
  <c r="R140" i="3"/>
  <c r="AH140" i="3" s="1"/>
  <c r="V114" i="4"/>
  <c r="R115" i="3"/>
  <c r="AH115" i="3" s="1"/>
  <c r="V138" i="4"/>
  <c r="R139" i="3"/>
  <c r="AH139" i="3" s="1"/>
  <c r="V87" i="4"/>
  <c r="R88" i="3"/>
  <c r="AH88" i="3" s="1"/>
  <c r="V166" i="4"/>
  <c r="R167" i="3"/>
  <c r="AH167" i="3" s="1"/>
  <c r="V112" i="4"/>
  <c r="R113" i="3"/>
  <c r="AH113" i="3" s="1"/>
  <c r="V159" i="4"/>
  <c r="R160" i="3"/>
  <c r="AH160" i="3" s="1"/>
  <c r="V136" i="4"/>
  <c r="R137" i="3"/>
  <c r="AH137" i="3" s="1"/>
  <c r="V111" i="4"/>
  <c r="R112" i="3"/>
  <c r="AH112" i="3" s="1"/>
  <c r="V135" i="4"/>
  <c r="R136" i="3"/>
  <c r="AH136" i="3" s="1"/>
  <c r="V97" i="4"/>
  <c r="R98" i="3"/>
  <c r="AH98" i="3" s="1"/>
  <c r="V134" i="4"/>
  <c r="R135" i="3"/>
  <c r="AH135" i="3" s="1"/>
  <c r="V110" i="4"/>
  <c r="R111" i="3"/>
  <c r="AH111" i="3" s="1"/>
  <c r="V85" i="4"/>
  <c r="R86" i="3"/>
  <c r="AH86" i="3" s="1"/>
  <c r="V91" i="4"/>
  <c r="R92" i="3"/>
  <c r="AH92" i="3" s="1"/>
  <c r="V132" i="4"/>
  <c r="R133" i="3"/>
  <c r="AH133" i="3" s="1"/>
  <c r="V158" i="4"/>
  <c r="R159" i="3"/>
  <c r="AH159" i="3" s="1"/>
  <c r="V109" i="4"/>
  <c r="R110" i="3"/>
  <c r="AH110" i="3" s="1"/>
  <c r="V130" i="4"/>
  <c r="R131" i="3"/>
  <c r="AH131" i="3" s="1"/>
  <c r="V96" i="4"/>
  <c r="R97" i="3"/>
  <c r="AH97" i="3" s="1"/>
  <c r="V129" i="4"/>
  <c r="R130" i="3"/>
  <c r="AH130" i="3" s="1"/>
  <c r="V108" i="4"/>
  <c r="R109" i="3"/>
  <c r="AH109" i="3" s="1"/>
  <c r="V128" i="4"/>
  <c r="R129" i="3"/>
  <c r="AH129" i="3" s="1"/>
  <c r="V107" i="4"/>
  <c r="R108" i="3"/>
  <c r="AH108" i="3" s="1"/>
  <c r="V88" i="4"/>
  <c r="R89" i="3"/>
  <c r="AH89" i="3" s="1"/>
  <c r="V125" i="4"/>
  <c r="R126" i="3"/>
  <c r="AH126" i="3" s="1"/>
  <c r="V106" i="4"/>
  <c r="R107" i="3"/>
  <c r="AH107" i="3" s="1"/>
  <c r="V55" i="4"/>
  <c r="R56" i="3"/>
  <c r="AH56" i="3" s="1"/>
  <c r="V105" i="4"/>
  <c r="R106" i="3"/>
  <c r="AH106" i="3" s="1"/>
  <c r="V124" i="4"/>
  <c r="R125" i="3"/>
  <c r="AH125" i="3" s="1"/>
  <c r="V95" i="4"/>
  <c r="R96" i="3"/>
  <c r="AH96" i="3" s="1"/>
  <c r="V165" i="4"/>
  <c r="R166" i="3"/>
  <c r="AH166" i="3" s="1"/>
  <c r="V164" i="4"/>
  <c r="R165" i="3"/>
  <c r="AH165" i="3" s="1"/>
  <c r="V104" i="4"/>
  <c r="R105" i="3"/>
  <c r="AH105" i="3" s="1"/>
  <c r="V161" i="4"/>
  <c r="R162" i="3"/>
  <c r="AH162" i="3" s="1"/>
  <c r="V90" i="4"/>
  <c r="R91" i="3"/>
  <c r="AH91" i="3" s="1"/>
  <c r="V156" i="4"/>
  <c r="R157" i="3"/>
  <c r="AH157" i="3" s="1"/>
  <c r="V103" i="4"/>
  <c r="R104" i="3"/>
  <c r="AH104" i="3" s="1"/>
  <c r="V84" i="4"/>
  <c r="R85" i="3"/>
  <c r="AH85" i="3" s="1"/>
  <c r="V83" i="4"/>
  <c r="R84" i="3"/>
  <c r="AH84" i="3" s="1"/>
  <c r="V82" i="4"/>
  <c r="R83" i="3"/>
  <c r="AH83" i="3" s="1"/>
  <c r="V81" i="4"/>
  <c r="R82" i="3"/>
  <c r="AH82" i="3" s="1"/>
  <c r="V80" i="4"/>
  <c r="R81" i="3"/>
  <c r="AH81" i="3" s="1"/>
  <c r="V79" i="4"/>
  <c r="R80" i="3"/>
  <c r="AH80" i="3" s="1"/>
  <c r="V78" i="4"/>
  <c r="R79" i="3"/>
  <c r="AH79" i="3" s="1"/>
  <c r="V77" i="4"/>
  <c r="R78" i="3"/>
  <c r="AH78" i="3" s="1"/>
  <c r="V76" i="4"/>
  <c r="R77" i="3"/>
  <c r="AH77" i="3" s="1"/>
  <c r="V75" i="4"/>
  <c r="R76" i="3"/>
  <c r="AH76" i="3" s="1"/>
  <c r="V74" i="4"/>
  <c r="R75" i="3"/>
  <c r="AH75" i="3" s="1"/>
  <c r="V73" i="4"/>
  <c r="R74" i="3"/>
  <c r="AH74" i="3" s="1"/>
  <c r="V72" i="4"/>
  <c r="R73" i="3"/>
  <c r="AH73" i="3" s="1"/>
  <c r="V71" i="4"/>
  <c r="R72" i="3"/>
  <c r="AH72" i="3" s="1"/>
  <c r="V70" i="4"/>
  <c r="R71" i="3"/>
  <c r="AH71" i="3" s="1"/>
  <c r="V69" i="4"/>
  <c r="R70" i="3"/>
  <c r="AH70" i="3" s="1"/>
  <c r="V68" i="4"/>
  <c r="R69" i="3"/>
  <c r="AH69" i="3" s="1"/>
  <c r="V67" i="4"/>
  <c r="R68" i="3"/>
  <c r="AH68" i="3" s="1"/>
  <c r="V66" i="4"/>
  <c r="R67" i="3"/>
  <c r="AH67" i="3" s="1"/>
  <c r="V65" i="4"/>
  <c r="R66" i="3"/>
  <c r="AH66" i="3" s="1"/>
  <c r="V64" i="4"/>
  <c r="R65" i="3"/>
  <c r="AH65" i="3" s="1"/>
  <c r="V63" i="4"/>
  <c r="R64" i="3"/>
  <c r="AH64" i="3" s="1"/>
  <c r="V62" i="4"/>
  <c r="R63" i="3"/>
  <c r="AH63" i="3" s="1"/>
  <c r="V61" i="4"/>
  <c r="R62" i="3"/>
  <c r="AH62" i="3" s="1"/>
  <c r="V60" i="4"/>
  <c r="R61" i="3"/>
  <c r="AH61" i="3" s="1"/>
  <c r="V59" i="4"/>
  <c r="R60" i="3"/>
  <c r="AH60" i="3" s="1"/>
  <c r="V58" i="4"/>
  <c r="R59" i="3"/>
  <c r="AH59" i="3" s="1"/>
  <c r="V57" i="4"/>
  <c r="R58" i="3"/>
  <c r="AH58" i="3" s="1"/>
  <c r="V56" i="4"/>
  <c r="R57" i="3"/>
  <c r="AH57" i="3" s="1"/>
  <c r="V54" i="4"/>
  <c r="R55" i="3"/>
  <c r="AH55" i="3" s="1"/>
  <c r="V53" i="4"/>
  <c r="R54" i="3"/>
  <c r="AH54" i="3" s="1"/>
  <c r="V52" i="4"/>
  <c r="R53" i="3"/>
  <c r="AH53" i="3" s="1"/>
  <c r="V51" i="4"/>
  <c r="R52" i="3"/>
  <c r="AH52" i="3" s="1"/>
  <c r="V50" i="4"/>
  <c r="R51" i="3"/>
  <c r="AH51" i="3" s="1"/>
  <c r="V49" i="4"/>
  <c r="R50" i="3"/>
  <c r="AH50" i="3" s="1"/>
  <c r="V48" i="4"/>
  <c r="R49" i="3"/>
  <c r="AH49" i="3" s="1"/>
  <c r="V47" i="4"/>
  <c r="R48" i="3"/>
  <c r="AH48" i="3" s="1"/>
  <c r="V46" i="4"/>
  <c r="R47" i="3"/>
  <c r="AH47" i="3" s="1"/>
  <c r="V45" i="4"/>
  <c r="R46" i="3"/>
  <c r="AH46" i="3" s="1"/>
  <c r="V44" i="4"/>
  <c r="R45" i="3"/>
  <c r="AH45" i="3" s="1"/>
  <c r="V43" i="4"/>
  <c r="R44" i="3"/>
  <c r="AH44" i="3" s="1"/>
  <c r="V42" i="4"/>
  <c r="R43" i="3"/>
  <c r="AH43" i="3" s="1"/>
  <c r="V41" i="4"/>
  <c r="R42" i="3"/>
  <c r="AH42" i="3" s="1"/>
  <c r="V40" i="4"/>
  <c r="R41" i="3"/>
  <c r="AH41" i="3" s="1"/>
  <c r="V39" i="4"/>
  <c r="R40" i="3"/>
  <c r="AH40" i="3" s="1"/>
  <c r="V38" i="4"/>
  <c r="R39" i="3"/>
  <c r="AH39" i="3" s="1"/>
  <c r="V37" i="4"/>
  <c r="R38" i="3"/>
  <c r="AH38" i="3" s="1"/>
  <c r="V36" i="4"/>
  <c r="R37" i="3"/>
  <c r="AH37" i="3" s="1"/>
  <c r="V35" i="4"/>
  <c r="R36" i="3"/>
  <c r="AH36" i="3" s="1"/>
  <c r="V34" i="4"/>
  <c r="R35" i="3"/>
  <c r="AH35" i="3" s="1"/>
  <c r="V33" i="4"/>
  <c r="R34" i="3"/>
  <c r="AH34" i="3" s="1"/>
  <c r="V32" i="4"/>
  <c r="R33" i="3"/>
  <c r="AH33" i="3" s="1"/>
  <c r="V31" i="4"/>
  <c r="R32" i="3"/>
  <c r="AH32" i="3" s="1"/>
  <c r="V30" i="4"/>
  <c r="R31" i="3"/>
  <c r="AH31" i="3" s="1"/>
  <c r="V29" i="4"/>
  <c r="R30" i="3"/>
  <c r="AH30" i="3" s="1"/>
  <c r="V28" i="4"/>
  <c r="R29" i="3"/>
  <c r="AH29" i="3" s="1"/>
  <c r="V27" i="4"/>
  <c r="R28" i="3"/>
  <c r="AH28" i="3" s="1"/>
  <c r="V26" i="4"/>
  <c r="R27" i="3"/>
  <c r="AH27" i="3" s="1"/>
  <c r="V25" i="4"/>
  <c r="R26" i="3"/>
  <c r="AH26" i="3" s="1"/>
  <c r="V24" i="4"/>
  <c r="R25" i="3"/>
  <c r="AH25" i="3" s="1"/>
  <c r="R24" i="3"/>
  <c r="AH24" i="3" s="1"/>
  <c r="V23" i="4"/>
  <c r="V22" i="4"/>
  <c r="R23" i="3"/>
  <c r="AH23" i="3" s="1"/>
  <c r="R22" i="3"/>
  <c r="AH22" i="3" s="1"/>
  <c r="V21" i="4"/>
  <c r="V20" i="4"/>
  <c r="R21" i="3"/>
  <c r="AH21" i="3" s="1"/>
  <c r="V19" i="4"/>
  <c r="R20" i="3"/>
  <c r="AH20" i="3" s="1"/>
  <c r="V18" i="4"/>
  <c r="R19" i="3"/>
  <c r="AH19" i="3" s="1"/>
  <c r="V17" i="4"/>
  <c r="R18" i="3"/>
  <c r="AH18" i="3" s="1"/>
  <c r="V16" i="4"/>
  <c r="R17" i="3"/>
  <c r="AH17" i="3" s="1"/>
  <c r="V15" i="4"/>
  <c r="R16" i="3"/>
  <c r="AH16" i="3" s="1"/>
  <c r="R15" i="3"/>
  <c r="AH15" i="3" s="1"/>
  <c r="V14" i="4"/>
  <c r="V13" i="4"/>
  <c r="R14" i="3"/>
  <c r="AH14" i="3" s="1"/>
  <c r="R13" i="3"/>
  <c r="AH13" i="3" s="1"/>
  <c r="V12" i="4"/>
  <c r="V11" i="4"/>
  <c r="R12" i="3"/>
  <c r="AH12" i="3" s="1"/>
  <c r="V10" i="4"/>
  <c r="R11" i="3"/>
  <c r="AH11" i="3" s="1"/>
  <c r="V9" i="4"/>
  <c r="R10" i="3"/>
  <c r="AH10" i="3" s="1"/>
  <c r="V8" i="4"/>
  <c r="R9" i="3"/>
  <c r="AH9" i="3" s="1"/>
  <c r="V7" i="4"/>
  <c r="R8" i="3"/>
  <c r="AH8" i="3" s="1"/>
  <c r="V6" i="4"/>
  <c r="R7" i="3"/>
  <c r="AH7" i="3" s="1"/>
  <c r="V5" i="4"/>
  <c r="R6" i="3"/>
  <c r="S4" i="3"/>
  <c r="W4" i="3"/>
  <c r="AB4" i="3"/>
  <c r="AG4" i="3"/>
  <c r="V4" i="3"/>
  <c r="AA4" i="3"/>
  <c r="AE4" i="3"/>
  <c r="U4" i="3"/>
  <c r="Y4" i="3"/>
  <c r="AD4" i="3"/>
  <c r="T4" i="3"/>
  <c r="X4" i="3"/>
  <c r="AC4" i="3"/>
  <c r="AF4" i="3"/>
  <c r="O9" i="3" l="1"/>
  <c r="P9" i="3"/>
  <c r="M9" i="3"/>
  <c r="N9" i="3"/>
  <c r="O11" i="3"/>
  <c r="P11" i="3"/>
  <c r="M11" i="3"/>
  <c r="N11" i="3"/>
  <c r="O12" i="3"/>
  <c r="P12" i="3"/>
  <c r="M12" i="3"/>
  <c r="N12" i="3"/>
  <c r="O14" i="3"/>
  <c r="P14" i="3"/>
  <c r="M14" i="3"/>
  <c r="N14" i="3"/>
  <c r="O16" i="3"/>
  <c r="P16" i="3"/>
  <c r="M16" i="3"/>
  <c r="N16" i="3"/>
  <c r="O22" i="3"/>
  <c r="P22" i="3"/>
  <c r="M22" i="3"/>
  <c r="N22" i="3"/>
  <c r="O26" i="3"/>
  <c r="P26" i="3"/>
  <c r="M26" i="3"/>
  <c r="N26" i="3"/>
  <c r="O27" i="3"/>
  <c r="P27" i="3"/>
  <c r="M27" i="3"/>
  <c r="N27" i="3"/>
  <c r="O28" i="3"/>
  <c r="P28" i="3"/>
  <c r="M28" i="3"/>
  <c r="N28" i="3"/>
  <c r="O29" i="3"/>
  <c r="P29" i="3"/>
  <c r="M29" i="3"/>
  <c r="N29" i="3"/>
  <c r="O30" i="3"/>
  <c r="P30" i="3"/>
  <c r="M30" i="3"/>
  <c r="N30" i="3"/>
  <c r="O31" i="3"/>
  <c r="P31" i="3"/>
  <c r="M31" i="3"/>
  <c r="N31" i="3"/>
  <c r="O32" i="3"/>
  <c r="P32" i="3"/>
  <c r="M32" i="3"/>
  <c r="N32" i="3"/>
  <c r="O33" i="3"/>
  <c r="P33" i="3"/>
  <c r="M33" i="3"/>
  <c r="N33" i="3"/>
  <c r="O34" i="3"/>
  <c r="P34" i="3"/>
  <c r="M34" i="3"/>
  <c r="N34" i="3"/>
  <c r="O35" i="3"/>
  <c r="P35" i="3"/>
  <c r="M35" i="3"/>
  <c r="N35" i="3"/>
  <c r="O36" i="3"/>
  <c r="P36" i="3"/>
  <c r="M36" i="3"/>
  <c r="N36" i="3"/>
  <c r="O37" i="3"/>
  <c r="P37" i="3"/>
  <c r="M37" i="3"/>
  <c r="N37" i="3"/>
  <c r="O38" i="3"/>
  <c r="P38" i="3"/>
  <c r="M38" i="3"/>
  <c r="N38" i="3"/>
  <c r="O39" i="3"/>
  <c r="P39" i="3"/>
  <c r="M39" i="3"/>
  <c r="Q39" i="3" s="1"/>
  <c r="AI39" i="3" s="1"/>
  <c r="AJ39" i="3" s="1"/>
  <c r="M37" i="2" s="1"/>
  <c r="N39" i="3"/>
  <c r="P40" i="3"/>
  <c r="M40" i="3"/>
  <c r="N40" i="3"/>
  <c r="O40" i="3"/>
  <c r="O41" i="3"/>
  <c r="P41" i="3"/>
  <c r="M41" i="3"/>
  <c r="Q41" i="3" s="1"/>
  <c r="AI41" i="3" s="1"/>
  <c r="AJ41" i="3" s="1"/>
  <c r="M39" i="2" s="1"/>
  <c r="N41" i="3"/>
  <c r="O42" i="3"/>
  <c r="P42" i="3"/>
  <c r="M42" i="3"/>
  <c r="N42" i="3"/>
  <c r="P43" i="3"/>
  <c r="M43" i="3"/>
  <c r="N43" i="3"/>
  <c r="O43" i="3"/>
  <c r="O44" i="3"/>
  <c r="P44" i="3"/>
  <c r="M44" i="3"/>
  <c r="Q44" i="3" s="1"/>
  <c r="AI44" i="3" s="1"/>
  <c r="AJ44" i="3" s="1"/>
  <c r="M42" i="2" s="1"/>
  <c r="N44" i="3"/>
  <c r="O45" i="3"/>
  <c r="P45" i="3"/>
  <c r="M45" i="3"/>
  <c r="N45" i="3"/>
  <c r="P46" i="3"/>
  <c r="M46" i="3"/>
  <c r="N46" i="3"/>
  <c r="O46" i="3"/>
  <c r="P47" i="3"/>
  <c r="M47" i="3"/>
  <c r="N47" i="3"/>
  <c r="O47" i="3"/>
  <c r="O7" i="3"/>
  <c r="P7" i="3"/>
  <c r="M7" i="3"/>
  <c r="N7" i="3"/>
  <c r="O8" i="3"/>
  <c r="P8" i="3"/>
  <c r="M8" i="3"/>
  <c r="N8" i="3"/>
  <c r="O10" i="3"/>
  <c r="P10" i="3"/>
  <c r="M10" i="3"/>
  <c r="N10" i="3"/>
  <c r="O13" i="3"/>
  <c r="P13" i="3"/>
  <c r="M13" i="3"/>
  <c r="N13" i="3"/>
  <c r="O15" i="3"/>
  <c r="P15" i="3"/>
  <c r="M15" i="3"/>
  <c r="N15" i="3"/>
  <c r="O17" i="3"/>
  <c r="P17" i="3"/>
  <c r="M17" i="3"/>
  <c r="Q17" i="3" s="1"/>
  <c r="AI17" i="3" s="1"/>
  <c r="AJ17" i="3" s="1"/>
  <c r="M15" i="2" s="1"/>
  <c r="N17" i="3"/>
  <c r="O18" i="3"/>
  <c r="P18" i="3"/>
  <c r="M18" i="3"/>
  <c r="N18" i="3"/>
  <c r="O19" i="3"/>
  <c r="P19" i="3"/>
  <c r="M19" i="3"/>
  <c r="Q19" i="3" s="1"/>
  <c r="AI19" i="3" s="1"/>
  <c r="AJ19" i="3" s="1"/>
  <c r="M17" i="2" s="1"/>
  <c r="N19" i="3"/>
  <c r="O20" i="3"/>
  <c r="P20" i="3"/>
  <c r="M20" i="3"/>
  <c r="N20" i="3"/>
  <c r="O21" i="3"/>
  <c r="P21" i="3"/>
  <c r="M21" i="3"/>
  <c r="Q21" i="3" s="1"/>
  <c r="AI21" i="3" s="1"/>
  <c r="AJ21" i="3" s="1"/>
  <c r="M19" i="2" s="1"/>
  <c r="N21" i="3"/>
  <c r="O23" i="3"/>
  <c r="P23" i="3"/>
  <c r="M23" i="3"/>
  <c r="N23" i="3"/>
  <c r="O24" i="3"/>
  <c r="P24" i="3"/>
  <c r="M24" i="3"/>
  <c r="Q24" i="3" s="1"/>
  <c r="AI24" i="3" s="1"/>
  <c r="AJ24" i="3" s="1"/>
  <c r="M22" i="2" s="1"/>
  <c r="N24" i="3"/>
  <c r="O25" i="3"/>
  <c r="P25" i="3"/>
  <c r="M25" i="3"/>
  <c r="Q25" i="3" s="1"/>
  <c r="AI25" i="3" s="1"/>
  <c r="AJ25" i="3" s="1"/>
  <c r="M23" i="2" s="1"/>
  <c r="N25" i="3"/>
  <c r="P48" i="3"/>
  <c r="M48" i="3"/>
  <c r="N48" i="3"/>
  <c r="O48" i="3"/>
  <c r="O49" i="3"/>
  <c r="P49" i="3"/>
  <c r="M49" i="3"/>
  <c r="N49" i="3"/>
  <c r="O50" i="3"/>
  <c r="P50" i="3"/>
  <c r="M50" i="3"/>
  <c r="N50" i="3"/>
  <c r="O51" i="3"/>
  <c r="P51" i="3"/>
  <c r="M51" i="3"/>
  <c r="N51" i="3"/>
  <c r="P52" i="3"/>
  <c r="M52" i="3"/>
  <c r="N52" i="3"/>
  <c r="O52" i="3"/>
  <c r="P53" i="3"/>
  <c r="M53" i="3"/>
  <c r="N53" i="3"/>
  <c r="O53" i="3"/>
  <c r="P54" i="3"/>
  <c r="M54" i="3"/>
  <c r="N54" i="3"/>
  <c r="O54" i="3"/>
  <c r="O55" i="3"/>
  <c r="P55" i="3"/>
  <c r="M55" i="3"/>
  <c r="N55" i="3"/>
  <c r="O56" i="3"/>
  <c r="P56" i="3"/>
  <c r="M56" i="3"/>
  <c r="N56" i="3"/>
  <c r="O57" i="3"/>
  <c r="P57" i="3"/>
  <c r="M57" i="3"/>
  <c r="N57" i="3"/>
  <c r="O58" i="3"/>
  <c r="P58" i="3"/>
  <c r="M58" i="3"/>
  <c r="N58" i="3"/>
  <c r="O59" i="3"/>
  <c r="P59" i="3"/>
  <c r="M59" i="3"/>
  <c r="N59" i="3"/>
  <c r="O60" i="3"/>
  <c r="P60" i="3"/>
  <c r="M60" i="3"/>
  <c r="N60" i="3"/>
  <c r="O61" i="3"/>
  <c r="P61" i="3"/>
  <c r="M61" i="3"/>
  <c r="N61" i="3"/>
  <c r="O62" i="3"/>
  <c r="P62" i="3"/>
  <c r="M62" i="3"/>
  <c r="N62" i="3"/>
  <c r="O63" i="3"/>
  <c r="P63" i="3"/>
  <c r="M63" i="3"/>
  <c r="N63" i="3"/>
  <c r="O64" i="3"/>
  <c r="P64" i="3"/>
  <c r="M64" i="3"/>
  <c r="N64" i="3"/>
  <c r="O65" i="3"/>
  <c r="P65" i="3"/>
  <c r="M65" i="3"/>
  <c r="N65" i="3"/>
  <c r="O66" i="3"/>
  <c r="P66" i="3"/>
  <c r="M66" i="3"/>
  <c r="N66" i="3"/>
  <c r="O67" i="3"/>
  <c r="P67" i="3"/>
  <c r="M67" i="3"/>
  <c r="N67" i="3"/>
  <c r="O68" i="3"/>
  <c r="P68" i="3"/>
  <c r="M68" i="3"/>
  <c r="N68" i="3"/>
  <c r="O69" i="3"/>
  <c r="P69" i="3"/>
  <c r="M69" i="3"/>
  <c r="N69" i="3"/>
  <c r="O70" i="3"/>
  <c r="P70" i="3"/>
  <c r="M70" i="3"/>
  <c r="N70" i="3"/>
  <c r="O71" i="3"/>
  <c r="P71" i="3"/>
  <c r="M71" i="3"/>
  <c r="N71" i="3"/>
  <c r="O72" i="3"/>
  <c r="P72" i="3"/>
  <c r="M72" i="3"/>
  <c r="N72" i="3"/>
  <c r="O73" i="3"/>
  <c r="P73" i="3"/>
  <c r="M73" i="3"/>
  <c r="N73" i="3"/>
  <c r="O74" i="3"/>
  <c r="P74" i="3"/>
  <c r="M74" i="3"/>
  <c r="N74" i="3"/>
  <c r="O75" i="3"/>
  <c r="P75" i="3"/>
  <c r="M75" i="3"/>
  <c r="N75" i="3"/>
  <c r="O76" i="3"/>
  <c r="P76" i="3"/>
  <c r="M76" i="3"/>
  <c r="N76" i="3"/>
  <c r="O77" i="3"/>
  <c r="P77" i="3"/>
  <c r="M77" i="3"/>
  <c r="N77" i="3"/>
  <c r="O78" i="3"/>
  <c r="P78" i="3"/>
  <c r="M78" i="3"/>
  <c r="N78" i="3"/>
  <c r="O79" i="3"/>
  <c r="P79" i="3"/>
  <c r="M79" i="3"/>
  <c r="N79" i="3"/>
  <c r="O80" i="3"/>
  <c r="P80" i="3"/>
  <c r="M80" i="3"/>
  <c r="N80" i="3"/>
  <c r="O81" i="3"/>
  <c r="P81" i="3"/>
  <c r="M81" i="3"/>
  <c r="N81" i="3"/>
  <c r="O82" i="3"/>
  <c r="P82" i="3"/>
  <c r="M82" i="3"/>
  <c r="N82" i="3"/>
  <c r="O83" i="3"/>
  <c r="P83" i="3"/>
  <c r="M83" i="3"/>
  <c r="N83" i="3"/>
  <c r="O84" i="3"/>
  <c r="P84" i="3"/>
  <c r="M84" i="3"/>
  <c r="N84" i="3"/>
  <c r="O85" i="3"/>
  <c r="P85" i="3"/>
  <c r="M85" i="3"/>
  <c r="N85" i="3"/>
  <c r="O86" i="3"/>
  <c r="P86" i="3"/>
  <c r="M86" i="3"/>
  <c r="N86" i="3"/>
  <c r="O87" i="3"/>
  <c r="P87" i="3"/>
  <c r="M87" i="3"/>
  <c r="N87" i="3"/>
  <c r="O88" i="3"/>
  <c r="P88" i="3"/>
  <c r="M88" i="3"/>
  <c r="N88" i="3"/>
  <c r="O89" i="3"/>
  <c r="P89" i="3"/>
  <c r="M89" i="3"/>
  <c r="N89" i="3"/>
  <c r="O90" i="3"/>
  <c r="P90" i="3"/>
  <c r="M90" i="3"/>
  <c r="N90" i="3"/>
  <c r="O91" i="3"/>
  <c r="P91" i="3"/>
  <c r="M91" i="3"/>
  <c r="N91" i="3"/>
  <c r="O92" i="3"/>
  <c r="P92" i="3"/>
  <c r="M92" i="3"/>
  <c r="N92" i="3"/>
  <c r="O93" i="3"/>
  <c r="P93" i="3"/>
  <c r="M93" i="3"/>
  <c r="N93" i="3"/>
  <c r="O94" i="3"/>
  <c r="P94" i="3"/>
  <c r="M94" i="3"/>
  <c r="N94" i="3"/>
  <c r="O95" i="3"/>
  <c r="P95" i="3"/>
  <c r="M95" i="3"/>
  <c r="N95" i="3"/>
  <c r="O96" i="3"/>
  <c r="P96" i="3"/>
  <c r="M96" i="3"/>
  <c r="N96" i="3"/>
  <c r="O97" i="3"/>
  <c r="P97" i="3"/>
  <c r="M97" i="3"/>
  <c r="N97" i="3"/>
  <c r="O98" i="3"/>
  <c r="P98" i="3"/>
  <c r="M98" i="3"/>
  <c r="N98" i="3"/>
  <c r="O99" i="3"/>
  <c r="P99" i="3"/>
  <c r="M99" i="3"/>
  <c r="N99" i="3"/>
  <c r="P100" i="3"/>
  <c r="M100" i="3"/>
  <c r="N100" i="3"/>
  <c r="O100" i="3"/>
  <c r="O101" i="3"/>
  <c r="P101" i="3"/>
  <c r="M101" i="3"/>
  <c r="N101" i="3"/>
  <c r="O102" i="3"/>
  <c r="P102" i="3"/>
  <c r="M102" i="3"/>
  <c r="N102" i="3"/>
  <c r="O103" i="3"/>
  <c r="P103" i="3"/>
  <c r="M103" i="3"/>
  <c r="N103" i="3"/>
  <c r="O104" i="3"/>
  <c r="P104" i="3"/>
  <c r="M104" i="3"/>
  <c r="N104" i="3"/>
  <c r="O105" i="3"/>
  <c r="P105" i="3"/>
  <c r="M105" i="3"/>
  <c r="N105" i="3"/>
  <c r="O106" i="3"/>
  <c r="P106" i="3"/>
  <c r="M106" i="3"/>
  <c r="N106" i="3"/>
  <c r="O107" i="3"/>
  <c r="P107" i="3"/>
  <c r="M107" i="3"/>
  <c r="N107" i="3"/>
  <c r="O108" i="3"/>
  <c r="P108" i="3"/>
  <c r="M108" i="3"/>
  <c r="N108" i="3"/>
  <c r="O109" i="3"/>
  <c r="P109" i="3"/>
  <c r="M109" i="3"/>
  <c r="N109" i="3"/>
  <c r="O110" i="3"/>
  <c r="P110" i="3"/>
  <c r="M110" i="3"/>
  <c r="N110" i="3"/>
  <c r="O111" i="3"/>
  <c r="P111" i="3"/>
  <c r="M111" i="3"/>
  <c r="N111" i="3"/>
  <c r="O112" i="3"/>
  <c r="P112" i="3"/>
  <c r="M112" i="3"/>
  <c r="N112" i="3"/>
  <c r="O113" i="3"/>
  <c r="P113" i="3"/>
  <c r="M113" i="3"/>
  <c r="N113" i="3"/>
  <c r="O114" i="3"/>
  <c r="P114" i="3"/>
  <c r="M114" i="3"/>
  <c r="N114" i="3"/>
  <c r="O115" i="3"/>
  <c r="P115" i="3"/>
  <c r="M115" i="3"/>
  <c r="N115" i="3"/>
  <c r="O116" i="3"/>
  <c r="P116" i="3"/>
  <c r="M116" i="3"/>
  <c r="N116" i="3"/>
  <c r="O117" i="3"/>
  <c r="P117" i="3"/>
  <c r="M117" i="3"/>
  <c r="N117" i="3"/>
  <c r="O118" i="3"/>
  <c r="P118" i="3"/>
  <c r="M118" i="3"/>
  <c r="N118" i="3"/>
  <c r="O119" i="3"/>
  <c r="P119" i="3"/>
  <c r="M119" i="3"/>
  <c r="N119" i="3"/>
  <c r="O120" i="3"/>
  <c r="P120" i="3"/>
  <c r="M120" i="3"/>
  <c r="N120" i="3"/>
  <c r="O121" i="3"/>
  <c r="P121" i="3"/>
  <c r="M121" i="3"/>
  <c r="N121" i="3"/>
  <c r="O122" i="3"/>
  <c r="P122" i="3"/>
  <c r="M122" i="3"/>
  <c r="N122" i="3"/>
  <c r="O123" i="3"/>
  <c r="P123" i="3"/>
  <c r="M123" i="3"/>
  <c r="N123" i="3"/>
  <c r="O124" i="3"/>
  <c r="P124" i="3"/>
  <c r="M124" i="3"/>
  <c r="N124" i="3"/>
  <c r="O125" i="3"/>
  <c r="P125" i="3"/>
  <c r="M125" i="3"/>
  <c r="N125" i="3"/>
  <c r="O126" i="3"/>
  <c r="P126" i="3"/>
  <c r="M126" i="3"/>
  <c r="N126" i="3"/>
  <c r="O127" i="3"/>
  <c r="P127" i="3"/>
  <c r="M127" i="3"/>
  <c r="N127" i="3"/>
  <c r="O128" i="3"/>
  <c r="P128" i="3"/>
  <c r="M128" i="3"/>
  <c r="Q128" i="3" s="1"/>
  <c r="AI128" i="3" s="1"/>
  <c r="AJ128" i="3" s="1"/>
  <c r="M126" i="2" s="1"/>
  <c r="N128" i="3"/>
  <c r="O129" i="3"/>
  <c r="P129" i="3"/>
  <c r="M129" i="3"/>
  <c r="N129" i="3"/>
  <c r="O130" i="3"/>
  <c r="P130" i="3"/>
  <c r="M130" i="3"/>
  <c r="N130" i="3"/>
  <c r="O131" i="3"/>
  <c r="P131" i="3"/>
  <c r="M131" i="3"/>
  <c r="N131" i="3"/>
  <c r="O132" i="3"/>
  <c r="P132" i="3"/>
  <c r="M132" i="3"/>
  <c r="N132" i="3"/>
  <c r="O133" i="3"/>
  <c r="P133" i="3"/>
  <c r="M133" i="3"/>
  <c r="N133" i="3"/>
  <c r="O134" i="3"/>
  <c r="P134" i="3"/>
  <c r="M134" i="3"/>
  <c r="N134" i="3"/>
  <c r="O135" i="3"/>
  <c r="P135" i="3"/>
  <c r="M135" i="3"/>
  <c r="N135" i="3"/>
  <c r="O136" i="3"/>
  <c r="P136" i="3"/>
  <c r="M136" i="3"/>
  <c r="N136" i="3"/>
  <c r="O137" i="3"/>
  <c r="P137" i="3"/>
  <c r="M137" i="3"/>
  <c r="N137" i="3"/>
  <c r="O138" i="3"/>
  <c r="P138" i="3"/>
  <c r="M138" i="3"/>
  <c r="N138" i="3"/>
  <c r="O139" i="3"/>
  <c r="P139" i="3"/>
  <c r="M139" i="3"/>
  <c r="N139" i="3"/>
  <c r="O140" i="3"/>
  <c r="P140" i="3"/>
  <c r="M140" i="3"/>
  <c r="N140" i="3"/>
  <c r="O141" i="3"/>
  <c r="P141" i="3"/>
  <c r="M141" i="3"/>
  <c r="N141" i="3"/>
  <c r="O142" i="3"/>
  <c r="P142" i="3"/>
  <c r="M142" i="3"/>
  <c r="N142" i="3"/>
  <c r="O143" i="3"/>
  <c r="P143" i="3"/>
  <c r="M143" i="3"/>
  <c r="N143" i="3"/>
  <c r="O144" i="3"/>
  <c r="P144" i="3"/>
  <c r="M144" i="3"/>
  <c r="N144" i="3"/>
  <c r="O145" i="3"/>
  <c r="P145" i="3"/>
  <c r="M145" i="3"/>
  <c r="N145" i="3"/>
  <c r="O146" i="3"/>
  <c r="P146" i="3"/>
  <c r="M146" i="3"/>
  <c r="N146" i="3"/>
  <c r="O147" i="3"/>
  <c r="P147" i="3"/>
  <c r="M147" i="3"/>
  <c r="N147" i="3"/>
  <c r="O148" i="3"/>
  <c r="P148" i="3"/>
  <c r="M148" i="3"/>
  <c r="N148" i="3"/>
  <c r="O149" i="3"/>
  <c r="P149" i="3"/>
  <c r="M149" i="3"/>
  <c r="N149" i="3"/>
  <c r="O150" i="3"/>
  <c r="P150" i="3"/>
  <c r="M150" i="3"/>
  <c r="N150" i="3"/>
  <c r="O151" i="3"/>
  <c r="P151" i="3"/>
  <c r="M151" i="3"/>
  <c r="N151" i="3"/>
  <c r="O152" i="3"/>
  <c r="P152" i="3"/>
  <c r="M152" i="3"/>
  <c r="N152" i="3"/>
  <c r="O153" i="3"/>
  <c r="P153" i="3"/>
  <c r="M153" i="3"/>
  <c r="N153" i="3"/>
  <c r="O154" i="3"/>
  <c r="P154" i="3"/>
  <c r="M154" i="3"/>
  <c r="N154" i="3"/>
  <c r="O155" i="3"/>
  <c r="P155" i="3"/>
  <c r="M155" i="3"/>
  <c r="N155" i="3"/>
  <c r="O156" i="3"/>
  <c r="P156" i="3"/>
  <c r="M156" i="3"/>
  <c r="N156" i="3"/>
  <c r="O157" i="3"/>
  <c r="P157" i="3"/>
  <c r="M157" i="3"/>
  <c r="N157" i="3"/>
  <c r="O158" i="3"/>
  <c r="P158" i="3"/>
  <c r="M158" i="3"/>
  <c r="N158" i="3"/>
  <c r="O159" i="3"/>
  <c r="P159" i="3"/>
  <c r="M159" i="3"/>
  <c r="N159" i="3"/>
  <c r="O160" i="3"/>
  <c r="P160" i="3"/>
  <c r="M160" i="3"/>
  <c r="N160" i="3"/>
  <c r="O161" i="3"/>
  <c r="P161" i="3"/>
  <c r="M161" i="3"/>
  <c r="N161" i="3"/>
  <c r="O162" i="3"/>
  <c r="P162" i="3"/>
  <c r="M162" i="3"/>
  <c r="N162" i="3"/>
  <c r="O163" i="3"/>
  <c r="P163" i="3"/>
  <c r="M163" i="3"/>
  <c r="N163" i="3"/>
  <c r="O164" i="3"/>
  <c r="P164" i="3"/>
  <c r="M164" i="3"/>
  <c r="N164" i="3"/>
  <c r="O165" i="3"/>
  <c r="P165" i="3"/>
  <c r="M165" i="3"/>
  <c r="N165" i="3"/>
  <c r="O166" i="3"/>
  <c r="P166" i="3"/>
  <c r="M166" i="3"/>
  <c r="N166" i="3"/>
  <c r="O167" i="3"/>
  <c r="P167" i="3"/>
  <c r="M167" i="3"/>
  <c r="N167" i="3"/>
  <c r="F23" i="1"/>
  <c r="R4" i="3"/>
  <c r="AH4" i="3" s="1"/>
  <c r="AH6" i="3"/>
  <c r="AI6" i="3" s="1"/>
  <c r="AJ6" i="3" s="1"/>
  <c r="M4" i="2" s="1"/>
  <c r="Q7" i="3" l="1"/>
  <c r="AI7" i="3" s="1"/>
  <c r="AJ7" i="3" s="1"/>
  <c r="M5" i="2" s="1"/>
  <c r="M4" i="3"/>
  <c r="Q48" i="3"/>
  <c r="AI48" i="3" s="1"/>
  <c r="AJ48" i="3" s="1"/>
  <c r="M46" i="2" s="1"/>
  <c r="Q49" i="3"/>
  <c r="AI49" i="3" s="1"/>
  <c r="AJ49" i="3" s="1"/>
  <c r="M47" i="2" s="1"/>
  <c r="Q50" i="3"/>
  <c r="AI50" i="3" s="1"/>
  <c r="AJ50" i="3" s="1"/>
  <c r="M48" i="2" s="1"/>
  <c r="Q51" i="3"/>
  <c r="AI51" i="3" s="1"/>
  <c r="AJ51" i="3" s="1"/>
  <c r="M49" i="2" s="1"/>
  <c r="Q52" i="3"/>
  <c r="AI52" i="3" s="1"/>
  <c r="AJ52" i="3" s="1"/>
  <c r="M50" i="2" s="1"/>
  <c r="Q53" i="3"/>
  <c r="AI53" i="3" s="1"/>
  <c r="AJ53" i="3" s="1"/>
  <c r="M51" i="2" s="1"/>
  <c r="Q54" i="3"/>
  <c r="AI54" i="3" s="1"/>
  <c r="AJ54" i="3" s="1"/>
  <c r="M52" i="2" s="1"/>
  <c r="Q55" i="3"/>
  <c r="AI55" i="3" s="1"/>
  <c r="AJ55" i="3" s="1"/>
  <c r="M53" i="2" s="1"/>
  <c r="Q56" i="3"/>
  <c r="AI56" i="3" s="1"/>
  <c r="AJ56" i="3" s="1"/>
  <c r="M54" i="2" s="1"/>
  <c r="Q57" i="3"/>
  <c r="AI57" i="3" s="1"/>
  <c r="AJ57" i="3" s="1"/>
  <c r="M55" i="2" s="1"/>
  <c r="Q58" i="3"/>
  <c r="AI58" i="3" s="1"/>
  <c r="AJ58" i="3" s="1"/>
  <c r="M56" i="2" s="1"/>
  <c r="Q59" i="3"/>
  <c r="AI59" i="3" s="1"/>
  <c r="AJ59" i="3" s="1"/>
  <c r="M57" i="2" s="1"/>
  <c r="Q60" i="3"/>
  <c r="AI60" i="3" s="1"/>
  <c r="AJ60" i="3" s="1"/>
  <c r="M58" i="2" s="1"/>
  <c r="Q61" i="3"/>
  <c r="AI61" i="3" s="1"/>
  <c r="AJ61" i="3" s="1"/>
  <c r="M59" i="2" s="1"/>
  <c r="Q62" i="3"/>
  <c r="AI62" i="3" s="1"/>
  <c r="AJ62" i="3" s="1"/>
  <c r="M60" i="2" s="1"/>
  <c r="Q63" i="3"/>
  <c r="AI63" i="3" s="1"/>
  <c r="AJ63" i="3" s="1"/>
  <c r="M61" i="2" s="1"/>
  <c r="Q64" i="3"/>
  <c r="AI64" i="3" s="1"/>
  <c r="AJ64" i="3" s="1"/>
  <c r="M62" i="2" s="1"/>
  <c r="Q65" i="3"/>
  <c r="AI65" i="3" s="1"/>
  <c r="AJ65" i="3" s="1"/>
  <c r="M63" i="2" s="1"/>
  <c r="Q66" i="3"/>
  <c r="AI66" i="3" s="1"/>
  <c r="AJ66" i="3" s="1"/>
  <c r="M64" i="2" s="1"/>
  <c r="Q67" i="3"/>
  <c r="AI67" i="3" s="1"/>
  <c r="AJ67" i="3" s="1"/>
  <c r="M65" i="2" s="1"/>
  <c r="Q68" i="3"/>
  <c r="AI68" i="3" s="1"/>
  <c r="AJ68" i="3" s="1"/>
  <c r="M66" i="2" s="1"/>
  <c r="Q69" i="3"/>
  <c r="AI69" i="3" s="1"/>
  <c r="AJ69" i="3" s="1"/>
  <c r="M67" i="2" s="1"/>
  <c r="Q70" i="3"/>
  <c r="AI70" i="3" s="1"/>
  <c r="AJ70" i="3" s="1"/>
  <c r="M68" i="2" s="1"/>
  <c r="Q71" i="3"/>
  <c r="AI71" i="3" s="1"/>
  <c r="AJ71" i="3" s="1"/>
  <c r="M69" i="2" s="1"/>
  <c r="Q72" i="3"/>
  <c r="AI72" i="3" s="1"/>
  <c r="AJ72" i="3" s="1"/>
  <c r="M70" i="2" s="1"/>
  <c r="Q73" i="3"/>
  <c r="AI73" i="3" s="1"/>
  <c r="AJ73" i="3" s="1"/>
  <c r="M71" i="2" s="1"/>
  <c r="Q74" i="3"/>
  <c r="AI74" i="3" s="1"/>
  <c r="AJ74" i="3" s="1"/>
  <c r="M72" i="2" s="1"/>
  <c r="Q75" i="3"/>
  <c r="AI75" i="3" s="1"/>
  <c r="AJ75" i="3" s="1"/>
  <c r="M73" i="2" s="1"/>
  <c r="Q76" i="3"/>
  <c r="AI76" i="3" s="1"/>
  <c r="AJ76" i="3" s="1"/>
  <c r="M74" i="2" s="1"/>
  <c r="Q77" i="3"/>
  <c r="AI77" i="3" s="1"/>
  <c r="AJ77" i="3" s="1"/>
  <c r="M75" i="2" s="1"/>
  <c r="Q78" i="3"/>
  <c r="AI78" i="3" s="1"/>
  <c r="AJ78" i="3" s="1"/>
  <c r="M76" i="2" s="1"/>
  <c r="Q79" i="3"/>
  <c r="AI79" i="3" s="1"/>
  <c r="AJ79" i="3" s="1"/>
  <c r="M77" i="2" s="1"/>
  <c r="Q80" i="3"/>
  <c r="AI80" i="3" s="1"/>
  <c r="AJ80" i="3" s="1"/>
  <c r="M78" i="2" s="1"/>
  <c r="Q81" i="3"/>
  <c r="AI81" i="3" s="1"/>
  <c r="AJ81" i="3" s="1"/>
  <c r="M79" i="2" s="1"/>
  <c r="Q82" i="3"/>
  <c r="AI82" i="3" s="1"/>
  <c r="AJ82" i="3" s="1"/>
  <c r="M80" i="2" s="1"/>
  <c r="Q83" i="3"/>
  <c r="AI83" i="3" s="1"/>
  <c r="AJ83" i="3" s="1"/>
  <c r="M81" i="2" s="1"/>
  <c r="Q84" i="3"/>
  <c r="AI84" i="3" s="1"/>
  <c r="AJ84" i="3" s="1"/>
  <c r="M82" i="2" s="1"/>
  <c r="Q85" i="3"/>
  <c r="AI85" i="3" s="1"/>
  <c r="AJ85" i="3" s="1"/>
  <c r="M83" i="2" s="1"/>
  <c r="Q86" i="3"/>
  <c r="AI86" i="3" s="1"/>
  <c r="AJ86" i="3" s="1"/>
  <c r="M84" i="2" s="1"/>
  <c r="Q87" i="3"/>
  <c r="AI87" i="3" s="1"/>
  <c r="AJ87" i="3" s="1"/>
  <c r="M85" i="2" s="1"/>
  <c r="Q88" i="3"/>
  <c r="AI88" i="3" s="1"/>
  <c r="AJ88" i="3" s="1"/>
  <c r="M86" i="2" s="1"/>
  <c r="Q89" i="3"/>
  <c r="AI89" i="3" s="1"/>
  <c r="AJ89" i="3" s="1"/>
  <c r="M87" i="2" s="1"/>
  <c r="Q90" i="3"/>
  <c r="AI90" i="3" s="1"/>
  <c r="AJ90" i="3" s="1"/>
  <c r="M88" i="2" s="1"/>
  <c r="Q91" i="3"/>
  <c r="AI91" i="3" s="1"/>
  <c r="AJ91" i="3" s="1"/>
  <c r="M89" i="2" s="1"/>
  <c r="Q92" i="3"/>
  <c r="AI92" i="3" s="1"/>
  <c r="AJ92" i="3" s="1"/>
  <c r="M90" i="2" s="1"/>
  <c r="Q93" i="3"/>
  <c r="AI93" i="3" s="1"/>
  <c r="AJ93" i="3" s="1"/>
  <c r="M91" i="2" s="1"/>
  <c r="Q94" i="3"/>
  <c r="AI94" i="3" s="1"/>
  <c r="AJ94" i="3" s="1"/>
  <c r="M92" i="2" s="1"/>
  <c r="Q95" i="3"/>
  <c r="AI95" i="3" s="1"/>
  <c r="AJ95" i="3" s="1"/>
  <c r="M93" i="2" s="1"/>
  <c r="Q96" i="3"/>
  <c r="AI96" i="3" s="1"/>
  <c r="AJ96" i="3" s="1"/>
  <c r="M94" i="2" s="1"/>
  <c r="Q97" i="3"/>
  <c r="AI97" i="3" s="1"/>
  <c r="AJ97" i="3" s="1"/>
  <c r="M95" i="2" s="1"/>
  <c r="Q98" i="3"/>
  <c r="AI98" i="3" s="1"/>
  <c r="AJ98" i="3" s="1"/>
  <c r="M96" i="2" s="1"/>
  <c r="Q99" i="3"/>
  <c r="AI99" i="3" s="1"/>
  <c r="AJ99" i="3" s="1"/>
  <c r="M97" i="2" s="1"/>
  <c r="Q100" i="3"/>
  <c r="AI100" i="3" s="1"/>
  <c r="AJ100" i="3" s="1"/>
  <c r="M98" i="2" s="1"/>
  <c r="Q101" i="3"/>
  <c r="AI101" i="3" s="1"/>
  <c r="AJ101" i="3" s="1"/>
  <c r="M99" i="2" s="1"/>
  <c r="Q102" i="3"/>
  <c r="AI102" i="3" s="1"/>
  <c r="AJ102" i="3" s="1"/>
  <c r="M100" i="2" s="1"/>
  <c r="Q103" i="3"/>
  <c r="AI103" i="3" s="1"/>
  <c r="AJ103" i="3" s="1"/>
  <c r="M101" i="2" s="1"/>
  <c r="Q104" i="3"/>
  <c r="AI104" i="3" s="1"/>
  <c r="AJ104" i="3" s="1"/>
  <c r="M102" i="2" s="1"/>
  <c r="Q105" i="3"/>
  <c r="AI105" i="3" s="1"/>
  <c r="AJ105" i="3" s="1"/>
  <c r="M103" i="2" s="1"/>
  <c r="Q106" i="3"/>
  <c r="AI106" i="3" s="1"/>
  <c r="AJ106" i="3" s="1"/>
  <c r="M104" i="2" s="1"/>
  <c r="Q107" i="3"/>
  <c r="AI107" i="3" s="1"/>
  <c r="AJ107" i="3" s="1"/>
  <c r="M105" i="2" s="1"/>
  <c r="Q108" i="3"/>
  <c r="AI108" i="3" s="1"/>
  <c r="AJ108" i="3" s="1"/>
  <c r="M106" i="2" s="1"/>
  <c r="Q109" i="3"/>
  <c r="AI109" i="3" s="1"/>
  <c r="AJ109" i="3" s="1"/>
  <c r="M107" i="2" s="1"/>
  <c r="Q110" i="3"/>
  <c r="AI110" i="3" s="1"/>
  <c r="AJ110" i="3" s="1"/>
  <c r="M108" i="2" s="1"/>
  <c r="Q111" i="3"/>
  <c r="AI111" i="3" s="1"/>
  <c r="AJ111" i="3" s="1"/>
  <c r="M109" i="2" s="1"/>
  <c r="Q112" i="3"/>
  <c r="AI112" i="3" s="1"/>
  <c r="AJ112" i="3" s="1"/>
  <c r="M110" i="2" s="1"/>
  <c r="Q113" i="3"/>
  <c r="AI113" i="3" s="1"/>
  <c r="AJ113" i="3" s="1"/>
  <c r="M111" i="2" s="1"/>
  <c r="Q114" i="3"/>
  <c r="AI114" i="3" s="1"/>
  <c r="AJ114" i="3" s="1"/>
  <c r="M112" i="2" s="1"/>
  <c r="Q115" i="3"/>
  <c r="AI115" i="3" s="1"/>
  <c r="AJ115" i="3" s="1"/>
  <c r="M113" i="2" s="1"/>
  <c r="Q116" i="3"/>
  <c r="AI116" i="3" s="1"/>
  <c r="AJ116" i="3" s="1"/>
  <c r="M114" i="2" s="1"/>
  <c r="Q117" i="3"/>
  <c r="AI117" i="3" s="1"/>
  <c r="AJ117" i="3" s="1"/>
  <c r="M115" i="2" s="1"/>
  <c r="Q118" i="3"/>
  <c r="AI118" i="3" s="1"/>
  <c r="AJ118" i="3" s="1"/>
  <c r="M116" i="2" s="1"/>
  <c r="Q119" i="3"/>
  <c r="AI119" i="3" s="1"/>
  <c r="AJ119" i="3" s="1"/>
  <c r="M117" i="2" s="1"/>
  <c r="Q120" i="3"/>
  <c r="AI120" i="3" s="1"/>
  <c r="AJ120" i="3" s="1"/>
  <c r="M118" i="2" s="1"/>
  <c r="Q121" i="3"/>
  <c r="AI121" i="3" s="1"/>
  <c r="AJ121" i="3" s="1"/>
  <c r="M119" i="2" s="1"/>
  <c r="Q122" i="3"/>
  <c r="AI122" i="3" s="1"/>
  <c r="AJ122" i="3" s="1"/>
  <c r="M120" i="2" s="1"/>
  <c r="Q123" i="3"/>
  <c r="AI123" i="3" s="1"/>
  <c r="AJ123" i="3" s="1"/>
  <c r="M121" i="2" s="1"/>
  <c r="Q124" i="3"/>
  <c r="AI124" i="3" s="1"/>
  <c r="AJ124" i="3" s="1"/>
  <c r="M122" i="2" s="1"/>
  <c r="Q125" i="3"/>
  <c r="AI125" i="3" s="1"/>
  <c r="AJ125" i="3" s="1"/>
  <c r="M123" i="2" s="1"/>
  <c r="Q126" i="3"/>
  <c r="AI126" i="3" s="1"/>
  <c r="AJ126" i="3" s="1"/>
  <c r="M124" i="2" s="1"/>
  <c r="Q127" i="3"/>
  <c r="AI127" i="3" s="1"/>
  <c r="AJ127" i="3" s="1"/>
  <c r="M125" i="2" s="1"/>
  <c r="Q38" i="3"/>
  <c r="AI38" i="3" s="1"/>
  <c r="AJ38" i="3" s="1"/>
  <c r="M36" i="2" s="1"/>
  <c r="Q42" i="3"/>
  <c r="AI42" i="3" s="1"/>
  <c r="AJ42" i="3" s="1"/>
  <c r="M40" i="2" s="1"/>
  <c r="Q43" i="3"/>
  <c r="AI43" i="3" s="1"/>
  <c r="AJ43" i="3" s="1"/>
  <c r="M41" i="2" s="1"/>
  <c r="Q45" i="3"/>
  <c r="AI45" i="3" s="1"/>
  <c r="AJ45" i="3" s="1"/>
  <c r="M43" i="2" s="1"/>
  <c r="Q46" i="3"/>
  <c r="AI46" i="3" s="1"/>
  <c r="AJ46" i="3" s="1"/>
  <c r="M44" i="2" s="1"/>
  <c r="Q47" i="3"/>
  <c r="AI47" i="3" s="1"/>
  <c r="AJ47" i="3" s="1"/>
  <c r="M45" i="2" s="1"/>
  <c r="P4" i="3"/>
  <c r="F27" i="1" s="1"/>
  <c r="N4" i="3"/>
  <c r="F24" i="1" s="1"/>
  <c r="Q10" i="3"/>
  <c r="AI10" i="3" s="1"/>
  <c r="AJ10" i="3" s="1"/>
  <c r="M8" i="2" s="1"/>
  <c r="Q23" i="3"/>
  <c r="AI23" i="3" s="1"/>
  <c r="AJ23" i="3" s="1"/>
  <c r="M21" i="2" s="1"/>
  <c r="Q129" i="3"/>
  <c r="AI129" i="3" s="1"/>
  <c r="AJ129" i="3" s="1"/>
  <c r="M127" i="2" s="1"/>
  <c r="Q130" i="3"/>
  <c r="AI130" i="3" s="1"/>
  <c r="AJ130" i="3" s="1"/>
  <c r="M128" i="2" s="1"/>
  <c r="Q131" i="3"/>
  <c r="AI131" i="3" s="1"/>
  <c r="AJ131" i="3" s="1"/>
  <c r="M129" i="2" s="1"/>
  <c r="Q132" i="3"/>
  <c r="AI132" i="3" s="1"/>
  <c r="AJ132" i="3" s="1"/>
  <c r="M130" i="2" s="1"/>
  <c r="Q133" i="3"/>
  <c r="AI133" i="3" s="1"/>
  <c r="AJ133" i="3" s="1"/>
  <c r="M131" i="2" s="1"/>
  <c r="Q134" i="3"/>
  <c r="AI134" i="3" s="1"/>
  <c r="AJ134" i="3" s="1"/>
  <c r="M132" i="2" s="1"/>
  <c r="Q135" i="3"/>
  <c r="AI135" i="3" s="1"/>
  <c r="AJ135" i="3" s="1"/>
  <c r="M133" i="2" s="1"/>
  <c r="Q136" i="3"/>
  <c r="AI136" i="3" s="1"/>
  <c r="AJ136" i="3" s="1"/>
  <c r="M134" i="2" s="1"/>
  <c r="Q137" i="3"/>
  <c r="AI137" i="3" s="1"/>
  <c r="AJ137" i="3" s="1"/>
  <c r="M135" i="2" s="1"/>
  <c r="Q138" i="3"/>
  <c r="AI138" i="3" s="1"/>
  <c r="AJ138" i="3" s="1"/>
  <c r="M136" i="2" s="1"/>
  <c r="Q139" i="3"/>
  <c r="AI139" i="3" s="1"/>
  <c r="AJ139" i="3" s="1"/>
  <c r="M137" i="2" s="1"/>
  <c r="Q140" i="3"/>
  <c r="AI140" i="3" s="1"/>
  <c r="AJ140" i="3" s="1"/>
  <c r="M138" i="2" s="1"/>
  <c r="Q141" i="3"/>
  <c r="AI141" i="3" s="1"/>
  <c r="AJ141" i="3" s="1"/>
  <c r="M139" i="2" s="1"/>
  <c r="Q142" i="3"/>
  <c r="AI142" i="3" s="1"/>
  <c r="AJ142" i="3" s="1"/>
  <c r="M140" i="2" s="1"/>
  <c r="Q143" i="3"/>
  <c r="AI143" i="3" s="1"/>
  <c r="AJ143" i="3" s="1"/>
  <c r="M141" i="2" s="1"/>
  <c r="Q144" i="3"/>
  <c r="AI144" i="3" s="1"/>
  <c r="AJ144" i="3" s="1"/>
  <c r="M142" i="2" s="1"/>
  <c r="Q145" i="3"/>
  <c r="AI145" i="3" s="1"/>
  <c r="AJ145" i="3" s="1"/>
  <c r="M143" i="2" s="1"/>
  <c r="Q146" i="3"/>
  <c r="AI146" i="3" s="1"/>
  <c r="AJ146" i="3" s="1"/>
  <c r="M144" i="2" s="1"/>
  <c r="Q147" i="3"/>
  <c r="AI147" i="3" s="1"/>
  <c r="AJ147" i="3" s="1"/>
  <c r="M145" i="2" s="1"/>
  <c r="Q148" i="3"/>
  <c r="AI148" i="3" s="1"/>
  <c r="AJ148" i="3" s="1"/>
  <c r="M146" i="2" s="1"/>
  <c r="Q149" i="3"/>
  <c r="AI149" i="3" s="1"/>
  <c r="AJ149" i="3" s="1"/>
  <c r="M147" i="2" s="1"/>
  <c r="Q150" i="3"/>
  <c r="AI150" i="3" s="1"/>
  <c r="AJ150" i="3" s="1"/>
  <c r="M148" i="2" s="1"/>
  <c r="Q151" i="3"/>
  <c r="AI151" i="3" s="1"/>
  <c r="AJ151" i="3" s="1"/>
  <c r="M149" i="2" s="1"/>
  <c r="Q152" i="3"/>
  <c r="AI152" i="3" s="1"/>
  <c r="AJ152" i="3" s="1"/>
  <c r="M150" i="2" s="1"/>
  <c r="Q153" i="3"/>
  <c r="AI153" i="3" s="1"/>
  <c r="AJ153" i="3" s="1"/>
  <c r="M151" i="2" s="1"/>
  <c r="Q154" i="3"/>
  <c r="AI154" i="3" s="1"/>
  <c r="AJ154" i="3" s="1"/>
  <c r="M152" i="2" s="1"/>
  <c r="Q155" i="3"/>
  <c r="AI155" i="3" s="1"/>
  <c r="AJ155" i="3" s="1"/>
  <c r="M153" i="2" s="1"/>
  <c r="Q156" i="3"/>
  <c r="AI156" i="3" s="1"/>
  <c r="AJ156" i="3" s="1"/>
  <c r="M154" i="2" s="1"/>
  <c r="Q157" i="3"/>
  <c r="AI157" i="3" s="1"/>
  <c r="AJ157" i="3" s="1"/>
  <c r="M155" i="2" s="1"/>
  <c r="Q158" i="3"/>
  <c r="AI158" i="3" s="1"/>
  <c r="AJ158" i="3" s="1"/>
  <c r="M156" i="2" s="1"/>
  <c r="Q159" i="3"/>
  <c r="AI159" i="3" s="1"/>
  <c r="AJ159" i="3" s="1"/>
  <c r="M157" i="2" s="1"/>
  <c r="Q160" i="3"/>
  <c r="AI160" i="3" s="1"/>
  <c r="AJ160" i="3" s="1"/>
  <c r="M158" i="2" s="1"/>
  <c r="Q161" i="3"/>
  <c r="AI161" i="3" s="1"/>
  <c r="AJ161" i="3" s="1"/>
  <c r="M159" i="2" s="1"/>
  <c r="Q162" i="3"/>
  <c r="AI162" i="3" s="1"/>
  <c r="AJ162" i="3" s="1"/>
  <c r="M160" i="2" s="1"/>
  <c r="Q163" i="3"/>
  <c r="AI163" i="3" s="1"/>
  <c r="AJ163" i="3" s="1"/>
  <c r="M161" i="2" s="1"/>
  <c r="Q164" i="3"/>
  <c r="AI164" i="3" s="1"/>
  <c r="AJ164" i="3" s="1"/>
  <c r="M162" i="2" s="1"/>
  <c r="Q165" i="3"/>
  <c r="AI165" i="3" s="1"/>
  <c r="AJ165" i="3" s="1"/>
  <c r="M163" i="2" s="1"/>
  <c r="Q166" i="3"/>
  <c r="AI166" i="3" s="1"/>
  <c r="AJ166" i="3" s="1"/>
  <c r="M164" i="2" s="1"/>
  <c r="Q167" i="3"/>
  <c r="AI167" i="3" s="1"/>
  <c r="AJ167" i="3" s="1"/>
  <c r="M165" i="2" s="1"/>
  <c r="Q9" i="3"/>
  <c r="AI9" i="3" s="1"/>
  <c r="AJ9" i="3" s="1"/>
  <c r="M7" i="2" s="1"/>
  <c r="Q11" i="3"/>
  <c r="AI11" i="3" s="1"/>
  <c r="AJ11" i="3" s="1"/>
  <c r="M9" i="2" s="1"/>
  <c r="Q12" i="3"/>
  <c r="AI12" i="3" s="1"/>
  <c r="AJ12" i="3" s="1"/>
  <c r="M10" i="2" s="1"/>
  <c r="Q14" i="3"/>
  <c r="AI14" i="3" s="1"/>
  <c r="AJ14" i="3" s="1"/>
  <c r="M12" i="2" s="1"/>
  <c r="Q16" i="3"/>
  <c r="AI16" i="3" s="1"/>
  <c r="AJ16" i="3" s="1"/>
  <c r="M14" i="2" s="1"/>
  <c r="Q22" i="3"/>
  <c r="AI22" i="3" s="1"/>
  <c r="AJ22" i="3" s="1"/>
  <c r="M20" i="2" s="1"/>
  <c r="Q26" i="3"/>
  <c r="AI26" i="3" s="1"/>
  <c r="AJ26" i="3" s="1"/>
  <c r="M24" i="2" s="1"/>
  <c r="Q27" i="3"/>
  <c r="AI27" i="3" s="1"/>
  <c r="AJ27" i="3" s="1"/>
  <c r="M25" i="2" s="1"/>
  <c r="Q28" i="3"/>
  <c r="AI28" i="3" s="1"/>
  <c r="AJ28" i="3" s="1"/>
  <c r="M26" i="2" s="1"/>
  <c r="Q29" i="3"/>
  <c r="AI29" i="3" s="1"/>
  <c r="AJ29" i="3" s="1"/>
  <c r="M27" i="2" s="1"/>
  <c r="Q30" i="3"/>
  <c r="AI30" i="3" s="1"/>
  <c r="AJ30" i="3" s="1"/>
  <c r="M28" i="2" s="1"/>
  <c r="Q31" i="3"/>
  <c r="AI31" i="3" s="1"/>
  <c r="AJ31" i="3" s="1"/>
  <c r="M29" i="2" s="1"/>
  <c r="Q32" i="3"/>
  <c r="AI32" i="3" s="1"/>
  <c r="AJ32" i="3" s="1"/>
  <c r="M30" i="2" s="1"/>
  <c r="Q33" i="3"/>
  <c r="AI33" i="3" s="1"/>
  <c r="AJ33" i="3" s="1"/>
  <c r="M31" i="2" s="1"/>
  <c r="Q34" i="3"/>
  <c r="AI34" i="3" s="1"/>
  <c r="AJ34" i="3" s="1"/>
  <c r="M32" i="2" s="1"/>
  <c r="Q35" i="3"/>
  <c r="AI35" i="3" s="1"/>
  <c r="AJ35" i="3" s="1"/>
  <c r="M33" i="2" s="1"/>
  <c r="Q36" i="3"/>
  <c r="AI36" i="3" s="1"/>
  <c r="AJ36" i="3" s="1"/>
  <c r="M34" i="2" s="1"/>
  <c r="Q37" i="3"/>
  <c r="AI37" i="3" s="1"/>
  <c r="AJ37" i="3" s="1"/>
  <c r="M35" i="2" s="1"/>
  <c r="Q40" i="3"/>
  <c r="AI40" i="3" s="1"/>
  <c r="AJ40" i="3" s="1"/>
  <c r="M38" i="2" s="1"/>
  <c r="O4" i="3"/>
  <c r="F25" i="1" s="1"/>
  <c r="Q8" i="3"/>
  <c r="AI8" i="3" s="1"/>
  <c r="AJ8" i="3" s="1"/>
  <c r="M6" i="2" s="1"/>
  <c r="Q13" i="3"/>
  <c r="AI13" i="3" s="1"/>
  <c r="AJ13" i="3" s="1"/>
  <c r="M11" i="2" s="1"/>
  <c r="Q15" i="3"/>
  <c r="AI15" i="3" s="1"/>
  <c r="AJ15" i="3" s="1"/>
  <c r="M13" i="2" s="1"/>
  <c r="Q18" i="3"/>
  <c r="AI18" i="3" s="1"/>
  <c r="AJ18" i="3" s="1"/>
  <c r="M16" i="2" s="1"/>
  <c r="Q20" i="3"/>
  <c r="AI20" i="3" s="1"/>
  <c r="AJ20" i="3" s="1"/>
  <c r="M18" i="2" s="1"/>
  <c r="Q4" i="3" l="1"/>
  <c r="F26" i="1"/>
  <c r="F28" i="1" s="1"/>
  <c r="F47" i="1" s="1"/>
  <c r="B52" i="1" s="1"/>
  <c r="B51" i="1" s="1"/>
  <c r="B53" i="1" s="1"/>
</calcChain>
</file>

<file path=xl/sharedStrings.xml><?xml version="1.0" encoding="utf-8"?>
<sst xmlns="http://schemas.openxmlformats.org/spreadsheetml/2006/main" count="328" uniqueCount="246">
  <si>
    <t>Estimativa de Custo 100%</t>
  </si>
  <si>
    <t>CLIENTE: SECAMAQ</t>
  </si>
  <si>
    <t>REGIME TRIBUTÁRIO: LUCRO REAL</t>
  </si>
  <si>
    <t>USO: INDUSTRIALIZAÇÃO</t>
  </si>
  <si>
    <t>CONSIDERAR ICMS 6%</t>
  </si>
  <si>
    <t>PRODUTO: FLANGES</t>
  </si>
  <si>
    <t>PORTO SAÍDA: SHANGHAI</t>
  </si>
  <si>
    <t>FRETE: 1x40HC</t>
  </si>
  <si>
    <t>PORTO ENTRADA: NAVEGANTES</t>
  </si>
  <si>
    <t>SIMULAÇÃO 100%</t>
  </si>
  <si>
    <t xml:space="preserve">REFERÊNCIA CÁLCULO BASE </t>
  </si>
  <si>
    <t>NCM:</t>
  </si>
  <si>
    <t>VALORES ADUANEIROS</t>
  </si>
  <si>
    <t>DISCRIMINAÇÃO</t>
  </si>
  <si>
    <t>Qtd</t>
  </si>
  <si>
    <t>PREÇO TOTAL USD</t>
  </si>
  <si>
    <t>R$</t>
  </si>
  <si>
    <t>TOTAL FOB</t>
  </si>
  <si>
    <t>PRODUTO + FRETE</t>
  </si>
  <si>
    <t xml:space="preserve">SEGURO </t>
  </si>
  <si>
    <t>FRETE</t>
  </si>
  <si>
    <t>TOTAL VALOR ADUANEIRO</t>
  </si>
  <si>
    <t>IMPOSTOS</t>
  </si>
  <si>
    <t>PERCENTUAL</t>
  </si>
  <si>
    <t>VALOR (R$)</t>
  </si>
  <si>
    <t xml:space="preserve">IMPOSTO. IMPORTAÇÃO  </t>
  </si>
  <si>
    <t xml:space="preserve">PIS </t>
  </si>
  <si>
    <t xml:space="preserve">COFINS </t>
  </si>
  <si>
    <t xml:space="preserve">IPI </t>
  </si>
  <si>
    <t>ICMS</t>
  </si>
  <si>
    <t>TOTAL VALOR IMPOSTOS</t>
  </si>
  <si>
    <t>DESPESAS PORTUÁRIAS E LOGÍSTICAS</t>
  </si>
  <si>
    <t>Armazenagem 5 dias</t>
  </si>
  <si>
    <t xml:space="preserve">COMISSÃO </t>
  </si>
  <si>
    <t>TOTAL VALOR DESEMBARAÇO ADUANEIRO</t>
  </si>
  <si>
    <t>TOTAL   (PARTE 1 + PARTE 2 + PARTE 3) ........................................................:</t>
  </si>
  <si>
    <t>TOTAL</t>
  </si>
  <si>
    <t>PREÇO FOB</t>
  </si>
  <si>
    <t>DESPESAS</t>
  </si>
  <si>
    <t>% DESPESAS/FOB</t>
  </si>
  <si>
    <t>Item</t>
  </si>
  <si>
    <t>Produto</t>
  </si>
  <si>
    <t>NCM</t>
  </si>
  <si>
    <t>II</t>
  </si>
  <si>
    <t>IPI</t>
  </si>
  <si>
    <t>PIS</t>
  </si>
  <si>
    <t>COFINS</t>
  </si>
  <si>
    <t>Quantidade</t>
  </si>
  <si>
    <t>Preço</t>
  </si>
  <si>
    <t>% Rateio Quantidade</t>
  </si>
  <si>
    <t>% Rateio Preço</t>
  </si>
  <si>
    <t>Preço Final</t>
  </si>
  <si>
    <t>CURVA SOLD RL 45° ASTM A-234 ASME B16.9 SCH 80 - 6"</t>
  </si>
  <si>
    <t>CURVA SOLD RL 45° ASTM A-234 ASME B16.9 SCH 80 - 8"</t>
  </si>
  <si>
    <t>CURVA SOLD RL 90° ASTM A-234 ASME B16.9 SCH 80 - 2"</t>
  </si>
  <si>
    <t>CURVA SOLD RL 90° ASTM A-234 ASME B16.9 SCH 80 - 3"</t>
  </si>
  <si>
    <t>CURVA SOLD RL 90° ASTM A-234 ASME B16.9 SCH 80 - 4"</t>
  </si>
  <si>
    <t>CURVA SOLD RL 90° ASTM A-234 ASME B16.9 SCH 80 - 5"</t>
  </si>
  <si>
    <t>CURVA SOLD RL 90° ASTM A-234 ASME B16.9 SCH 80 - 6"</t>
  </si>
  <si>
    <t>CURVA SOLD RL 45° ASTM A-234 ASME B16.9 SCH 40 - 2"</t>
  </si>
  <si>
    <t>CURVA SOLD RL 45° ASTM A-234 ASME B16.9 SCH 40 - 4"</t>
  </si>
  <si>
    <t>CURVA SOLD RL 45° ASTM A-234 ASME B16.9 SCH 40 - 8''</t>
  </si>
  <si>
    <t>CURVA SOLD RL 90° ASTM A-234 ASME B16.9 SCH 40 - 1"</t>
  </si>
  <si>
    <t>CURVA SOLD RL 90° ASTM A-234 ASME B16.9 SCH 40 - 1.1/2</t>
  </si>
  <si>
    <t>CURVA SOLD RL 90° ASTM A-234 ASME B16.9 SCH 40 - 2"</t>
  </si>
  <si>
    <t>CURVA SOLD RL 90° ASTM A-234 ASME B16.9 SCH 40 - 3"</t>
  </si>
  <si>
    <t>CURVA SOLD RL 90° ASTM A-234 ASME B16.9 SCH 40 - 4"</t>
  </si>
  <si>
    <t>CURVA SOLD RL 90° ASTM A-234 ASME B16.9 SCH 40 - 5"</t>
  </si>
  <si>
    <t>CURVA SOLD RL 90° ASTM A-234 ASME B16.9 SCH 40 - 6"</t>
  </si>
  <si>
    <t>CURVA SOLD RL 90° ASTM A-234 ASME B16.9 SCH 40 - 8"</t>
  </si>
  <si>
    <t>REDUÇÃO CONCENTRICA ASTM A-234 ASME B16.9 SCH 40 8" X 6"</t>
  </si>
  <si>
    <t>REDUÇÃO CONCENTRICA ASTM A-234 ASME B16.9 SCH 40 3" X 2"</t>
  </si>
  <si>
    <t>REDUÇÃO CONCENTRICA ASTM A-234 ASME B16.9 SCH 40 2" X 1.1/2"</t>
  </si>
  <si>
    <t>FLANGE CEGO ASTM A105 GR WPB B16.5 150 LBS 1</t>
  </si>
  <si>
    <t>FLANGE CEGO ASTM A105 GR WPB B16.5 150 LBS 2"</t>
  </si>
  <si>
    <t>FLANGE CEGO ASTM A105 GR WPB B16.5 150 LBS 3"</t>
  </si>
  <si>
    <t>FLANGE CEGO ASTM A105 GR WPB B16.5 150 LBS 5"</t>
  </si>
  <si>
    <t>FLANGE CEGO ASTM A105 GR WPB B16.5 150 LBS 6"</t>
  </si>
  <si>
    <t>FLANGE CEGO ASTM A105 GR WPB B16.5 150 LBS 8"</t>
  </si>
  <si>
    <t>FLANGE LISO ASTM A105 GR WPB B16.5 150 LBS 1/2" PLATE</t>
  </si>
  <si>
    <t>FLANGE LISO ASTM A105 GR WPB B16.5 150 LBS 3/4"</t>
  </si>
  <si>
    <t>FLANGE LISO ASTM A105 GR WPB B16.5 150 LBS 1"</t>
  </si>
  <si>
    <t>FLANGE LISO ASTM A105 GR WPB B16.5 150 LBS 1.1/2"</t>
  </si>
  <si>
    <t>FLANGE LISO ASTM A105 GR WPB B16.5 150 LBS 2"</t>
  </si>
  <si>
    <t>FLANGE LISO ASTM A105 GR WPB B16.5 150 LBS 2.1/2"</t>
  </si>
  <si>
    <t>FLANGE LISO ASTM A105 GR WPB B16.5 150 LBS 3"</t>
  </si>
  <si>
    <t>FLANGE LISO ASTM A105 GR WPB B16.5 150 LBS 4"</t>
  </si>
  <si>
    <t>FLANGE LISO ASTM A105 GR WPB B16.5 150 LBS 5"</t>
  </si>
  <si>
    <t>FLANGE LISO ASTM A105 GR WPB B16.5 150 LBS 6"</t>
  </si>
  <si>
    <t>FLANGE LISO ASTM A105 GR WPB B16.5 150 LBS 8"</t>
  </si>
  <si>
    <t>FLANGE CEGO ASTM A105 GR WPB B16.5 300 LBS 1/2"</t>
  </si>
  <si>
    <t>FLANGE CEGO ASTM A105 GR WPB B16.5 300 LBS 4"</t>
  </si>
  <si>
    <t>FLANGE CEGO ASTM A105 GR WPB B16.5 300 LBS 6"</t>
  </si>
  <si>
    <t>FLANGE CEGO ASTM A105 GR WPB B16.5 300 LBS 8"</t>
  </si>
  <si>
    <t>FLANGE LISO ASTM A105 GR WPB B16.5 300 LBS 3/4""</t>
  </si>
  <si>
    <t>FLANGE LISO ASTM A105 GR WPB B16.5 300 LBS 1.1/2"</t>
  </si>
  <si>
    <t>FLANGE LISO ASTM A105 GR WPB B16.5 300 LBS 2"</t>
  </si>
  <si>
    <t>FLANGE LISO ASTM A105 GR WPB B16.5 300 LBS 4"</t>
  </si>
  <si>
    <t>FLANGE LISO ASTM A105 GR WPB B16.5 300 LBS 6"</t>
  </si>
  <si>
    <t>FLANGE LISO ASTM A105 GR WPB B16.5 300 LBS 8"</t>
  </si>
  <si>
    <t>TEE 6" SCH-40 ASTM A-234 ASME B16.9</t>
  </si>
  <si>
    <t>TEE 3" SCH-40 ASTM A-234 ASME B16.9</t>
  </si>
  <si>
    <t>TEE 2" SCH-40 ASTM A-234 ASME B16.9</t>
  </si>
  <si>
    <t>TEE 1.1/2" SCH-40 ASTM A-234 ASME B16.9</t>
  </si>
  <si>
    <t>CURVA SOLD RL 90° ASTM A-234 ASME B16.9 SCH 80 - 1.1/2"</t>
  </si>
  <si>
    <t>CURVA SOLD RL 90° ASTM A-234 ASME B16.9 SCH 80 - 1"</t>
  </si>
  <si>
    <t>CURVA SOLD RL 90° ASTM A-234 ASME B16.9 SCH 80 - 8"</t>
  </si>
  <si>
    <t>REDUÇÃO CONCENTRICA ASTM A-234 ASME B16.9 SCH 40 1.1/2" X 1"</t>
  </si>
  <si>
    <t>CURVA SOLD RL 45° ASTM A-234 ASME B16.9 SCH 80 - 2''</t>
  </si>
  <si>
    <t>CURVA SOLD RL 45° ASTM A-234 ASME B16.9 SCH 80 - 3''</t>
  </si>
  <si>
    <t>CURVA SOLD RL 45° ASTM A-234 ASME B16.9 SCH 80 - 4''</t>
  </si>
  <si>
    <t>CURVA SOLD RL 90° ASTM A-234 ASME B16.9 SCH 40 - 10"</t>
  </si>
  <si>
    <t>FLANGE CEGO ASTM A105 GR WPB B16.5 300 LBS 1"</t>
  </si>
  <si>
    <t>FLANGE CEGO ASTM A105 GR WPB B16.5 300 LBS 2"</t>
  </si>
  <si>
    <t>FLANGE 1" 150LBS PLAIN ASTM A105 GR WPB B16.5 RF</t>
  </si>
  <si>
    <t>FLANGE 1" 300LBS PLAIN ASTM A105 GR WPB B16.5 RF</t>
  </si>
  <si>
    <t>FLANGE 1.1/2" 150LBS PLAIN ASTM A105 GR WPB B16.5 RF</t>
  </si>
  <si>
    <t>FLANGE 1.1/2" 300LBS PLAIN ASTM A105 GR WPB B16.5 RF</t>
  </si>
  <si>
    <t>FLANGE 1.1/4" 150LBS PLAIN ASTM A105 GR WPB B16.5 RF</t>
  </si>
  <si>
    <t>FLANGE 2" 150LBS PLAIN ASTM A105 GR WPB B16.5 RF</t>
  </si>
  <si>
    <t>FLANGE 2" 300LBS PLAIN ASTM A105 GR WPB B16.5 RF</t>
  </si>
  <si>
    <t>FLANGE 2.1/2" 150LBS PLAIN ASTM A105 GR WPB B16.5 RF</t>
  </si>
  <si>
    <t>FLANGE 2.1/2" 300LBS PLAIN ASTM A105 GR WPB B16.5 RF</t>
  </si>
  <si>
    <t>FLANGE 3" 150LBS PLAIN ASTM A105 GR WPB B16.5 RF</t>
  </si>
  <si>
    <t>FLANGE 4" 150LBS PLAIN ASTM A105 GR WPB B16.5 RF</t>
  </si>
  <si>
    <t>FLANGE 5" 150LBS PLAIN ASTM A105 GR WPB B16.5 RF</t>
  </si>
  <si>
    <t>FLANGE 6" 150LBS PLAIN ASTM A105 GR WPB B16.5 RF</t>
  </si>
  <si>
    <t>FLANGE 6" 300LBS PLAIN ASTM A105 GR WPB B16.5 RF</t>
  </si>
  <si>
    <t>FLANGE 8" 150LBS PLAIN ASTM A105 GR WPB B16.5 RF</t>
  </si>
  <si>
    <t>FLANGE 8" 300LBS PLAIN ASTM A105 GR WPB B16.5 RF</t>
  </si>
  <si>
    <t>FLANGE 4" 300LBS PLAIN ASTM A105 GR WPB B16.5 RF</t>
  </si>
  <si>
    <t>ELBOW 1.1/2" SCH40 LR 90° ASTM A-234 ASME B16.9</t>
  </si>
  <si>
    <t>ELBOW 2" SCH40 LR 90° ASTM A-234 ASME B16.9</t>
  </si>
  <si>
    <t>ELBOW 3" SCH40 LR 90° ASTM A-234 ASME B16.9</t>
  </si>
  <si>
    <t>ELBOW 5" SCH40 LR 90° ASTM A-234 ASME B16.9</t>
  </si>
  <si>
    <t>ELBOW 6" SCH40 LR 90° ASTM A-234 ASME B16.9</t>
  </si>
  <si>
    <t>FLANGE 1" 150LBS LISO ASTM A105 GR WPB B16.5 RF</t>
  </si>
  <si>
    <t>FLANGE 1" 300LBS LISO ASTM A105 GR WPB B16.5 RF</t>
  </si>
  <si>
    <t>FLANGE 1.1/2" 150LBS LISO ASTM A105 GR WPB B16.5</t>
  </si>
  <si>
    <t>FLANGE 1.1/2" 300LBS LISO ASTM A105 GR WPB B16.5 RF</t>
  </si>
  <si>
    <t>FLANGE 1.1/4" 150LBS LISO ASTM A105 GR WPB B16.5 RF</t>
  </si>
  <si>
    <t>FLANGE 2" 150LBS LISO ASTM A105 GR WPB B16.5 RF</t>
  </si>
  <si>
    <t>FLANGE 2" 300LBS LISO ASTM A105 GR WPB B16.5 RF</t>
  </si>
  <si>
    <t>FLANGE 2.1/2" 150LBS LISO ASTM A105 GR WPB B16.5 RF</t>
  </si>
  <si>
    <t>FLANGE 2.1/2" 300LBS LISO ASTM A105 GR WPB B16.5 RF</t>
  </si>
  <si>
    <t>FLANGE 3" 150LBS LISO ASTM A105 GR WPB B16.5 RF</t>
  </si>
  <si>
    <t>FLANGE 4" 150LBS LISO ASTM A105 GR WPB B16.5 RF</t>
  </si>
  <si>
    <t>FLANGE 5" 150LBS LISO ASTM A105 GR WPB B16.5 RF</t>
  </si>
  <si>
    <t>FLANGE 6" 150LBS LISO ASTM A105 GR WPB B16.5 RF</t>
  </si>
  <si>
    <t>FLANGE 8" 150LBS LISO ASTM A105 GR WPB B16.5 RF</t>
  </si>
  <si>
    <t>FLANGE 8" 300LBS LISO ASTM A105 GR WPB B16.5 RF</t>
  </si>
  <si>
    <t>FLANGE 6" 300LBS LISO ASTM A105 GR WPB B16.5 RF</t>
  </si>
  <si>
    <t>FLANGE 5" 300LBS LISO ASTM A105 GR WPB B16.5 RF</t>
  </si>
  <si>
    <t>FLANGE 4" 300LBS LISO ASTM A105 GR WPB B16.5 RF</t>
  </si>
  <si>
    <t>CURVA 1.1/2" SCH40 RL 90° ASTM A-234 ASME B16.9</t>
  </si>
  <si>
    <t>CURVA 2" SCH40 RL 90° ASTM A-234 ASME B16.9</t>
  </si>
  <si>
    <t>CURVA 4" SCH40 RL 90° ASTM A-234 ASME B16.9</t>
  </si>
  <si>
    <t>CURVA 5" SCH40 RL 90° ASTM A-234 ASME B16.9</t>
  </si>
  <si>
    <t>CURVA 6" SCH40 RL 90° ASTM A-234 ASME B16.9</t>
  </si>
  <si>
    <t>FLANGE 5" 150LBS WN ASTM A105 GR WPB B16.5</t>
  </si>
  <si>
    <t>FLANGE 6" 150LBS WN ASTM A105 GR WPB B16.5</t>
  </si>
  <si>
    <t>FLANGE 8" 150LBS WN ASTM A105 GR WPB B16.5</t>
  </si>
  <si>
    <t>FLANGE 8" 300LBS WN ASTM A105 GR WPB B16.5</t>
  </si>
  <si>
    <t>FLANGE 6" 300LBS WN ASTM A105 GR WPB B16.5</t>
  </si>
  <si>
    <t>FLANGE 5" 300LBS WN ASTM A105 GR WPB B16.5</t>
  </si>
  <si>
    <t>CURVA SOLD RL 45° ASTM A-234 ASME B16.9 SCH 40 - 6''</t>
  </si>
  <si>
    <t>REDUÇÃO CONCENTRICA ASTM A-234 ASME B16.9 SCH 80 8" X 6"</t>
  </si>
  <si>
    <t>FLANGE LISO ASTM A105 GR WPB B16.5 300 LBS 3/4"</t>
  </si>
  <si>
    <t>FLANGE LISO ASTM A105 GR WPB B16.5 300 LBS 1/2"</t>
  </si>
  <si>
    <t>DETALHES DO PRODUTO</t>
  </si>
  <si>
    <t>VALOR ADUANEIRO</t>
  </si>
  <si>
    <t>TAXAS PORTUÁRIAS</t>
  </si>
  <si>
    <t>ITEM</t>
  </si>
  <si>
    <t>QTD</t>
  </si>
  <si>
    <t>Participação %</t>
  </si>
  <si>
    <t>Preço unitário (USD)</t>
  </si>
  <si>
    <t>Preço x QTD (Valor em USD)</t>
  </si>
  <si>
    <t>Preço x QTD (valor em BRL)</t>
  </si>
  <si>
    <t>Valor do frete (Valor em BRL)</t>
  </si>
  <si>
    <t>VALOR TOTAL + I.I</t>
  </si>
  <si>
    <t>IMPOSTO DE IMPORTAÇÃO</t>
  </si>
  <si>
    <t>TOTAL IMPOSTOS</t>
  </si>
  <si>
    <t>TAXA SISCOMEX</t>
  </si>
  <si>
    <t>B/L</t>
  </si>
  <si>
    <t>T.H.C|  CAPATAZIA</t>
  </si>
  <si>
    <t>ISPS</t>
  </si>
  <si>
    <t>DAMAGE PROTECTION</t>
  </si>
  <si>
    <t>DESCONSOLIDAÇÃO</t>
  </si>
  <si>
    <t>SERVIÇO DE ENTREGA DE CONTAINER</t>
  </si>
  <si>
    <t>Delivery order</t>
  </si>
  <si>
    <t>AFRMM</t>
  </si>
  <si>
    <t xml:space="preserve">ARMAZENAGEM </t>
  </si>
  <si>
    <t>Import logistic fee</t>
  </si>
  <si>
    <t>Drop off</t>
  </si>
  <si>
    <t>TAXA</t>
  </si>
  <si>
    <t>FRETE RODOVIÁRIO</t>
  </si>
  <si>
    <t>COMISSÃO</t>
  </si>
  <si>
    <t>DESEMBARAÇO ADUANEIRO</t>
  </si>
  <si>
    <t>TOTAL DESEMBARAÇO ADUANEIRO</t>
  </si>
  <si>
    <t>TOTAL POR CATEGORIA</t>
  </si>
  <si>
    <t>VALOR UNITÁRIO</t>
  </si>
  <si>
    <t>Nº</t>
  </si>
  <si>
    <t>AAA</t>
  </si>
  <si>
    <t>DELIVERY ORDER</t>
  </si>
  <si>
    <t>IMPORT LOGIST FREE</t>
  </si>
  <si>
    <t>DROP OFF</t>
  </si>
  <si>
    <t>Comissão</t>
  </si>
  <si>
    <t>CÂMBIO</t>
  </si>
  <si>
    <t>CÂMBIO UTILIZADO</t>
  </si>
  <si>
    <t>INFORMAÇÕES PARA CÁLCULO DE ESTIMATIVA DE CUSTO DE NACIONALIZAÇÃO</t>
  </si>
  <si>
    <t>NOME EMPRESA IMPORTADORA</t>
  </si>
  <si>
    <t>SECAMAQ</t>
  </si>
  <si>
    <t>NOME FORNECEDOR</t>
  </si>
  <si>
    <t>Flanges e conexões soldaveis</t>
  </si>
  <si>
    <t>REGIME TRIBUTÁRIO</t>
  </si>
  <si>
    <t>Lucro Real</t>
  </si>
  <si>
    <t>FUNÇÃO</t>
  </si>
  <si>
    <t>Revenda</t>
  </si>
  <si>
    <t>40 HC</t>
  </si>
  <si>
    <t>PORTO SAÍDA</t>
  </si>
  <si>
    <t>Tianjin</t>
  </si>
  <si>
    <t>PORTO ENTRADA</t>
  </si>
  <si>
    <t>Paranagua</t>
  </si>
  <si>
    <t xml:space="preserve">QUANTIDADE DE PRODUTO </t>
  </si>
  <si>
    <t>PRODUTO</t>
  </si>
  <si>
    <t>PREÇO UNITÁRIO</t>
  </si>
  <si>
    <t>7307.93.00</t>
  </si>
  <si>
    <t>7307.91.00</t>
  </si>
  <si>
    <t>NOME SOLICITANTE</t>
  </si>
  <si>
    <t>Fernando Takiuti</t>
  </si>
  <si>
    <t>NOME SOLICITADA</t>
  </si>
  <si>
    <t>Mariane</t>
  </si>
  <si>
    <t>NOME REVISORA</t>
  </si>
  <si>
    <t>Juliana</t>
  </si>
  <si>
    <t>DATA SOLICITAÇÃO</t>
  </si>
  <si>
    <t>8/28/2023</t>
  </si>
  <si>
    <t>DATA DE ENTREGA</t>
  </si>
  <si>
    <t>DATA DE REVISÃO</t>
  </si>
  <si>
    <t>-</t>
  </si>
  <si>
    <t>TEVE REVISÃO?</t>
  </si>
  <si>
    <t>SIM</t>
  </si>
  <si>
    <t>NÃO</t>
  </si>
  <si>
    <t>JUSTIFICATIVA CASO NÃO TEVE REVISÃO</t>
  </si>
  <si>
    <t>OBSERVAÇÃO</t>
  </si>
  <si>
    <t>QUAL FOI SUA IMPRESSÃO AO APRESENTAR O CÁLCULO AO CLIENTE?</t>
  </si>
  <si>
    <t>RELATÓRIO AVALIAÇÃO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</si>
</sst>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\$* #,##0.00_);_(\$* \(#,##0.00\);_(\$* \-??_);_(@_)"/>
    <numFmt numFmtId="165" formatCode="_(* #,##0.00_);_(* \(#,##0.00\);_(* \-??_);_(@_)"/>
    <numFmt numFmtId="166" formatCode="m/d/yyyy"/>
    <numFmt numFmtId="167" formatCode="_-[$R$-416]\ * #,##0.00_-;\-[$R$-416]\ * #,##0.00_-;_-[$R$-416]\ * \-??_-;_-@_-"/>
    <numFmt numFmtId="168" formatCode="&quot;R$ &quot;#,##0.00"/>
    <numFmt numFmtId="169" formatCode="[$USD]\ #,##0.00"/>
    <numFmt numFmtId="170" formatCode="[$USD]\ #,##0"/>
    <numFmt numFmtId="171" formatCode="[$R$-416]\ #,##0.00;\-[$R$-416]\ #,##0.00"/>
    <numFmt numFmtId="172" formatCode="[$R$-416]\ #,##0.00"/>
    <numFmt numFmtId="173" formatCode="0.0%"/>
    <numFmt numFmtId="174" formatCode="_-[$$-409]* #,##0.00_ ;_-[$$-409]* \-#,##0.00\ ;_-[$$-409]* \-??_ ;_-@_ "/>
    <numFmt numFmtId="175" formatCode="0.0"/>
    <numFmt numFmtId="176" formatCode="_-[$R$-416]\ * #,##0.00_-;\-[$R$-416]\ * #,##0.00_-;_-[$R$-416]\ * \-????_-;_-@_-"/>
    <numFmt numFmtId="177" formatCode="0.0000%"/>
    <numFmt numFmtId="178" formatCode="_-[$R$-416]\ * #,##0.0000_-;\-[$R$-416]\ * #,##0.0000_-;_-[$R$-416]\ * \-????_-;_-@_-"/>
    <numFmt numFmtId="179" formatCode="_-* #,##0.00_-;\-* #,##0.00_-;_-* \-??_-;_-@_-"/>
  </numFmts>
  <fonts count="26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Calibri"/>
      <family val="2"/>
      <charset val="1"/>
    </font>
    <font>
      <b/>
      <sz val="8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sz val="8"/>
      <name val="Calibri"/>
      <family val="2"/>
      <charset val="1"/>
    </font>
    <font>
      <sz val="8"/>
      <color rgb="FFFF0000"/>
      <name val="Calibri"/>
      <family val="2"/>
      <charset val="1"/>
    </font>
    <font>
      <b/>
      <sz val="8"/>
      <color theme="0"/>
      <name val="Calibri"/>
      <family val="2"/>
      <charset val="1"/>
    </font>
    <font>
      <sz val="8"/>
      <color theme="0"/>
      <name val="Calibri"/>
      <family val="2"/>
      <charset val="1"/>
    </font>
    <font>
      <sz val="8"/>
      <name val="Calibri"/>
      <family val="2"/>
      <charset val="1"/>
    </font>
    <font>
      <sz val="8"/>
      <color theme="4"/>
      <name val="Calibri"/>
      <family val="2"/>
      <charset val="1"/>
    </font>
    <font>
      <sz val="14"/>
      <color theme="1"/>
      <name val="Calibri"/>
      <family val="2"/>
      <charset val="1"/>
    </font>
    <font>
      <b/>
      <sz val="8"/>
      <color theme="4"/>
      <name val="Calibri"/>
      <family val="2"/>
      <charset val="1"/>
    </font>
    <font>
      <b/>
      <sz val="8"/>
      <color rgb="FF4472C4"/>
      <name val="Calibri"/>
      <family val="2"/>
      <charset val="1"/>
    </font>
    <font>
      <b/>
      <sz val="11"/>
      <color theme="4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4"/>
      <color theme="1"/>
      <name val="Calibri"/>
      <family val="2"/>
      <charset val="1"/>
    </font>
    <font>
      <sz val="14"/>
      <name val="Calibri"/>
      <family val="2"/>
      <charset val="1"/>
    </font>
    <font>
      <b/>
      <sz val="14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2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2"/>
      <color theme="4"/>
      <name val="Calibri"/>
      <family val="2"/>
      <charset val="1"/>
    </font>
    <font>
      <sz val="11"/>
      <color theme="1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theme="3" tint="0.79989013336588644"/>
        <bgColor rgb="FFD9D9D9"/>
      </patternFill>
    </fill>
    <fill>
      <patternFill patternType="solid">
        <fgColor theme="4" tint="-0.499984740745262"/>
        <bgColor rgb="FF333333"/>
      </patternFill>
    </fill>
    <fill>
      <patternFill patternType="solid">
        <fgColor theme="3" tint="0.39988402966399123"/>
        <bgColor rgb="FF8FAADC"/>
      </patternFill>
    </fill>
    <fill>
      <patternFill patternType="solid">
        <fgColor theme="0"/>
        <bgColor rgb="FFF2F2F2"/>
      </patternFill>
    </fill>
    <fill>
      <patternFill patternType="solid">
        <fgColor theme="4" tint="0.79989013336588644"/>
        <bgColor rgb="FFD6DCE5"/>
      </patternFill>
    </fill>
    <fill>
      <patternFill patternType="solid">
        <fgColor theme="4" tint="0.39988402966399123"/>
        <bgColor rgb="FFADB9CA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4" tint="0.59987182226020086"/>
        <bgColor rgb="FFADB9CA"/>
      </patternFill>
    </fill>
    <fill>
      <patternFill patternType="solid">
        <fgColor theme="3" tint="0.59987182226020086"/>
        <bgColor rgb="FFB4C7E7"/>
      </patternFill>
    </fill>
    <fill>
      <patternFill patternType="solid">
        <fgColor theme="0" tint="-0.14999847407452621"/>
        <bgColor rgb="FFD6DCE5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9" tint="0.79989013336588644"/>
        <bgColor rgb="FFF2F2F2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165" fontId="25" fillId="0" borderId="0"/>
    <xf numFmtId="9" fontId="25" fillId="0" borderId="0"/>
    <xf numFmtId="164" fontId="25" fillId="0" borderId="0"/>
    <xf numFmtId="0" fontId="25" fillId="0" borderId="0">
      <alignment vertical="center"/>
    </xf>
    <xf numFmtId="0" fontId="25" fillId="0" borderId="0">
      <alignment vertical="center"/>
    </xf>
    <xf numFmtId="9" fontId="25" fillId="0" borderId="0"/>
    <xf numFmtId="165" fontId="25" fillId="0" borderId="0"/>
    <xf numFmtId="0" fontId="1" fillId="0" borderId="0"/>
  </cellStyleXfs>
  <cellXfs count="180">
    <xf numFmtId="0" fontId="0" fillId="0" borderId="0" xfId="0"/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166" fontId="5" fillId="2" borderId="3" xfId="0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167" fontId="7" fillId="3" borderId="0" xfId="0" applyNumberFormat="1" applyFont="1" applyFill="1" applyAlignment="1">
      <alignment horizontal="right" vertical="center"/>
    </xf>
    <xf numFmtId="168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0" fontId="8" fillId="3" borderId="3" xfId="0" applyFont="1" applyFill="1" applyBorder="1" applyAlignment="1">
      <alignment vertical="center"/>
    </xf>
    <xf numFmtId="167" fontId="0" fillId="0" borderId="0" xfId="0" applyNumberFormat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9" fillId="5" borderId="4" xfId="0" applyFont="1" applyFill="1" applyBorder="1"/>
    <xf numFmtId="0" fontId="9" fillId="5" borderId="0" xfId="3" applyNumberFormat="1" applyFont="1" applyFill="1" applyAlignment="1">
      <alignment horizontal="center" vertical="center"/>
    </xf>
    <xf numFmtId="1" fontId="9" fillId="5" borderId="0" xfId="7" applyNumberFormat="1" applyFont="1" applyFill="1" applyAlignment="1">
      <alignment horizontal="center" vertical="center"/>
    </xf>
    <xf numFmtId="169" fontId="9" fillId="5" borderId="0" xfId="3" applyNumberFormat="1" applyFont="1" applyFill="1" applyAlignment="1">
      <alignment horizontal="center" vertical="center"/>
    </xf>
    <xf numFmtId="170" fontId="9" fillId="0" borderId="0" xfId="3" applyNumberFormat="1" applyFont="1" applyAlignment="1">
      <alignment horizontal="center" vertical="center"/>
    </xf>
    <xf numFmtId="171" fontId="9" fillId="0" borderId="3" xfId="7" applyNumberFormat="1" applyFont="1" applyBorder="1" applyAlignment="1">
      <alignment horizontal="center"/>
    </xf>
    <xf numFmtId="0" fontId="9" fillId="6" borderId="4" xfId="0" applyFont="1" applyFill="1" applyBorder="1"/>
    <xf numFmtId="0" fontId="9" fillId="6" borderId="0" xfId="3" applyNumberFormat="1" applyFont="1" applyFill="1" applyAlignment="1">
      <alignment vertical="center"/>
    </xf>
    <xf numFmtId="1" fontId="9" fillId="6" borderId="0" xfId="7" applyNumberFormat="1" applyFont="1" applyFill="1" applyAlignment="1">
      <alignment horizontal="center" vertical="center"/>
    </xf>
    <xf numFmtId="169" fontId="9" fillId="6" borderId="0" xfId="3" applyNumberFormat="1" applyFont="1" applyFill="1" applyAlignment="1">
      <alignment horizontal="center" vertical="center"/>
    </xf>
    <xf numFmtId="171" fontId="9" fillId="6" borderId="3" xfId="7" applyNumberFormat="1" applyFont="1" applyFill="1" applyBorder="1" applyAlignment="1">
      <alignment horizontal="center"/>
    </xf>
    <xf numFmtId="0" fontId="4" fillId="5" borderId="4" xfId="0" applyFont="1" applyFill="1" applyBorder="1"/>
    <xf numFmtId="0" fontId="4" fillId="5" borderId="0" xfId="3" applyNumberFormat="1" applyFont="1" applyFill="1" applyAlignment="1">
      <alignment vertical="center"/>
    </xf>
    <xf numFmtId="1" fontId="4" fillId="5" borderId="0" xfId="7" applyNumberFormat="1" applyFont="1" applyFill="1" applyAlignment="1">
      <alignment horizontal="center" vertical="center"/>
    </xf>
    <xf numFmtId="169" fontId="4" fillId="5" borderId="0" xfId="3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1" fontId="4" fillId="5" borderId="3" xfId="7" applyNumberFormat="1" applyFont="1" applyFill="1" applyBorder="1" applyAlignment="1">
      <alignment horizontal="center"/>
    </xf>
    <xf numFmtId="0" fontId="4" fillId="0" borderId="4" xfId="0" applyFont="1" applyBorder="1" applyAlignment="1">
      <alignment vertical="center"/>
    </xf>
    <xf numFmtId="164" fontId="4" fillId="0" borderId="0" xfId="3" applyFont="1" applyAlignment="1">
      <alignment vertical="center"/>
    </xf>
    <xf numFmtId="169" fontId="4" fillId="0" borderId="0" xfId="3" applyNumberFormat="1" applyFont="1" applyAlignment="1">
      <alignment horizontal="center" vertical="center"/>
    </xf>
    <xf numFmtId="171" fontId="4" fillId="0" borderId="3" xfId="7" applyNumberFormat="1" applyFont="1" applyBorder="1" applyAlignment="1">
      <alignment horizontal="center"/>
    </xf>
    <xf numFmtId="0" fontId="4" fillId="0" borderId="11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169" fontId="4" fillId="0" borderId="6" xfId="3" applyNumberFormat="1" applyFont="1" applyBorder="1" applyAlignment="1">
      <alignment horizontal="center" vertical="center"/>
    </xf>
    <xf numFmtId="171" fontId="4" fillId="0" borderId="7" xfId="7" applyNumberFormat="1" applyFont="1" applyBorder="1" applyAlignment="1">
      <alignment horizontal="center"/>
    </xf>
    <xf numFmtId="171" fontId="3" fillId="0" borderId="12" xfId="0" applyNumberFormat="1" applyFont="1" applyBorder="1" applyAlignment="1">
      <alignment vertical="center"/>
    </xf>
    <xf numFmtId="171" fontId="3" fillId="0" borderId="13" xfId="0" applyNumberFormat="1" applyFont="1" applyBorder="1" applyAlignment="1">
      <alignment vertical="center"/>
    </xf>
    <xf numFmtId="171" fontId="3" fillId="0" borderId="14" xfId="0" applyNumberFormat="1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10" fontId="10" fillId="5" borderId="0" xfId="0" applyNumberFormat="1" applyFont="1" applyFill="1" applyAlignment="1">
      <alignment horizontal="center" vertical="center"/>
    </xf>
    <xf numFmtId="172" fontId="4" fillId="5" borderId="3" xfId="0" applyNumberFormat="1" applyFont="1" applyFill="1" applyBorder="1" applyAlignment="1">
      <alignment horizontal="center" vertical="center"/>
    </xf>
    <xf numFmtId="173" fontId="10" fillId="5" borderId="0" xfId="0" applyNumberFormat="1" applyFont="1" applyFill="1" applyAlignment="1">
      <alignment horizontal="center" vertical="center"/>
    </xf>
    <xf numFmtId="171" fontId="0" fillId="0" borderId="0" xfId="0" applyNumberFormat="1"/>
    <xf numFmtId="0" fontId="4" fillId="0" borderId="4" xfId="0" applyFont="1" applyBorder="1"/>
    <xf numFmtId="0" fontId="4" fillId="0" borderId="0" xfId="0" applyFont="1"/>
    <xf numFmtId="168" fontId="4" fillId="0" borderId="3" xfId="0" applyNumberFormat="1" applyFont="1" applyBorder="1" applyAlignment="1">
      <alignment horizontal="center"/>
    </xf>
    <xf numFmtId="9" fontId="4" fillId="0" borderId="0" xfId="6" applyFont="1"/>
    <xf numFmtId="168" fontId="3" fillId="0" borderId="13" xfId="0" applyNumberFormat="1" applyFont="1" applyBorder="1" applyAlignment="1">
      <alignment vertical="center"/>
    </xf>
    <xf numFmtId="168" fontId="3" fillId="0" borderId="14" xfId="0" applyNumberFormat="1" applyFont="1" applyBorder="1" applyAlignment="1">
      <alignment horizontal="center" vertical="center"/>
    </xf>
    <xf numFmtId="168" fontId="7" fillId="3" borderId="15" xfId="0" applyNumberFormat="1" applyFont="1" applyFill="1" applyBorder="1" applyAlignment="1">
      <alignment horizontal="center"/>
    </xf>
    <xf numFmtId="0" fontId="7" fillId="3" borderId="11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/>
    </xf>
    <xf numFmtId="168" fontId="7" fillId="3" borderId="5" xfId="0" applyNumberFormat="1" applyFont="1" applyFill="1" applyBorder="1" applyAlignment="1">
      <alignment horizontal="center"/>
    </xf>
    <xf numFmtId="0" fontId="5" fillId="7" borderId="11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172" fontId="5" fillId="7" borderId="5" xfId="0" applyNumberFormat="1" applyFont="1" applyFill="1" applyBorder="1" applyAlignment="1">
      <alignment horizontal="center"/>
    </xf>
    <xf numFmtId="0" fontId="3" fillId="0" borderId="8" xfId="0" applyFont="1" applyBorder="1" applyAlignment="1">
      <alignment vertical="center"/>
    </xf>
    <xf numFmtId="171" fontId="3" fillId="0" borderId="9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72" fontId="3" fillId="0" borderId="0" xfId="0" applyNumberFormat="1" applyFont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9" fontId="3" fillId="0" borderId="6" xfId="6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74" fontId="0" fillId="0" borderId="0" xfId="0" applyNumberForma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174" fontId="1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9" fontId="25" fillId="0" borderId="0" xfId="2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73" fontId="12" fillId="0" borderId="17" xfId="2" applyNumberFormat="1" applyFont="1" applyBorder="1" applyAlignment="1">
      <alignment horizontal="center" vertical="center"/>
    </xf>
    <xf numFmtId="10" fontId="12" fillId="0" borderId="17" xfId="2" applyNumberFormat="1" applyFont="1" applyBorder="1" applyAlignment="1">
      <alignment horizontal="center" vertical="center"/>
    </xf>
    <xf numFmtId="10" fontId="14" fillId="0" borderId="17" xfId="2" applyNumberFormat="1" applyFont="1" applyBorder="1" applyAlignment="1">
      <alignment horizontal="center" vertical="center"/>
    </xf>
    <xf numFmtId="9" fontId="14" fillId="0" borderId="17" xfId="2" applyFont="1" applyBorder="1" applyAlignment="1">
      <alignment horizontal="center" vertical="center"/>
    </xf>
    <xf numFmtId="1" fontId="14" fillId="0" borderId="17" xfId="2" applyNumberFormat="1" applyFont="1" applyBorder="1" applyAlignment="1">
      <alignment horizontal="center" vertical="center"/>
    </xf>
    <xf numFmtId="174" fontId="14" fillId="0" borderId="17" xfId="2" applyNumberFormat="1" applyFont="1" applyBorder="1" applyAlignment="1">
      <alignment horizontal="center" vertical="center"/>
    </xf>
    <xf numFmtId="10" fontId="25" fillId="0" borderId="0" xfId="2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5" fillId="0" borderId="18" xfId="0" applyFont="1" applyBorder="1"/>
    <xf numFmtId="0" fontId="15" fillId="0" borderId="17" xfId="0" applyFont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/>
    </xf>
    <xf numFmtId="49" fontId="16" fillId="9" borderId="17" xfId="0" applyNumberFormat="1" applyFont="1" applyFill="1" applyBorder="1" applyAlignment="1">
      <alignment horizontal="center" vertical="center"/>
    </xf>
    <xf numFmtId="49" fontId="16" fillId="9" borderId="17" xfId="0" applyNumberFormat="1" applyFont="1" applyFill="1" applyBorder="1" applyAlignment="1">
      <alignment horizontal="center" vertical="center" wrapText="1"/>
    </xf>
    <xf numFmtId="0" fontId="17" fillId="9" borderId="17" xfId="0" applyFont="1" applyFill="1" applyBorder="1" applyAlignment="1">
      <alignment horizontal="center" vertical="center" wrapText="1"/>
    </xf>
    <xf numFmtId="0" fontId="15" fillId="9" borderId="17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/>
    </xf>
    <xf numFmtId="0" fontId="15" fillId="10" borderId="17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11" borderId="17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/>
    </xf>
    <xf numFmtId="49" fontId="19" fillId="9" borderId="17" xfId="0" applyNumberFormat="1" applyFont="1" applyFill="1" applyBorder="1" applyAlignment="1">
      <alignment horizontal="center" vertical="center"/>
    </xf>
    <xf numFmtId="49" fontId="20" fillId="9" borderId="17" xfId="0" applyNumberFormat="1" applyFont="1" applyFill="1" applyBorder="1" applyAlignment="1">
      <alignment horizontal="center" vertical="center"/>
    </xf>
    <xf numFmtId="0" fontId="21" fillId="9" borderId="17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167" fontId="18" fillId="6" borderId="17" xfId="0" applyNumberFormat="1" applyFont="1" applyFill="1" applyBorder="1" applyAlignment="1">
      <alignment horizontal="center" vertical="center" wrapText="1"/>
    </xf>
    <xf numFmtId="175" fontId="18" fillId="6" borderId="17" xfId="0" applyNumberFormat="1" applyFont="1" applyFill="1" applyBorder="1" applyAlignment="1">
      <alignment horizontal="center" vertical="center" wrapText="1"/>
    </xf>
    <xf numFmtId="167" fontId="22" fillId="12" borderId="17" xfId="0" applyNumberFormat="1" applyFont="1" applyFill="1" applyBorder="1" applyAlignment="1">
      <alignment horizontal="center" vertical="center" wrapText="1"/>
    </xf>
    <xf numFmtId="167" fontId="25" fillId="13" borderId="17" xfId="2" applyNumberFormat="1" applyFill="1" applyBorder="1" applyAlignment="1">
      <alignment horizontal="center" vertical="center"/>
    </xf>
    <xf numFmtId="167" fontId="23" fillId="13" borderId="17" xfId="2" applyNumberFormat="1" applyFont="1" applyFill="1" applyBorder="1" applyAlignment="1">
      <alignment horizontal="center" vertical="center"/>
    </xf>
    <xf numFmtId="4" fontId="22" fillId="12" borderId="17" xfId="0" applyNumberFormat="1" applyFont="1" applyFill="1" applyBorder="1" applyAlignment="1">
      <alignment horizontal="center" vertical="center"/>
    </xf>
    <xf numFmtId="167" fontId="18" fillId="10" borderId="17" xfId="0" applyNumberFormat="1" applyFont="1" applyFill="1" applyBorder="1" applyAlignment="1">
      <alignment horizontal="center" vertical="center"/>
    </xf>
    <xf numFmtId="10" fontId="15" fillId="10" borderId="17" xfId="0" applyNumberFormat="1" applyFont="1" applyFill="1" applyBorder="1" applyAlignment="1">
      <alignment horizontal="center" vertical="center"/>
    </xf>
    <xf numFmtId="0" fontId="15" fillId="0" borderId="0" xfId="0" applyFont="1"/>
    <xf numFmtId="174" fontId="0" fillId="0" borderId="0" xfId="0" applyNumberFormat="1"/>
    <xf numFmtId="10" fontId="25" fillId="13" borderId="0" xfId="2" applyNumberFormat="1" applyFill="1" applyAlignment="1">
      <alignment horizontal="center" vertical="center"/>
    </xf>
    <xf numFmtId="9" fontId="25" fillId="13" borderId="0" xfId="2" applyFill="1" applyAlignment="1">
      <alignment horizontal="center" vertical="center"/>
    </xf>
    <xf numFmtId="10" fontId="25" fillId="0" borderId="0" xfId="2" applyNumberFormat="1"/>
    <xf numFmtId="168" fontId="0" fillId="0" borderId="0" xfId="0" applyNumberFormat="1"/>
    <xf numFmtId="176" fontId="0" fillId="0" borderId="0" xfId="0" applyNumberFormat="1"/>
    <xf numFmtId="0" fontId="15" fillId="0" borderId="0" xfId="0" applyFont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9" fontId="25" fillId="0" borderId="0" xfId="2"/>
    <xf numFmtId="167" fontId="0" fillId="15" borderId="0" xfId="0" applyNumberFormat="1" applyFill="1" applyAlignment="1">
      <alignment horizontal="center" vertical="center"/>
    </xf>
    <xf numFmtId="9" fontId="25" fillId="15" borderId="0" xfId="2" applyFill="1" applyAlignment="1">
      <alignment horizontal="center" vertical="center"/>
    </xf>
    <xf numFmtId="1" fontId="0" fillId="0" borderId="0" xfId="0" applyNumberFormat="1"/>
    <xf numFmtId="177" fontId="25" fillId="0" borderId="0" xfId="2" applyNumberFormat="1"/>
    <xf numFmtId="178" fontId="0" fillId="0" borderId="0" xfId="0" applyNumberFormat="1"/>
    <xf numFmtId="0" fontId="0" fillId="0" borderId="0" xfId="0" applyAlignment="1">
      <alignment horizontal="left"/>
    </xf>
    <xf numFmtId="0" fontId="14" fillId="0" borderId="20" xfId="0" applyFont="1" applyBorder="1" applyAlignment="1">
      <alignment horizontal="left" vertical="center"/>
    </xf>
    <xf numFmtId="0" fontId="0" fillId="0" borderId="0" xfId="0" applyAlignment="1">
      <alignment vertical="center"/>
    </xf>
    <xf numFmtId="179" fontId="25" fillId="0" borderId="0" xfId="1" applyNumberFormat="1"/>
    <xf numFmtId="0" fontId="14" fillId="0" borderId="20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3" fontId="14" fillId="0" borderId="22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center"/>
    </xf>
    <xf numFmtId="0" fontId="15" fillId="9" borderId="18" xfId="0" applyFont="1" applyFill="1" applyBorder="1" applyAlignment="1">
      <alignment horizontal="center"/>
    </xf>
    <xf numFmtId="0" fontId="15" fillId="6" borderId="18" xfId="0" applyFont="1" applyFill="1" applyBorder="1" applyAlignment="1">
      <alignment horizontal="center"/>
    </xf>
    <xf numFmtId="0" fontId="15" fillId="2" borderId="18" xfId="0" applyFont="1" applyFill="1" applyBorder="1" applyAlignment="1">
      <alignment horizontal="center" wrapText="1"/>
    </xf>
    <xf numFmtId="0" fontId="15" fillId="10" borderId="18" xfId="0" applyFont="1" applyFill="1" applyBorder="1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166" fontId="0" fillId="0" borderId="21" xfId="0" applyNumberForma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</cellXfs>
  <cellStyles count="9">
    <cellStyle name="Moeda 2" xfId="3" xr:uid="{00000000-0005-0000-0000-000006000000}"/>
    <cellStyle name="Normal" xfId="0" builtinId="0"/>
    <cellStyle name="Normal 22" xfId="4" xr:uid="{00000000-0005-0000-0000-000007000000}"/>
    <cellStyle name="Normal 25" xfId="5" xr:uid="{00000000-0005-0000-0000-000008000000}"/>
    <cellStyle name="Porcentagem" xfId="2" builtinId="5"/>
    <cellStyle name="Porcentagem 2" xfId="6" xr:uid="{00000000-0005-0000-0000-000009000000}"/>
    <cellStyle name="Vírgula" xfId="1" builtinId="3"/>
    <cellStyle name="Vírgula 2" xfId="7" xr:uid="{00000000-0005-0000-0000-00000A000000}"/>
    <cellStyle name="常规 4" xfId="8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8FAADC"/>
      <rgbColor rgb="FF993366"/>
      <rgbColor rgb="FFF2F2F2"/>
      <rgbColor rgb="FFDAE3F3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CE5"/>
      <rgbColor rgb="FFE2F0D9"/>
      <rgbColor rgb="FFFFFF99"/>
      <rgbColor rgb="FFC5E0B4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C55A11"/>
      <rgbColor rgb="FF666699"/>
      <rgbColor rgb="FF8497B0"/>
      <rgbColor rgb="FF20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809640</xdr:colOff>
      <xdr:row>4</xdr:row>
      <xdr:rowOff>142920</xdr:rowOff>
    </xdr:from>
    <xdr:to>
      <xdr:col>0</xdr:col>
      <xdr:colOff>2190240</xdr:colOff>
      <xdr:row>9</xdr:row>
      <xdr:rowOff>158400</xdr:rowOff>
    </xdr:to>
    <xdr:pic>
      <xdr:nvPicPr>
        <xdr:cNvPr id="2" name="Imagem 10" descr="Avaliações da empresa Seawise: Como é trabalhar nela? | Glassdoo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09640" y="876240"/>
          <a:ext cx="1380600" cy="920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A2:M165" totalsRowShown="0">
  <autoFilter ref="A2:M165" xr:uid="{00000000-0009-0000-0100-000001000000}"/>
  <tableColumns count="13">
    <tableColumn id="1" xr3:uid="{00000000-0010-0000-0000-000001000000}" name="Item"/>
    <tableColumn id="2" xr3:uid="{00000000-0010-0000-0000-000002000000}" name="Produto"/>
    <tableColumn id="3" xr3:uid="{00000000-0010-0000-0000-000003000000}" name="NCM"/>
    <tableColumn id="4" xr3:uid="{00000000-0010-0000-0000-000004000000}" name="II"/>
    <tableColumn id="5" xr3:uid="{00000000-0010-0000-0000-000005000000}" name="IPI"/>
    <tableColumn id="6" xr3:uid="{00000000-0010-0000-0000-000006000000}" name="PIS"/>
    <tableColumn id="7" xr3:uid="{00000000-0010-0000-0000-000007000000}" name="COFINS"/>
    <tableColumn id="8" xr3:uid="{00000000-0010-0000-0000-000008000000}" name="ICMS"/>
    <tableColumn id="9" xr3:uid="{00000000-0010-0000-0000-000009000000}" name="Quantidade"/>
    <tableColumn id="10" xr3:uid="{00000000-0010-0000-0000-00000A000000}" name="Preço"/>
    <tableColumn id="11" xr3:uid="{00000000-0010-0000-0000-00000B000000}" name="% Rateio Quantidade"/>
    <tableColumn id="12" xr3:uid="{00000000-0010-0000-0000-00000C000000}" name="% Rateio Preço"/>
    <tableColumn id="13" xr3:uid="{00000000-0010-0000-0000-00000D000000}" name="Preço Fin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zoomScale="90" zoomScaleNormal="90" zoomScalePageLayoutView="80" workbookViewId="0">
      <selection activeCell="B11" sqref="B11"/>
    </sheetView>
  </sheetViews>
  <sheetFormatPr defaultColWidth="8.6640625" defaultRowHeight="14.25" customHeight="1" x14ac:dyDescent="0.3"/>
  <cols>
    <col min="1" max="1" width="40.33203125" customWidth="1"/>
    <col min="2" max="2" width="29.44140625" customWidth="1"/>
    <col min="3" max="3" width="18.109375" customWidth="1"/>
    <col min="4" max="4" width="21.33203125" customWidth="1"/>
    <col min="5" max="5" width="17" customWidth="1"/>
    <col min="6" max="6" width="23.109375" customWidth="1"/>
    <col min="7" max="7" width="11.6640625" hidden="1" customWidth="1"/>
    <col min="8" max="9" width="11.5546875" hidden="1" customWidth="1"/>
    <col min="10" max="10" width="24.109375" customWidth="1"/>
  </cols>
  <sheetData>
    <row r="1" spans="1:10" ht="14.4" x14ac:dyDescent="0.3">
      <c r="A1" s="3"/>
      <c r="B1" s="3"/>
      <c r="C1" s="3"/>
      <c r="D1" s="3"/>
      <c r="E1" s="3"/>
      <c r="F1" s="3"/>
    </row>
    <row r="2" spans="1:10" ht="14.4" x14ac:dyDescent="0.3">
      <c r="A2" s="3"/>
      <c r="B2" s="3"/>
      <c r="C2" s="3"/>
      <c r="D2" s="3"/>
      <c r="E2" s="3"/>
      <c r="F2" s="3"/>
    </row>
    <row r="3" spans="1:10" ht="14.4" x14ac:dyDescent="0.3">
      <c r="A3" s="4" t="s">
        <v>0</v>
      </c>
      <c r="B3" s="5"/>
      <c r="C3" s="5"/>
      <c r="D3" s="5"/>
      <c r="E3" s="5"/>
      <c r="F3" s="5"/>
    </row>
    <row r="4" spans="1:10" ht="15" customHeight="1" x14ac:dyDescent="0.3">
      <c r="A4" s="5"/>
      <c r="B4" s="5"/>
      <c r="C4" s="5"/>
      <c r="D4" s="5"/>
      <c r="E4" s="5"/>
      <c r="F4" s="5"/>
    </row>
    <row r="5" spans="1:10" ht="14.4" x14ac:dyDescent="0.3">
      <c r="A5" s="6"/>
      <c r="B5" s="166" t="s">
        <v>1</v>
      </c>
      <c r="C5" s="166"/>
      <c r="D5" s="166"/>
      <c r="E5" s="166"/>
      <c r="F5" s="166"/>
    </row>
    <row r="6" spans="1:10" ht="14.4" x14ac:dyDescent="0.3">
      <c r="A6" s="7"/>
      <c r="B6" s="166"/>
      <c r="C6" s="166"/>
      <c r="D6" s="166"/>
      <c r="E6" s="166"/>
      <c r="F6" s="166"/>
    </row>
    <row r="7" spans="1:10" ht="14.4" x14ac:dyDescent="0.3">
      <c r="A7" s="7"/>
      <c r="B7" s="166"/>
      <c r="C7" s="166"/>
      <c r="D7" s="166"/>
      <c r="E7" s="166"/>
      <c r="F7" s="166"/>
    </row>
    <row r="8" spans="1:10" ht="14.4" x14ac:dyDescent="0.3">
      <c r="A8" s="7"/>
      <c r="B8" s="8" t="s">
        <v>2</v>
      </c>
      <c r="C8" s="8"/>
      <c r="D8" s="8" t="s">
        <v>3</v>
      </c>
      <c r="E8" s="8"/>
      <c r="F8" s="9" t="s">
        <v>4</v>
      </c>
    </row>
    <row r="9" spans="1:10" ht="14.25" customHeight="1" x14ac:dyDescent="0.3">
      <c r="A9" s="7"/>
      <c r="B9" s="167" t="s">
        <v>5</v>
      </c>
      <c r="C9" s="167"/>
      <c r="D9" s="8" t="s">
        <v>6</v>
      </c>
      <c r="E9" s="8"/>
      <c r="F9" s="10">
        <f ca="1">TODAY()</f>
        <v>46233</v>
      </c>
    </row>
    <row r="10" spans="1:10" ht="14.4" x14ac:dyDescent="0.3">
      <c r="A10" s="7"/>
      <c r="B10" s="8" t="s">
        <v>7</v>
      </c>
      <c r="C10" s="11"/>
      <c r="D10" s="8" t="s">
        <v>8</v>
      </c>
      <c r="E10" s="8"/>
      <c r="F10" s="9" t="s">
        <v>9</v>
      </c>
    </row>
    <row r="11" spans="1:10" ht="15" customHeight="1" x14ac:dyDescent="0.3">
      <c r="A11" s="12"/>
      <c r="B11" s="13"/>
      <c r="C11" s="14"/>
      <c r="D11" s="13"/>
      <c r="E11" s="13"/>
      <c r="F11" s="15"/>
    </row>
    <row r="12" spans="1:10" ht="15" customHeight="1" x14ac:dyDescent="0.3">
      <c r="A12" s="16" t="s">
        <v>10</v>
      </c>
      <c r="B12" s="17">
        <f>'Rateio Custos Fixos'!B169</f>
        <v>5.14</v>
      </c>
      <c r="C12" s="18">
        <f>5.14</f>
        <v>5.14</v>
      </c>
      <c r="D12" s="19" t="s">
        <v>11</v>
      </c>
      <c r="E12" s="20">
        <f>'Lista de Compra'!C4</f>
        <v>72121000</v>
      </c>
      <c r="F12" s="21"/>
      <c r="J12" s="22"/>
    </row>
    <row r="13" spans="1:10" ht="15" customHeight="1" x14ac:dyDescent="0.3">
      <c r="A13" s="168" t="s">
        <v>12</v>
      </c>
      <c r="B13" s="168"/>
      <c r="C13" s="168"/>
      <c r="D13" s="168"/>
      <c r="E13" s="168"/>
      <c r="F13" s="168"/>
    </row>
    <row r="14" spans="1:10" ht="14.4" x14ac:dyDescent="0.3">
      <c r="A14" s="23" t="s">
        <v>13</v>
      </c>
      <c r="B14" s="24" t="s">
        <v>14</v>
      </c>
      <c r="C14" s="24"/>
      <c r="D14" s="24" t="s">
        <v>15</v>
      </c>
      <c r="E14" s="24"/>
      <c r="F14" s="25" t="s">
        <v>16</v>
      </c>
    </row>
    <row r="15" spans="1:10" ht="14.4" x14ac:dyDescent="0.3">
      <c r="A15" s="26"/>
      <c r="B15" s="27">
        <f>'Est. Cust. Naci. 100%'!D5</f>
        <v>21578</v>
      </c>
      <c r="C15" s="28"/>
      <c r="D15" s="29">
        <f>'Est. Cust. Naci. 100%'!G5</f>
        <v>66202.719999999987</v>
      </c>
      <c r="E15" s="30"/>
      <c r="F15" s="31">
        <f>'Est. Cust. Naci. 100%'!H5</f>
        <v>340281.98080000008</v>
      </c>
    </row>
    <row r="16" spans="1:10" ht="14.4" x14ac:dyDescent="0.3">
      <c r="A16" s="32" t="s">
        <v>17</v>
      </c>
      <c r="B16" s="33"/>
      <c r="C16" s="34"/>
      <c r="D16" s="35"/>
      <c r="E16" s="35"/>
      <c r="F16" s="36"/>
    </row>
    <row r="17" spans="1:7" ht="14.4" x14ac:dyDescent="0.3">
      <c r="A17" s="37" t="s">
        <v>18</v>
      </c>
      <c r="B17" s="38"/>
      <c r="C17" s="39"/>
      <c r="D17" s="40"/>
      <c r="E17" s="41"/>
      <c r="F17" s="42"/>
    </row>
    <row r="18" spans="1:7" ht="14.4" x14ac:dyDescent="0.3">
      <c r="A18" s="43" t="s">
        <v>19</v>
      </c>
      <c r="B18" s="44"/>
      <c r="C18" s="41"/>
      <c r="D18" s="45"/>
      <c r="E18" s="45"/>
      <c r="F18" s="46"/>
    </row>
    <row r="19" spans="1:7" ht="15" customHeight="1" x14ac:dyDescent="0.3">
      <c r="A19" s="47" t="s">
        <v>20</v>
      </c>
      <c r="B19" s="48"/>
      <c r="C19" s="49"/>
      <c r="D19" s="50">
        <f>'Rateio Custos Fixos'!G171</f>
        <v>18778.21011673152</v>
      </c>
      <c r="E19" s="45"/>
      <c r="F19" s="51">
        <f>'Rateio Custos Fixos'!G170</f>
        <v>96520</v>
      </c>
    </row>
    <row r="20" spans="1:7" ht="15" customHeight="1" x14ac:dyDescent="0.3">
      <c r="A20" s="52" t="s">
        <v>21</v>
      </c>
      <c r="B20" s="53"/>
      <c r="C20" s="53"/>
      <c r="D20" s="53"/>
      <c r="E20" s="53"/>
      <c r="F20" s="54">
        <f>SUM(F15+F19)</f>
        <v>436801.98080000008</v>
      </c>
    </row>
    <row r="21" spans="1:7" ht="14.4" x14ac:dyDescent="0.3">
      <c r="A21" s="168" t="s">
        <v>22</v>
      </c>
      <c r="B21" s="168"/>
      <c r="C21" s="168"/>
      <c r="D21" s="168"/>
      <c r="E21" s="168"/>
      <c r="F21" s="168"/>
    </row>
    <row r="22" spans="1:7" ht="14.4" x14ac:dyDescent="0.3">
      <c r="A22" s="55" t="s">
        <v>22</v>
      </c>
      <c r="B22" s="56" t="s">
        <v>23</v>
      </c>
      <c r="C22" s="56"/>
      <c r="D22" s="56"/>
      <c r="E22" s="56"/>
      <c r="F22" s="57" t="s">
        <v>24</v>
      </c>
    </row>
    <row r="23" spans="1:7" ht="14.4" x14ac:dyDescent="0.3">
      <c r="A23" s="58" t="s">
        <v>25</v>
      </c>
      <c r="B23" s="59">
        <f>'Lista de Compra'!D4</f>
        <v>0.112</v>
      </c>
      <c r="C23" s="56"/>
      <c r="D23" s="56"/>
      <c r="E23" s="56"/>
      <c r="F23" s="60">
        <f>'Est. Cust. Naci. 100%'!L4</f>
        <v>48921.821849600004</v>
      </c>
    </row>
    <row r="24" spans="1:7" ht="14.4" x14ac:dyDescent="0.3">
      <c r="A24" s="58" t="s">
        <v>26</v>
      </c>
      <c r="B24" s="61">
        <f>'Lista de Compra'!F4</f>
        <v>2.1000000000000001E-2</v>
      </c>
      <c r="C24" s="56"/>
      <c r="D24" s="56"/>
      <c r="E24" s="56"/>
      <c r="F24" s="60">
        <f>'Est. Cust. Naci. 100%'!N4</f>
        <v>10200.1998556416</v>
      </c>
    </row>
    <row r="25" spans="1:7" ht="14.4" x14ac:dyDescent="0.3">
      <c r="A25" s="58" t="s">
        <v>27</v>
      </c>
      <c r="B25" s="59">
        <f>'Lista de Compra'!G4</f>
        <v>9.6500000000000002E-2</v>
      </c>
      <c r="C25" s="56"/>
      <c r="D25" s="56"/>
      <c r="E25" s="56"/>
      <c r="F25" s="60">
        <f>'Est. Cust. Naci. 100%'!O4</f>
        <v>46872.3469556864</v>
      </c>
    </row>
    <row r="26" spans="1:7" ht="14.4" x14ac:dyDescent="0.3">
      <c r="A26" s="58" t="s">
        <v>28</v>
      </c>
      <c r="B26" s="59">
        <f>'Lista de Compra'!E4</f>
        <v>3.2500000000000001E-2</v>
      </c>
      <c r="C26" s="56"/>
      <c r="D26" s="56"/>
      <c r="E26" s="56"/>
      <c r="F26" s="60">
        <f>'Est. Cust. Naci. 100%'!M4</f>
        <v>15786.023586112005</v>
      </c>
    </row>
    <row r="27" spans="1:7" ht="15" customHeight="1" x14ac:dyDescent="0.3">
      <c r="A27" s="58" t="s">
        <v>29</v>
      </c>
      <c r="B27" s="59">
        <f>'Lista de Compra'!H4</f>
        <v>0.06</v>
      </c>
      <c r="C27" s="56"/>
      <c r="D27" s="56"/>
      <c r="E27" s="56"/>
      <c r="F27" s="60">
        <f>'Est. Cust. Naci. 100%'!P4</f>
        <v>29143.428158976007</v>
      </c>
    </row>
    <row r="28" spans="1:7" ht="15" customHeight="1" x14ac:dyDescent="0.3">
      <c r="A28" s="52" t="s">
        <v>30</v>
      </c>
      <c r="B28" s="53"/>
      <c r="C28" s="53"/>
      <c r="D28" s="53"/>
      <c r="E28" s="53"/>
      <c r="F28" s="54">
        <f>SUM(F23:F27)</f>
        <v>150923.82040601602</v>
      </c>
    </row>
    <row r="29" spans="1:7" ht="14.4" x14ac:dyDescent="0.3">
      <c r="A29" s="168" t="s">
        <v>31</v>
      </c>
      <c r="B29" s="168"/>
      <c r="C29" s="168"/>
      <c r="D29" s="168"/>
      <c r="E29" s="168"/>
      <c r="F29" s="168"/>
      <c r="G29" s="62"/>
    </row>
    <row r="30" spans="1:7" ht="14.4" x14ac:dyDescent="0.3">
      <c r="A30" s="63" t="str">
        <f>'Rateio Custos Fixos'!F3</f>
        <v>TAXA SISCOMEX</v>
      </c>
      <c r="B30" s="64"/>
      <c r="C30" s="64"/>
      <c r="D30" s="64"/>
      <c r="E30" s="64"/>
      <c r="F30" s="65">
        <f>'Rateio Custos Fixos'!F4</f>
        <v>350</v>
      </c>
    </row>
    <row r="31" spans="1:7" ht="14.4" x14ac:dyDescent="0.3">
      <c r="A31" s="63" t="str">
        <f>'Rateio Custos Fixos'!G3</f>
        <v>B/L</v>
      </c>
      <c r="B31" s="64"/>
      <c r="C31" s="64"/>
      <c r="D31" s="64"/>
      <c r="E31" s="64"/>
      <c r="F31" s="65">
        <f>'Rateio Custos Fixos'!G4</f>
        <v>1100</v>
      </c>
    </row>
    <row r="32" spans="1:7" ht="14.4" x14ac:dyDescent="0.3">
      <c r="A32" s="63" t="str">
        <f>'Rateio Custos Fixos'!H3</f>
        <v>T.H.C|  CAPATAZIA</v>
      </c>
      <c r="B32" s="64"/>
      <c r="C32" s="64"/>
      <c r="D32" s="64"/>
      <c r="E32" s="64"/>
      <c r="F32" s="65">
        <f>'Rateio Custos Fixos'!H4</f>
        <v>1500</v>
      </c>
    </row>
    <row r="33" spans="1:10" ht="14.4" x14ac:dyDescent="0.3">
      <c r="A33" s="63" t="str">
        <f>'Rateio Custos Fixos'!I3</f>
        <v>ISPS</v>
      </c>
      <c r="B33" s="64"/>
      <c r="C33" s="64"/>
      <c r="D33" s="64"/>
      <c r="E33" s="64"/>
      <c r="F33" s="65">
        <f>'Rateio Custos Fixos'!I4</f>
        <v>100</v>
      </c>
    </row>
    <row r="34" spans="1:10" ht="14.4" x14ac:dyDescent="0.3">
      <c r="A34" s="63" t="str">
        <f>'Rateio Custos Fixos'!J3</f>
        <v>DAMAGE PROTECTION</v>
      </c>
      <c r="B34" s="64"/>
      <c r="C34" s="64"/>
      <c r="D34" s="64"/>
      <c r="E34" s="64"/>
      <c r="F34" s="65">
        <f>'Rateio Custos Fixos'!J4</f>
        <v>180</v>
      </c>
    </row>
    <row r="35" spans="1:10" ht="14.4" x14ac:dyDescent="0.3">
      <c r="A35" s="63" t="str">
        <f>'Rateio Custos Fixos'!K3</f>
        <v>DESCONSOLIDAÇÃO</v>
      </c>
      <c r="B35" s="64"/>
      <c r="C35" s="64"/>
      <c r="D35" s="64"/>
      <c r="E35" s="64"/>
      <c r="F35" s="65">
        <f>'Rateio Custos Fixos'!K4</f>
        <v>490</v>
      </c>
    </row>
    <row r="36" spans="1:10" ht="14.4" x14ac:dyDescent="0.3">
      <c r="A36" s="63" t="str">
        <f>'Rateio Custos Fixos'!L3</f>
        <v>SERVIÇO DE ENTREGA DE CONTAINER</v>
      </c>
      <c r="B36" s="64"/>
      <c r="C36" s="64"/>
      <c r="D36" s="64"/>
      <c r="E36" s="64"/>
      <c r="F36" s="65">
        <f>'Rateio Custos Fixos'!L4</f>
        <v>1060</v>
      </c>
    </row>
    <row r="37" spans="1:10" ht="14.4" x14ac:dyDescent="0.3">
      <c r="A37" s="63" t="str">
        <f>'Rateio Custos Fixos'!M3</f>
        <v>DELIVERY ORDER</v>
      </c>
      <c r="B37" s="64"/>
      <c r="C37" s="64"/>
      <c r="D37" s="64"/>
      <c r="E37" s="64"/>
      <c r="F37" s="65">
        <f>'Rateio Custos Fixos'!M4</f>
        <v>366</v>
      </c>
    </row>
    <row r="38" spans="1:10" ht="14.4" x14ac:dyDescent="0.3">
      <c r="A38" s="63" t="str">
        <f>'Rateio Custos Fixos'!N3</f>
        <v>AFRMM</v>
      </c>
      <c r="B38" s="66">
        <v>0.08</v>
      </c>
      <c r="C38" s="64"/>
      <c r="D38" s="64"/>
      <c r="E38" s="64"/>
      <c r="F38" s="65">
        <f>'Rateio Custos Fixos'!N2</f>
        <v>7721.5999999999985</v>
      </c>
    </row>
    <row r="39" spans="1:10" ht="14.4" x14ac:dyDescent="0.3">
      <c r="A39" s="63" t="str">
        <f>'Rateio Custos Fixos'!O3</f>
        <v xml:space="preserve">ARMAZENAGEM </v>
      </c>
      <c r="B39" s="64"/>
      <c r="C39" s="64"/>
      <c r="D39" s="64"/>
      <c r="E39" s="64"/>
      <c r="F39" s="65">
        <f>'Rateio Custos Fixos'!O4</f>
        <v>1500</v>
      </c>
      <c r="J39" t="s">
        <v>32</v>
      </c>
    </row>
    <row r="40" spans="1:10" ht="14.4" x14ac:dyDescent="0.3">
      <c r="A40" s="63" t="str">
        <f>'Rateio Custos Fixos'!P3</f>
        <v>IMPORT LOGIST FREE</v>
      </c>
      <c r="B40" s="5"/>
      <c r="C40" s="64"/>
      <c r="D40" s="64"/>
      <c r="E40" s="64"/>
      <c r="F40" s="65">
        <f>'Rateio Custos Fixos'!P4</f>
        <v>300</v>
      </c>
    </row>
    <row r="41" spans="1:10" ht="14.4" x14ac:dyDescent="0.3">
      <c r="A41" s="63" t="str">
        <f>'Rateio Custos Fixos'!Q3</f>
        <v>DROP OFF</v>
      </c>
      <c r="B41" s="64"/>
      <c r="C41" s="64"/>
      <c r="D41" s="64"/>
      <c r="E41" s="64"/>
      <c r="F41" s="65">
        <f>'Rateio Custos Fixos'!Q4</f>
        <v>320.33</v>
      </c>
    </row>
    <row r="42" spans="1:10" ht="14.4" x14ac:dyDescent="0.3">
      <c r="A42" s="63" t="str">
        <f>'Rateio Custos Fixos'!R3</f>
        <v>TAXA</v>
      </c>
      <c r="B42" s="64"/>
      <c r="C42" s="64"/>
      <c r="D42" s="64"/>
      <c r="E42" s="64"/>
      <c r="F42" s="65">
        <f>'Rateio Custos Fixos'!R4</f>
        <v>200</v>
      </c>
    </row>
    <row r="43" spans="1:10" ht="14.4" x14ac:dyDescent="0.3">
      <c r="A43" s="63" t="str">
        <f>'Rateio Custos Fixos'!S3</f>
        <v>FRETE RODOVIÁRIO</v>
      </c>
      <c r="B43" s="64"/>
      <c r="C43" s="64"/>
      <c r="D43" s="64"/>
      <c r="E43" s="64"/>
      <c r="F43" s="65">
        <f>'Rateio Custos Fixos'!S4</f>
        <v>4500</v>
      </c>
    </row>
    <row r="44" spans="1:10" ht="14.4" x14ac:dyDescent="0.3">
      <c r="A44" s="63" t="s">
        <v>33</v>
      </c>
      <c r="B44" s="64"/>
      <c r="C44" s="64"/>
      <c r="D44" s="64"/>
      <c r="E44" s="64"/>
      <c r="F44" s="65">
        <f>'Rateio Custos Fixos'!T4</f>
        <v>8303.2999999999993</v>
      </c>
    </row>
    <row r="45" spans="1:10" ht="15" customHeight="1" x14ac:dyDescent="0.3">
      <c r="A45" s="63" t="str">
        <f>'Rateio Custos Fixos'!U3</f>
        <v>DESEMBARAÇO ADUANEIRO</v>
      </c>
      <c r="B45" s="64"/>
      <c r="C45" s="64"/>
      <c r="D45" s="64"/>
      <c r="E45" s="64"/>
      <c r="F45" s="65">
        <f>'Rateio Custos Fixos'!U4</f>
        <v>1300</v>
      </c>
    </row>
    <row r="46" spans="1:10" ht="15" customHeight="1" x14ac:dyDescent="0.3">
      <c r="A46" s="52" t="s">
        <v>34</v>
      </c>
      <c r="B46" s="67"/>
      <c r="C46" s="67"/>
      <c r="D46" s="67"/>
      <c r="E46" s="67"/>
      <c r="F46" s="68">
        <f>SUM(F30:F45)</f>
        <v>29291.23</v>
      </c>
    </row>
    <row r="47" spans="1:10" ht="15" customHeight="1" x14ac:dyDescent="0.3">
      <c r="A47" s="165" t="s">
        <v>35</v>
      </c>
      <c r="B47" s="165"/>
      <c r="C47" s="165"/>
      <c r="D47" s="165"/>
      <c r="E47" s="165"/>
      <c r="F47" s="69">
        <f>F20+F28+F46</f>
        <v>617017.03120601608</v>
      </c>
    </row>
    <row r="48" spans="1:10" ht="15" hidden="1" customHeight="1" x14ac:dyDescent="0.3">
      <c r="A48" s="70"/>
      <c r="B48" s="71"/>
      <c r="C48" s="71"/>
      <c r="D48" s="71"/>
      <c r="E48" s="72" t="s">
        <v>36</v>
      </c>
      <c r="F48" s="73" t="s">
        <v>36</v>
      </c>
    </row>
    <row r="49" spans="1:6" ht="15" hidden="1" customHeight="1" x14ac:dyDescent="0.3">
      <c r="A49" s="74">
        <f>A15</f>
        <v>0</v>
      </c>
      <c r="B49" s="75"/>
      <c r="C49" s="75"/>
      <c r="D49" s="75"/>
      <c r="E49" s="76"/>
      <c r="F49" s="76">
        <f>E49*15</f>
        <v>0</v>
      </c>
    </row>
    <row r="50" spans="1:6" ht="14.4" x14ac:dyDescent="0.3">
      <c r="A50" s="77" t="s">
        <v>37</v>
      </c>
      <c r="B50" s="78">
        <f>F15</f>
        <v>340281.98080000008</v>
      </c>
      <c r="C50" s="79"/>
      <c r="D50" s="79"/>
      <c r="E50" s="79"/>
      <c r="F50" s="80"/>
    </row>
    <row r="51" spans="1:6" ht="14.4" x14ac:dyDescent="0.3">
      <c r="A51" s="81" t="s">
        <v>38</v>
      </c>
      <c r="B51" s="82">
        <f>B52-B50</f>
        <v>276735.050406016</v>
      </c>
      <c r="C51" s="5"/>
      <c r="D51" s="5"/>
      <c r="E51" s="5"/>
      <c r="F51" s="83"/>
    </row>
    <row r="52" spans="1:6" ht="14.4" x14ac:dyDescent="0.3">
      <c r="A52" s="81" t="s">
        <v>36</v>
      </c>
      <c r="B52" s="82">
        <f>F47</f>
        <v>617017.03120601608</v>
      </c>
      <c r="C52" s="5"/>
      <c r="D52" s="5"/>
      <c r="E52" s="5"/>
      <c r="F52" s="83"/>
    </row>
    <row r="53" spans="1:6" ht="15" customHeight="1" x14ac:dyDescent="0.3">
      <c r="A53" s="84" t="s">
        <v>39</v>
      </c>
      <c r="B53" s="85">
        <f>B51/B50</f>
        <v>0.81325214387025202</v>
      </c>
      <c r="C53" s="48"/>
      <c r="D53" s="48"/>
      <c r="E53" s="48"/>
      <c r="F53" s="86"/>
    </row>
    <row r="66" ht="29.25" customHeight="1" x14ac:dyDescent="0.3"/>
    <row r="67" ht="28.5" customHeight="1" x14ac:dyDescent="0.3"/>
    <row r="68" ht="30" customHeight="1" x14ac:dyDescent="0.3"/>
    <row r="69" ht="30.75" customHeight="1" x14ac:dyDescent="0.3"/>
    <row r="70" ht="32.25" customHeight="1" x14ac:dyDescent="0.3"/>
    <row r="71" ht="31.5" customHeight="1" x14ac:dyDescent="0.3"/>
    <row r="72" ht="29.25" customHeight="1" x14ac:dyDescent="0.3"/>
    <row r="73" ht="30" customHeight="1" x14ac:dyDescent="0.3"/>
    <row r="74" ht="30" customHeight="1" x14ac:dyDescent="0.3"/>
    <row r="75" ht="28.5" customHeight="1" x14ac:dyDescent="0.3"/>
    <row r="76" ht="30.75" customHeight="1" x14ac:dyDescent="0.3"/>
    <row r="77" ht="30.75" customHeight="1" x14ac:dyDescent="0.3"/>
    <row r="78" ht="31.5" customHeight="1" x14ac:dyDescent="0.3"/>
    <row r="79" ht="29.25" customHeight="1" x14ac:dyDescent="0.3"/>
    <row r="80" ht="29.25" customHeight="1" x14ac:dyDescent="0.3"/>
    <row r="81" ht="30.75" customHeight="1" x14ac:dyDescent="0.3"/>
    <row r="82" ht="30" customHeight="1" x14ac:dyDescent="0.3"/>
    <row r="83" ht="29.25" customHeight="1" x14ac:dyDescent="0.3"/>
    <row r="84" ht="28.5" customHeight="1" x14ac:dyDescent="0.3"/>
    <row r="85" ht="28.5" customHeight="1" x14ac:dyDescent="0.3"/>
    <row r="86" ht="28.5" customHeight="1" x14ac:dyDescent="0.3"/>
    <row r="87" ht="28.5" customHeight="1" x14ac:dyDescent="0.3"/>
  </sheetData>
  <mergeCells count="6">
    <mergeCell ref="A47:E47"/>
    <mergeCell ref="B5:F7"/>
    <mergeCell ref="B9:C9"/>
    <mergeCell ref="A13:F13"/>
    <mergeCell ref="A21:F21"/>
    <mergeCell ref="A29:F29"/>
  </mergeCells>
  <pageMargins left="0.51180555555555596" right="0.51180555555555596" top="0.78749999999999998" bottom="0.78749999999999998" header="0.511811023622047" footer="0.511811023622047"/>
  <pageSetup paperSize="9" scale="53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5"/>
  <sheetViews>
    <sheetView tabSelected="1" topLeftCell="A87" zoomScale="80" zoomScaleNormal="80" zoomScalePageLayoutView="80" workbookViewId="0">
      <selection activeCell="B11" sqref="B11"/>
    </sheetView>
  </sheetViews>
  <sheetFormatPr defaultColWidth="8.6640625" defaultRowHeight="14.25" customHeight="1" x14ac:dyDescent="0.3"/>
  <cols>
    <col min="1" max="1" width="13.33203125" style="87" customWidth="1"/>
    <col min="2" max="2" width="71.33203125" style="88" customWidth="1"/>
    <col min="3" max="3" width="15.33203125" customWidth="1"/>
    <col min="4" max="5" width="8" customWidth="1"/>
    <col min="6" max="6" width="14.5546875" customWidth="1"/>
    <col min="7" max="7" width="8" customWidth="1"/>
    <col min="8" max="8" width="17.6640625" customWidth="1"/>
    <col min="9" max="9" width="16.109375" style="89" customWidth="1"/>
    <col min="10" max="10" width="18.33203125" style="90" customWidth="1"/>
    <col min="11" max="11" width="18.33203125" style="88" customWidth="1"/>
    <col min="12" max="12" width="11.44140625" style="88" customWidth="1"/>
    <col min="13" max="13" width="15.88671875" customWidth="1"/>
  </cols>
  <sheetData>
    <row r="1" spans="1:13" ht="14.4" x14ac:dyDescent="0.3">
      <c r="A1" s="88"/>
      <c r="H1" s="89"/>
      <c r="J1" s="91"/>
      <c r="M1" s="88"/>
    </row>
    <row r="2" spans="1:13" s="92" customFormat="1" ht="32.25" customHeight="1" x14ac:dyDescent="0.3">
      <c r="A2" s="92" t="s">
        <v>40</v>
      </c>
      <c r="B2" s="93" t="s">
        <v>41</v>
      </c>
      <c r="C2" s="92" t="s">
        <v>42</v>
      </c>
      <c r="D2" s="94" t="s">
        <v>43</v>
      </c>
      <c r="E2" s="94" t="s">
        <v>44</v>
      </c>
      <c r="F2" s="94" t="s">
        <v>45</v>
      </c>
      <c r="G2" s="94" t="s">
        <v>46</v>
      </c>
      <c r="H2" s="94" t="s">
        <v>29</v>
      </c>
      <c r="I2" s="92" t="s">
        <v>47</v>
      </c>
      <c r="J2" s="95" t="s">
        <v>48</v>
      </c>
      <c r="K2" s="93" t="s">
        <v>49</v>
      </c>
      <c r="L2" s="93" t="s">
        <v>50</v>
      </c>
      <c r="M2" s="92" t="s">
        <v>51</v>
      </c>
    </row>
    <row r="3" spans="1:13" ht="14.4" x14ac:dyDescent="0.3">
      <c r="A3" s="96"/>
      <c r="B3" s="97"/>
      <c r="C3" s="64"/>
      <c r="D3" s="64"/>
      <c r="E3" s="64"/>
      <c r="I3" s="98">
        <f>SUM(I4:I165)</f>
        <v>21578</v>
      </c>
      <c r="J3" s="90">
        <f>SUMPRODUCT(I4:I165,J4:J165)</f>
        <v>66202.719999999987</v>
      </c>
      <c r="K3" s="99"/>
      <c r="L3" s="99"/>
      <c r="M3" s="89">
        <f>'Est. Cust. Naci. 100%'!AJ5</f>
        <v>0</v>
      </c>
    </row>
    <row r="4" spans="1:13" ht="39.75" customHeight="1" x14ac:dyDescent="0.3">
      <c r="A4" s="41">
        <v>1</v>
      </c>
      <c r="B4" s="100" t="s">
        <v>52</v>
      </c>
      <c r="C4" s="101">
        <v>72121000</v>
      </c>
      <c r="D4" s="102">
        <v>0.112</v>
      </c>
      <c r="E4" s="103">
        <v>3.2500000000000001E-2</v>
      </c>
      <c r="F4" s="104">
        <v>2.1000000000000001E-2</v>
      </c>
      <c r="G4" s="104">
        <v>9.6500000000000002E-2</v>
      </c>
      <c r="H4" s="105">
        <v>0.06</v>
      </c>
      <c r="I4" s="106">
        <v>20</v>
      </c>
      <c r="J4" s="107">
        <v>7.48</v>
      </c>
      <c r="K4" s="108">
        <f t="shared" ref="K4:K35" si="0">I4/$I$3</f>
        <v>9.2686996014459174E-4</v>
      </c>
      <c r="L4" s="108">
        <f t="shared" ref="L4:L35" si="1">(I4*J4)/$J$3</f>
        <v>2.2597258843745399E-3</v>
      </c>
      <c r="M4" s="109">
        <f>'Est. Cust. Naci. 100%'!AJ6</f>
        <v>69.71446782580837</v>
      </c>
    </row>
    <row r="5" spans="1:13" ht="39.75" customHeight="1" x14ac:dyDescent="0.3">
      <c r="A5" s="41">
        <v>2</v>
      </c>
      <c r="B5" s="100" t="s">
        <v>53</v>
      </c>
      <c r="C5" s="101">
        <v>72121000</v>
      </c>
      <c r="D5" s="102">
        <v>0.112</v>
      </c>
      <c r="E5" s="103">
        <v>3.2500000000000001E-2</v>
      </c>
      <c r="F5" s="104">
        <v>2.1000000000000001E-2</v>
      </c>
      <c r="G5" s="104">
        <v>9.6500000000000002E-2</v>
      </c>
      <c r="H5" s="105">
        <v>0.06</v>
      </c>
      <c r="I5" s="106">
        <v>25</v>
      </c>
      <c r="J5" s="107">
        <v>12.88</v>
      </c>
      <c r="K5" s="108">
        <f t="shared" si="0"/>
        <v>1.1585874501807397E-3</v>
      </c>
      <c r="L5" s="108">
        <f t="shared" si="1"/>
        <v>4.8638484944425256E-3</v>
      </c>
      <c r="M5" s="109">
        <f>'Est. Cust. Naci. 100%'!AJ7</f>
        <v>120.04309433107107</v>
      </c>
    </row>
    <row r="6" spans="1:13" ht="39.75" customHeight="1" x14ac:dyDescent="0.3">
      <c r="A6" s="41">
        <v>3</v>
      </c>
      <c r="B6" s="100" t="s">
        <v>54</v>
      </c>
      <c r="C6" s="101">
        <v>72121000</v>
      </c>
      <c r="D6" s="102">
        <v>0.112</v>
      </c>
      <c r="E6" s="103">
        <v>3.2500000000000001E-2</v>
      </c>
      <c r="F6" s="104">
        <v>2.1000000000000001E-2</v>
      </c>
      <c r="G6" s="104">
        <v>9.6500000000000002E-2</v>
      </c>
      <c r="H6" s="105">
        <v>0.06</v>
      </c>
      <c r="I6" s="106">
        <v>300</v>
      </c>
      <c r="J6" s="107">
        <v>0.86</v>
      </c>
      <c r="K6" s="108">
        <f t="shared" si="0"/>
        <v>1.3903049402168875E-2</v>
      </c>
      <c r="L6" s="108">
        <f t="shared" si="1"/>
        <v>3.8971208433732038E-3</v>
      </c>
      <c r="M6" s="109">
        <f>'Est. Cust. Naci. 100%'!AJ8</f>
        <v>8.0152997767640617</v>
      </c>
    </row>
    <row r="7" spans="1:13" ht="39.75" customHeight="1" x14ac:dyDescent="0.3">
      <c r="A7" s="41">
        <v>4</v>
      </c>
      <c r="B7" s="100" t="s">
        <v>55</v>
      </c>
      <c r="C7" s="101">
        <v>72121000</v>
      </c>
      <c r="D7" s="102">
        <v>0.112</v>
      </c>
      <c r="E7" s="103">
        <v>3.2500000000000001E-2</v>
      </c>
      <c r="F7" s="104">
        <v>2.1000000000000001E-2</v>
      </c>
      <c r="G7" s="104">
        <v>9.6500000000000002E-2</v>
      </c>
      <c r="H7" s="105">
        <v>0.06</v>
      </c>
      <c r="I7" s="106">
        <v>50</v>
      </c>
      <c r="J7" s="107">
        <v>2.7</v>
      </c>
      <c r="K7" s="108">
        <f t="shared" si="0"/>
        <v>2.3171749003614794E-3</v>
      </c>
      <c r="L7" s="108">
        <f t="shared" si="1"/>
        <v>2.0391911389743508E-3</v>
      </c>
      <c r="M7" s="109">
        <f>'Est. Cust. Naci. 100%'!AJ9</f>
        <v>25.164313252631359</v>
      </c>
    </row>
    <row r="8" spans="1:13" ht="39.75" customHeight="1" x14ac:dyDescent="0.3">
      <c r="A8" s="41">
        <v>5</v>
      </c>
      <c r="B8" s="100" t="s">
        <v>56</v>
      </c>
      <c r="C8" s="101">
        <v>72121000</v>
      </c>
      <c r="D8" s="102">
        <v>0.112</v>
      </c>
      <c r="E8" s="103">
        <v>3.2500000000000001E-2</v>
      </c>
      <c r="F8" s="104">
        <v>2.1000000000000001E-2</v>
      </c>
      <c r="G8" s="104">
        <v>9.6500000000000002E-2</v>
      </c>
      <c r="H8" s="105">
        <v>0.06</v>
      </c>
      <c r="I8" s="106">
        <v>50</v>
      </c>
      <c r="J8" s="107">
        <v>4.91</v>
      </c>
      <c r="K8" s="108">
        <f t="shared" si="0"/>
        <v>2.3171749003614794E-3</v>
      </c>
      <c r="L8" s="108">
        <f t="shared" si="1"/>
        <v>3.7083068490237265E-3</v>
      </c>
      <c r="M8" s="109">
        <f>'Est. Cust. Naci. 100%'!AJ10</f>
        <v>45.761769655711099</v>
      </c>
    </row>
    <row r="9" spans="1:13" ht="39.75" customHeight="1" x14ac:dyDescent="0.3">
      <c r="A9" s="41">
        <v>6</v>
      </c>
      <c r="B9" s="100" t="s">
        <v>57</v>
      </c>
      <c r="C9" s="101">
        <v>72121000</v>
      </c>
      <c r="D9" s="102">
        <v>0.112</v>
      </c>
      <c r="E9" s="103">
        <v>3.2500000000000001E-2</v>
      </c>
      <c r="F9" s="104">
        <v>2.1000000000000001E-2</v>
      </c>
      <c r="G9" s="104">
        <v>9.6500000000000002E-2</v>
      </c>
      <c r="H9" s="105">
        <v>0.06</v>
      </c>
      <c r="I9" s="106">
        <v>20</v>
      </c>
      <c r="J9" s="107">
        <v>8.3800000000000008</v>
      </c>
      <c r="K9" s="108">
        <f t="shared" si="0"/>
        <v>9.2686996014459174E-4</v>
      </c>
      <c r="L9" s="108">
        <f t="shared" si="1"/>
        <v>2.5316180362377869E-3</v>
      </c>
      <c r="M9" s="109">
        <f>'Est. Cust. Naci. 100%'!AJ11</f>
        <v>78.102572243352157</v>
      </c>
    </row>
    <row r="10" spans="1:13" ht="39.75" customHeight="1" x14ac:dyDescent="0.3">
      <c r="A10" s="41">
        <v>7</v>
      </c>
      <c r="B10" s="100" t="s">
        <v>58</v>
      </c>
      <c r="C10" s="101">
        <v>72121000</v>
      </c>
      <c r="D10" s="102">
        <v>0.112</v>
      </c>
      <c r="E10" s="103">
        <v>3.2500000000000001E-2</v>
      </c>
      <c r="F10" s="104">
        <v>2.1000000000000001E-2</v>
      </c>
      <c r="G10" s="104">
        <v>9.6500000000000002E-2</v>
      </c>
      <c r="H10" s="105">
        <v>0.06</v>
      </c>
      <c r="I10" s="106">
        <v>50</v>
      </c>
      <c r="J10" s="107">
        <v>12.47</v>
      </c>
      <c r="K10" s="108">
        <f t="shared" si="0"/>
        <v>2.3171749003614794E-3</v>
      </c>
      <c r="L10" s="108">
        <f t="shared" si="1"/>
        <v>9.4180420381519084E-3</v>
      </c>
      <c r="M10" s="109">
        <f>'Est. Cust. Naci. 100%'!AJ12</f>
        <v>116.22184676307894</v>
      </c>
    </row>
    <row r="11" spans="1:13" ht="39.75" customHeight="1" x14ac:dyDescent="0.3">
      <c r="A11" s="41">
        <v>8</v>
      </c>
      <c r="B11" s="100" t="s">
        <v>59</v>
      </c>
      <c r="C11" s="101">
        <v>72121000</v>
      </c>
      <c r="D11" s="102">
        <v>0.112</v>
      </c>
      <c r="E11" s="103">
        <v>3.2500000000000001E-2</v>
      </c>
      <c r="F11" s="104">
        <v>2.1000000000000001E-2</v>
      </c>
      <c r="G11" s="104">
        <v>9.6500000000000002E-2</v>
      </c>
      <c r="H11" s="105">
        <v>0.06</v>
      </c>
      <c r="I11" s="106">
        <v>200</v>
      </c>
      <c r="J11" s="107">
        <v>0.42</v>
      </c>
      <c r="K11" s="108">
        <f t="shared" si="0"/>
        <v>9.2686996014459174E-3</v>
      </c>
      <c r="L11" s="108">
        <f t="shared" si="1"/>
        <v>1.2688300420284849E-3</v>
      </c>
      <c r="M11" s="109">
        <f>'Est. Cust. Naci. 100%'!AJ13</f>
        <v>3.914448728187101</v>
      </c>
    </row>
    <row r="12" spans="1:13" ht="39.75" customHeight="1" x14ac:dyDescent="0.3">
      <c r="A12" s="41">
        <v>9</v>
      </c>
      <c r="B12" s="100" t="s">
        <v>60</v>
      </c>
      <c r="C12" s="101">
        <v>72121000</v>
      </c>
      <c r="D12" s="102">
        <v>0.112</v>
      </c>
      <c r="E12" s="103">
        <v>3.2500000000000001E-2</v>
      </c>
      <c r="F12" s="104">
        <v>2.1000000000000001E-2</v>
      </c>
      <c r="G12" s="104">
        <v>9.6500000000000002E-2</v>
      </c>
      <c r="H12" s="105">
        <v>0.06</v>
      </c>
      <c r="I12" s="106">
        <v>100</v>
      </c>
      <c r="J12" s="107">
        <v>1.84</v>
      </c>
      <c r="K12" s="108">
        <f t="shared" si="0"/>
        <v>4.6343498007229587E-3</v>
      </c>
      <c r="L12" s="108">
        <f t="shared" si="1"/>
        <v>2.7793419968243E-3</v>
      </c>
      <c r="M12" s="109">
        <f>'Est. Cust. Naci. 100%'!AJ14</f>
        <v>17.149013475867296</v>
      </c>
    </row>
    <row r="13" spans="1:13" ht="39.75" customHeight="1" x14ac:dyDescent="0.3">
      <c r="A13" s="41">
        <v>10</v>
      </c>
      <c r="B13" s="100" t="s">
        <v>61</v>
      </c>
      <c r="C13" s="101">
        <v>72121000</v>
      </c>
      <c r="D13" s="102">
        <v>0.112</v>
      </c>
      <c r="E13" s="103">
        <v>3.2500000000000001E-2</v>
      </c>
      <c r="F13" s="104">
        <v>2.1000000000000001E-2</v>
      </c>
      <c r="G13" s="104">
        <v>9.6500000000000002E-2</v>
      </c>
      <c r="H13" s="105">
        <v>0.06</v>
      </c>
      <c r="I13" s="106">
        <v>80</v>
      </c>
      <c r="J13" s="107">
        <v>7.57</v>
      </c>
      <c r="K13" s="108">
        <f t="shared" si="0"/>
        <v>3.707479840578367E-3</v>
      </c>
      <c r="L13" s="108">
        <f t="shared" si="1"/>
        <v>9.1476603982434575E-3</v>
      </c>
      <c r="M13" s="109">
        <f>'Est. Cust. Naci. 100%'!AJ15</f>
        <v>70.553278267562746</v>
      </c>
    </row>
    <row r="14" spans="1:13" ht="39.75" customHeight="1" x14ac:dyDescent="0.3">
      <c r="A14" s="41">
        <v>11</v>
      </c>
      <c r="B14" s="100" t="s">
        <v>62</v>
      </c>
      <c r="C14" s="101">
        <v>72121000</v>
      </c>
      <c r="D14" s="102">
        <v>0.112</v>
      </c>
      <c r="E14" s="103">
        <v>3.2500000000000001E-2</v>
      </c>
      <c r="F14" s="104">
        <v>2.1000000000000001E-2</v>
      </c>
      <c r="G14" s="104">
        <v>9.6500000000000002E-2</v>
      </c>
      <c r="H14" s="105">
        <v>0.06</v>
      </c>
      <c r="I14" s="106">
        <v>250</v>
      </c>
      <c r="J14" s="107">
        <v>0.2</v>
      </c>
      <c r="K14" s="108">
        <f t="shared" si="0"/>
        <v>1.1585874501807397E-2</v>
      </c>
      <c r="L14" s="108">
        <f t="shared" si="1"/>
        <v>7.5525597739790765E-4</v>
      </c>
      <c r="M14" s="109">
        <f>'Est. Cust. Naci. 100%'!AJ16</f>
        <v>1.8640232038986191</v>
      </c>
    </row>
    <row r="15" spans="1:13" ht="39.75" customHeight="1" x14ac:dyDescent="0.3">
      <c r="A15" s="41">
        <v>12</v>
      </c>
      <c r="B15" s="100" t="s">
        <v>63</v>
      </c>
      <c r="C15" s="101">
        <v>72121000</v>
      </c>
      <c r="D15" s="102">
        <v>0.112</v>
      </c>
      <c r="E15" s="103">
        <v>3.2500000000000001E-2</v>
      </c>
      <c r="F15" s="104">
        <v>2.1000000000000001E-2</v>
      </c>
      <c r="G15" s="104">
        <v>9.6500000000000002E-2</v>
      </c>
      <c r="H15" s="105">
        <v>0.06</v>
      </c>
      <c r="I15" s="106">
        <v>500</v>
      </c>
      <c r="J15" s="107">
        <v>0.4</v>
      </c>
      <c r="K15" s="108">
        <f t="shared" si="0"/>
        <v>2.3171749003614794E-2</v>
      </c>
      <c r="L15" s="108">
        <f t="shared" si="1"/>
        <v>3.0210239095916306E-3</v>
      </c>
      <c r="M15" s="109">
        <f>'Est. Cust. Naci. 100%'!AJ17</f>
        <v>3.7280464077972382</v>
      </c>
    </row>
    <row r="16" spans="1:13" ht="39.75" customHeight="1" x14ac:dyDescent="0.3">
      <c r="A16" s="41">
        <v>13</v>
      </c>
      <c r="B16" s="100" t="s">
        <v>64</v>
      </c>
      <c r="C16" s="101">
        <v>72121000</v>
      </c>
      <c r="D16" s="102">
        <v>0.112</v>
      </c>
      <c r="E16" s="103">
        <v>3.2500000000000001E-2</v>
      </c>
      <c r="F16" s="104">
        <v>2.1000000000000001E-2</v>
      </c>
      <c r="G16" s="104">
        <v>9.6500000000000002E-2</v>
      </c>
      <c r="H16" s="105">
        <v>0.06</v>
      </c>
      <c r="I16" s="106">
        <v>1000</v>
      </c>
      <c r="J16" s="107">
        <v>0.63</v>
      </c>
      <c r="K16" s="108">
        <f t="shared" si="0"/>
        <v>4.6343498007229589E-2</v>
      </c>
      <c r="L16" s="108">
        <f t="shared" si="1"/>
        <v>9.5162253152136361E-3</v>
      </c>
      <c r="M16" s="109">
        <f>'Est. Cust. Naci. 100%'!AJ18</f>
        <v>5.871673092280651</v>
      </c>
    </row>
    <row r="17" spans="1:13" ht="39.75" customHeight="1" x14ac:dyDescent="0.3">
      <c r="A17" s="41">
        <v>14</v>
      </c>
      <c r="B17" s="100" t="s">
        <v>65</v>
      </c>
      <c r="C17" s="101">
        <v>72121000</v>
      </c>
      <c r="D17" s="102">
        <v>0.112</v>
      </c>
      <c r="E17" s="103">
        <v>3.2500000000000001E-2</v>
      </c>
      <c r="F17" s="104">
        <v>2.1000000000000001E-2</v>
      </c>
      <c r="G17" s="104">
        <v>9.6500000000000002E-2</v>
      </c>
      <c r="H17" s="105">
        <v>0.06</v>
      </c>
      <c r="I17" s="106">
        <v>300</v>
      </c>
      <c r="J17" s="107">
        <v>1.64</v>
      </c>
      <c r="K17" s="108">
        <f t="shared" si="0"/>
        <v>1.3903049402168875E-2</v>
      </c>
      <c r="L17" s="108">
        <f t="shared" si="1"/>
        <v>7.431718817595411E-3</v>
      </c>
      <c r="M17" s="109">
        <f>'Est. Cust. Naci. 100%'!AJ19</f>
        <v>15.284990271968676</v>
      </c>
    </row>
    <row r="18" spans="1:13" ht="39.75" customHeight="1" x14ac:dyDescent="0.3">
      <c r="A18" s="41">
        <v>15</v>
      </c>
      <c r="B18" s="100" t="s">
        <v>66</v>
      </c>
      <c r="C18" s="101">
        <v>72121000</v>
      </c>
      <c r="D18" s="102">
        <v>0.112</v>
      </c>
      <c r="E18" s="103">
        <v>3.2500000000000001E-2</v>
      </c>
      <c r="F18" s="104">
        <v>2.1000000000000001E-2</v>
      </c>
      <c r="G18" s="104">
        <v>9.6500000000000002E-2</v>
      </c>
      <c r="H18" s="105">
        <v>0.06</v>
      </c>
      <c r="I18" s="106">
        <v>75</v>
      </c>
      <c r="J18" s="107">
        <v>3.03</v>
      </c>
      <c r="K18" s="108">
        <f t="shared" si="0"/>
        <v>3.4757623505422188E-3</v>
      </c>
      <c r="L18" s="108">
        <f t="shared" si="1"/>
        <v>3.4326384172734901E-3</v>
      </c>
      <c r="M18" s="109">
        <f>'Est. Cust. Naci. 100%'!AJ20</f>
        <v>28.239951539064077</v>
      </c>
    </row>
    <row r="19" spans="1:13" ht="39.75" customHeight="1" x14ac:dyDescent="0.3">
      <c r="A19" s="41">
        <v>16</v>
      </c>
      <c r="B19" s="100" t="s">
        <v>67</v>
      </c>
      <c r="C19" s="101">
        <v>72121000</v>
      </c>
      <c r="D19" s="102">
        <v>0.112</v>
      </c>
      <c r="E19" s="103">
        <v>3.2500000000000001E-2</v>
      </c>
      <c r="F19" s="104">
        <v>2.1000000000000001E-2</v>
      </c>
      <c r="G19" s="104">
        <v>9.6500000000000002E-2</v>
      </c>
      <c r="H19" s="105">
        <v>0.06</v>
      </c>
      <c r="I19" s="106">
        <v>150</v>
      </c>
      <c r="J19" s="107">
        <v>4.87</v>
      </c>
      <c r="K19" s="108">
        <f t="shared" si="0"/>
        <v>6.9515247010844376E-3</v>
      </c>
      <c r="L19" s="108">
        <f t="shared" si="1"/>
        <v>1.103428982978343E-2</v>
      </c>
      <c r="M19" s="109">
        <f>'Est. Cust. Naci. 100%'!AJ21</f>
        <v>45.388965014931379</v>
      </c>
    </row>
    <row r="20" spans="1:13" ht="39.75" customHeight="1" x14ac:dyDescent="0.3">
      <c r="A20" s="41">
        <v>17</v>
      </c>
      <c r="B20" s="100" t="s">
        <v>68</v>
      </c>
      <c r="C20" s="101">
        <v>72121000</v>
      </c>
      <c r="D20" s="102">
        <v>0.112</v>
      </c>
      <c r="E20" s="103">
        <v>3.2500000000000001E-2</v>
      </c>
      <c r="F20" s="104">
        <v>2.1000000000000001E-2</v>
      </c>
      <c r="G20" s="104">
        <v>9.6500000000000002E-2</v>
      </c>
      <c r="H20" s="105">
        <v>0.06</v>
      </c>
      <c r="I20" s="106">
        <v>200</v>
      </c>
      <c r="J20" s="107">
        <v>7.32</v>
      </c>
      <c r="K20" s="108">
        <f t="shared" si="0"/>
        <v>9.2686996014459174E-3</v>
      </c>
      <c r="L20" s="108">
        <f t="shared" si="1"/>
        <v>2.2113895018210736E-2</v>
      </c>
      <c r="M20" s="109">
        <f>'Est. Cust. Naci. 100%'!AJ22</f>
        <v>68.223249262689464</v>
      </c>
    </row>
    <row r="21" spans="1:13" ht="39.75" customHeight="1" x14ac:dyDescent="0.3">
      <c r="A21" s="41">
        <v>18</v>
      </c>
      <c r="B21" s="100" t="s">
        <v>69</v>
      </c>
      <c r="C21" s="101">
        <v>72121000</v>
      </c>
      <c r="D21" s="102">
        <v>0.112</v>
      </c>
      <c r="E21" s="103">
        <v>3.2500000000000001E-2</v>
      </c>
      <c r="F21" s="104">
        <v>2.1000000000000001E-2</v>
      </c>
      <c r="G21" s="104">
        <v>9.6500000000000002E-2</v>
      </c>
      <c r="H21" s="105">
        <v>0.06</v>
      </c>
      <c r="I21" s="106">
        <v>50</v>
      </c>
      <c r="J21" s="107">
        <v>13.9</v>
      </c>
      <c r="K21" s="108">
        <f t="shared" si="0"/>
        <v>2.3171749003614794E-3</v>
      </c>
      <c r="L21" s="108">
        <f t="shared" si="1"/>
        <v>1.0498058085830916E-2</v>
      </c>
      <c r="M21" s="109">
        <f>'Est. Cust. Naci. 100%'!AJ23</f>
        <v>129.54961267095402</v>
      </c>
    </row>
    <row r="22" spans="1:13" ht="39.75" customHeight="1" x14ac:dyDescent="0.3">
      <c r="A22" s="41">
        <v>19</v>
      </c>
      <c r="B22" s="100" t="s">
        <v>70</v>
      </c>
      <c r="C22" s="101">
        <v>72121000</v>
      </c>
      <c r="D22" s="102">
        <v>0.112</v>
      </c>
      <c r="E22" s="103">
        <v>3.2500000000000001E-2</v>
      </c>
      <c r="F22" s="104">
        <v>2.1000000000000001E-2</v>
      </c>
      <c r="G22" s="104">
        <v>9.6500000000000002E-2</v>
      </c>
      <c r="H22" s="105">
        <v>0.06</v>
      </c>
      <c r="I22" s="106">
        <v>60</v>
      </c>
      <c r="J22" s="107">
        <v>5.01</v>
      </c>
      <c r="K22" s="108">
        <f t="shared" si="0"/>
        <v>2.7806098804337752E-3</v>
      </c>
      <c r="L22" s="108">
        <f t="shared" si="1"/>
        <v>4.54059893611622E-3</v>
      </c>
      <c r="M22" s="109">
        <f>'Est. Cust. Naci. 100%'!AJ24</f>
        <v>46.693781257660405</v>
      </c>
    </row>
    <row r="23" spans="1:13" ht="39.75" customHeight="1" x14ac:dyDescent="0.3">
      <c r="A23" s="41">
        <v>20</v>
      </c>
      <c r="B23" s="100" t="s">
        <v>71</v>
      </c>
      <c r="C23" s="101">
        <v>72121000</v>
      </c>
      <c r="D23" s="102">
        <v>0.112</v>
      </c>
      <c r="E23" s="103">
        <v>3.2500000000000001E-2</v>
      </c>
      <c r="F23" s="104">
        <v>2.1000000000000001E-2</v>
      </c>
      <c r="G23" s="104">
        <v>9.6500000000000002E-2</v>
      </c>
      <c r="H23" s="105">
        <v>0.06</v>
      </c>
      <c r="I23" s="106">
        <v>30</v>
      </c>
      <c r="J23" s="107">
        <v>1</v>
      </c>
      <c r="K23" s="108">
        <f t="shared" si="0"/>
        <v>1.3903049402168876E-3</v>
      </c>
      <c r="L23" s="108">
        <f t="shared" si="1"/>
        <v>4.531535864387446E-4</v>
      </c>
      <c r="M23" s="109">
        <f>'Est. Cust. Naci. 100%'!AJ25</f>
        <v>9.3201160194930956</v>
      </c>
    </row>
    <row r="24" spans="1:13" ht="39.75" customHeight="1" x14ac:dyDescent="0.3">
      <c r="A24" s="41">
        <v>21</v>
      </c>
      <c r="B24" s="100" t="s">
        <v>72</v>
      </c>
      <c r="C24" s="101">
        <v>72121000</v>
      </c>
      <c r="D24" s="102">
        <v>0.112</v>
      </c>
      <c r="E24" s="103">
        <v>3.2500000000000001E-2</v>
      </c>
      <c r="F24" s="104">
        <v>2.1000000000000001E-2</v>
      </c>
      <c r="G24" s="104">
        <v>9.6500000000000002E-2</v>
      </c>
      <c r="H24" s="105">
        <v>0.06</v>
      </c>
      <c r="I24" s="106">
        <v>120</v>
      </c>
      <c r="J24" s="107">
        <v>0.47</v>
      </c>
      <c r="K24" s="108">
        <f t="shared" si="0"/>
        <v>5.5612197608675504E-3</v>
      </c>
      <c r="L24" s="108">
        <f t="shared" si="1"/>
        <v>8.5192874250483979E-4</v>
      </c>
      <c r="M24" s="109">
        <f>'Est. Cust. Naci. 100%'!AJ26</f>
        <v>4.3804545291617547</v>
      </c>
    </row>
    <row r="25" spans="1:13" ht="39.75" customHeight="1" x14ac:dyDescent="0.3">
      <c r="A25" s="41">
        <v>22</v>
      </c>
      <c r="B25" s="100" t="s">
        <v>73</v>
      </c>
      <c r="C25" s="101">
        <v>72121000</v>
      </c>
      <c r="D25" s="102">
        <v>0.112</v>
      </c>
      <c r="E25" s="103">
        <v>3.2500000000000001E-2</v>
      </c>
      <c r="F25" s="104">
        <v>2.1000000000000001E-2</v>
      </c>
      <c r="G25" s="104">
        <v>9.6500000000000002E-2</v>
      </c>
      <c r="H25" s="105">
        <v>0.06</v>
      </c>
      <c r="I25" s="106">
        <v>50</v>
      </c>
      <c r="J25" s="107">
        <v>1.01</v>
      </c>
      <c r="K25" s="108">
        <f t="shared" si="0"/>
        <v>2.3171749003614794E-3</v>
      </c>
      <c r="L25" s="108">
        <f t="shared" si="1"/>
        <v>7.6280853717188674E-4</v>
      </c>
      <c r="M25" s="109">
        <f>'Est. Cust. Naci. 100%'!AJ27</f>
        <v>9.4133171796880291</v>
      </c>
    </row>
    <row r="26" spans="1:13" ht="39.75" customHeight="1" x14ac:dyDescent="0.3">
      <c r="A26" s="41">
        <v>23</v>
      </c>
      <c r="B26" s="100" t="s">
        <v>74</v>
      </c>
      <c r="C26" s="101">
        <v>72121000</v>
      </c>
      <c r="D26" s="102">
        <v>0.112</v>
      </c>
      <c r="E26" s="103">
        <v>3.2500000000000001E-2</v>
      </c>
      <c r="F26" s="104">
        <v>2.1000000000000001E-2</v>
      </c>
      <c r="G26" s="104">
        <v>9.6500000000000002E-2</v>
      </c>
      <c r="H26" s="105">
        <v>0.06</v>
      </c>
      <c r="I26" s="106">
        <v>15</v>
      </c>
      <c r="J26" s="107">
        <v>2.13</v>
      </c>
      <c r="K26" s="108">
        <f t="shared" si="0"/>
        <v>6.9515247010844381E-4</v>
      </c>
      <c r="L26" s="108">
        <f t="shared" si="1"/>
        <v>4.8260856955726299E-4</v>
      </c>
      <c r="M26" s="109">
        <f>'Est. Cust. Naci. 100%'!AJ28</f>
        <v>19.851847121520294</v>
      </c>
    </row>
    <row r="27" spans="1:13" ht="39.75" customHeight="1" x14ac:dyDescent="0.3">
      <c r="A27" s="41">
        <v>24</v>
      </c>
      <c r="B27" s="100" t="s">
        <v>75</v>
      </c>
      <c r="C27" s="101">
        <v>72121000</v>
      </c>
      <c r="D27" s="102">
        <v>0.112</v>
      </c>
      <c r="E27" s="103">
        <v>3.2500000000000001E-2</v>
      </c>
      <c r="F27" s="104">
        <v>2.1000000000000001E-2</v>
      </c>
      <c r="G27" s="104">
        <v>9.6500000000000002E-2</v>
      </c>
      <c r="H27" s="105">
        <v>0.06</v>
      </c>
      <c r="I27" s="106">
        <v>50</v>
      </c>
      <c r="J27" s="107">
        <v>3.86</v>
      </c>
      <c r="K27" s="108">
        <f t="shared" si="0"/>
        <v>2.3171749003614794E-3</v>
      </c>
      <c r="L27" s="108">
        <f t="shared" si="1"/>
        <v>2.9152880727559235E-3</v>
      </c>
      <c r="M27" s="109">
        <f>'Est. Cust. Naci. 100%'!AJ29</f>
        <v>35.97564783524335</v>
      </c>
    </row>
    <row r="28" spans="1:13" ht="39.75" customHeight="1" x14ac:dyDescent="0.3">
      <c r="A28" s="41">
        <v>25</v>
      </c>
      <c r="B28" s="100" t="s">
        <v>76</v>
      </c>
      <c r="C28" s="101">
        <v>72121000</v>
      </c>
      <c r="D28" s="102">
        <v>0.112</v>
      </c>
      <c r="E28" s="103">
        <v>3.2500000000000001E-2</v>
      </c>
      <c r="F28" s="104">
        <v>2.1000000000000001E-2</v>
      </c>
      <c r="G28" s="104">
        <v>9.6500000000000002E-2</v>
      </c>
      <c r="H28" s="105">
        <v>0.06</v>
      </c>
      <c r="I28" s="106">
        <v>100</v>
      </c>
      <c r="J28" s="107">
        <v>7.1</v>
      </c>
      <c r="K28" s="108">
        <f t="shared" si="0"/>
        <v>4.6343498007229587E-3</v>
      </c>
      <c r="L28" s="108">
        <f t="shared" si="1"/>
        <v>1.0724634879050289E-2</v>
      </c>
      <c r="M28" s="109">
        <f>'Est. Cust. Naci. 100%'!AJ30</f>
        <v>66.172823738400993</v>
      </c>
    </row>
    <row r="29" spans="1:13" ht="39.75" customHeight="1" x14ac:dyDescent="0.3">
      <c r="A29" s="41">
        <v>26</v>
      </c>
      <c r="B29" s="100" t="s">
        <v>77</v>
      </c>
      <c r="C29" s="101">
        <v>72121000</v>
      </c>
      <c r="D29" s="102">
        <v>0.112</v>
      </c>
      <c r="E29" s="103">
        <v>3.2500000000000001E-2</v>
      </c>
      <c r="F29" s="104">
        <v>2.1000000000000001E-2</v>
      </c>
      <c r="G29" s="104">
        <v>9.6500000000000002E-2</v>
      </c>
      <c r="H29" s="105">
        <v>0.06</v>
      </c>
      <c r="I29" s="106">
        <v>200</v>
      </c>
      <c r="J29" s="107">
        <v>9.5399999999999991</v>
      </c>
      <c r="K29" s="108">
        <f t="shared" si="0"/>
        <v>9.2686996014459174E-3</v>
      </c>
      <c r="L29" s="108">
        <f t="shared" si="1"/>
        <v>2.8820568097504152E-2</v>
      </c>
      <c r="M29" s="109">
        <f>'Est. Cust. Naci. 100%'!AJ31</f>
        <v>88.913906825964148</v>
      </c>
    </row>
    <row r="30" spans="1:13" ht="39.75" customHeight="1" x14ac:dyDescent="0.3">
      <c r="A30" s="41">
        <v>27</v>
      </c>
      <c r="B30" s="100" t="s">
        <v>78</v>
      </c>
      <c r="C30" s="101">
        <v>72121000</v>
      </c>
      <c r="D30" s="102">
        <v>0.112</v>
      </c>
      <c r="E30" s="103">
        <v>3.2500000000000001E-2</v>
      </c>
      <c r="F30" s="104">
        <v>2.1000000000000001E-2</v>
      </c>
      <c r="G30" s="104">
        <v>9.6500000000000002E-2</v>
      </c>
      <c r="H30" s="105">
        <v>0.06</v>
      </c>
      <c r="I30" s="106">
        <v>30</v>
      </c>
      <c r="J30" s="107">
        <v>15.63</v>
      </c>
      <c r="K30" s="108">
        <f t="shared" si="0"/>
        <v>1.3903049402168876E-3</v>
      </c>
      <c r="L30" s="108">
        <f t="shared" si="1"/>
        <v>7.0827905560375782E-3</v>
      </c>
      <c r="M30" s="109">
        <f>'Est. Cust. Naci. 100%'!AJ32</f>
        <v>145.67341338467713</v>
      </c>
    </row>
    <row r="31" spans="1:13" ht="39.75" customHeight="1" x14ac:dyDescent="0.3">
      <c r="A31" s="41">
        <v>28</v>
      </c>
      <c r="B31" s="100" t="s">
        <v>79</v>
      </c>
      <c r="C31" s="101">
        <v>72121000</v>
      </c>
      <c r="D31" s="102">
        <v>0.112</v>
      </c>
      <c r="E31" s="103">
        <v>3.2500000000000001E-2</v>
      </c>
      <c r="F31" s="104">
        <v>2.1000000000000001E-2</v>
      </c>
      <c r="G31" s="104">
        <v>9.6500000000000002E-2</v>
      </c>
      <c r="H31" s="105">
        <v>0.06</v>
      </c>
      <c r="I31" s="106">
        <v>25</v>
      </c>
      <c r="J31" s="107">
        <v>0.75</v>
      </c>
      <c r="K31" s="108">
        <f t="shared" si="0"/>
        <v>1.1585874501807397E-3</v>
      </c>
      <c r="L31" s="108">
        <f t="shared" si="1"/>
        <v>2.8322099152421537E-4</v>
      </c>
      <c r="M31" s="109">
        <f>'Est. Cust. Naci. 100%'!AJ33</f>
        <v>6.9900870146198226</v>
      </c>
    </row>
    <row r="32" spans="1:13" ht="39.75" customHeight="1" x14ac:dyDescent="0.3">
      <c r="A32" s="41">
        <v>29</v>
      </c>
      <c r="B32" s="100" t="s">
        <v>80</v>
      </c>
      <c r="C32" s="101">
        <v>72121000</v>
      </c>
      <c r="D32" s="102">
        <v>0.112</v>
      </c>
      <c r="E32" s="103">
        <v>3.2500000000000001E-2</v>
      </c>
      <c r="F32" s="104">
        <v>2.1000000000000001E-2</v>
      </c>
      <c r="G32" s="104">
        <v>9.6500000000000002E-2</v>
      </c>
      <c r="H32" s="105">
        <v>0.06</v>
      </c>
      <c r="I32" s="106">
        <v>50</v>
      </c>
      <c r="J32" s="107">
        <v>0.89</v>
      </c>
      <c r="K32" s="108">
        <f t="shared" si="0"/>
        <v>2.3171749003614794E-3</v>
      </c>
      <c r="L32" s="108">
        <f t="shared" si="1"/>
        <v>6.7217781988413783E-4</v>
      </c>
      <c r="M32" s="109">
        <f>'Est. Cust. Naci. 100%'!AJ34</f>
        <v>8.2949032573488566</v>
      </c>
    </row>
    <row r="33" spans="1:13" ht="39.75" customHeight="1" x14ac:dyDescent="0.3">
      <c r="A33" s="41">
        <v>30</v>
      </c>
      <c r="B33" s="100" t="s">
        <v>81</v>
      </c>
      <c r="C33" s="101">
        <v>72121000</v>
      </c>
      <c r="D33" s="102">
        <v>0.112</v>
      </c>
      <c r="E33" s="103">
        <v>3.2500000000000001E-2</v>
      </c>
      <c r="F33" s="104">
        <v>2.1000000000000001E-2</v>
      </c>
      <c r="G33" s="104">
        <v>9.6500000000000002E-2</v>
      </c>
      <c r="H33" s="105">
        <v>0.06</v>
      </c>
      <c r="I33" s="106">
        <v>200</v>
      </c>
      <c r="J33" s="107">
        <v>0.99</v>
      </c>
      <c r="K33" s="108">
        <f t="shared" si="0"/>
        <v>9.2686996014459174E-3</v>
      </c>
      <c r="L33" s="108">
        <f t="shared" si="1"/>
        <v>2.9908136704957142E-3</v>
      </c>
      <c r="M33" s="109">
        <f>'Est. Cust. Naci. 100%'!AJ35</f>
        <v>9.226914859298164</v>
      </c>
    </row>
    <row r="34" spans="1:13" ht="39.75" customHeight="1" x14ac:dyDescent="0.3">
      <c r="A34" s="41">
        <v>31</v>
      </c>
      <c r="B34" s="100" t="s">
        <v>82</v>
      </c>
      <c r="C34" s="101">
        <v>72121000</v>
      </c>
      <c r="D34" s="102">
        <v>0.112</v>
      </c>
      <c r="E34" s="103">
        <v>3.2500000000000001E-2</v>
      </c>
      <c r="F34" s="104">
        <v>2.1000000000000001E-2</v>
      </c>
      <c r="G34" s="104">
        <v>9.6500000000000002E-2</v>
      </c>
      <c r="H34" s="105">
        <v>0.06</v>
      </c>
      <c r="I34" s="106">
        <v>300</v>
      </c>
      <c r="J34" s="107">
        <v>1.48</v>
      </c>
      <c r="K34" s="108">
        <f t="shared" si="0"/>
        <v>1.3903049402168875E-2</v>
      </c>
      <c r="L34" s="108">
        <f t="shared" si="1"/>
        <v>6.7066730792934197E-3</v>
      </c>
      <c r="M34" s="109">
        <f>'Est. Cust. Naci. 100%'!AJ36</f>
        <v>13.793771708849782</v>
      </c>
    </row>
    <row r="35" spans="1:13" ht="39.75" customHeight="1" x14ac:dyDescent="0.3">
      <c r="A35" s="41">
        <v>32</v>
      </c>
      <c r="B35" s="100" t="s">
        <v>83</v>
      </c>
      <c r="C35" s="101">
        <v>72121000</v>
      </c>
      <c r="D35" s="102">
        <v>0.112</v>
      </c>
      <c r="E35" s="103">
        <v>3.2500000000000001E-2</v>
      </c>
      <c r="F35" s="104">
        <v>2.1000000000000001E-2</v>
      </c>
      <c r="G35" s="104">
        <v>9.6500000000000002E-2</v>
      </c>
      <c r="H35" s="105">
        <v>0.06</v>
      </c>
      <c r="I35" s="106">
        <v>800</v>
      </c>
      <c r="J35" s="107">
        <v>1.97</v>
      </c>
      <c r="K35" s="108">
        <f t="shared" si="0"/>
        <v>3.707479840578367E-2</v>
      </c>
      <c r="L35" s="108">
        <f t="shared" si="1"/>
        <v>2.380566840758205E-2</v>
      </c>
      <c r="M35" s="109">
        <f>'Est. Cust. Naci. 100%'!AJ37</f>
        <v>18.360628558401398</v>
      </c>
    </row>
    <row r="36" spans="1:13" ht="39.75" customHeight="1" x14ac:dyDescent="0.3">
      <c r="A36" s="41">
        <v>33</v>
      </c>
      <c r="B36" s="100" t="s">
        <v>84</v>
      </c>
      <c r="C36" s="101">
        <v>72121000</v>
      </c>
      <c r="D36" s="102">
        <v>0.112</v>
      </c>
      <c r="E36" s="103">
        <v>3.2500000000000001E-2</v>
      </c>
      <c r="F36" s="104">
        <v>2.1000000000000001E-2</v>
      </c>
      <c r="G36" s="104">
        <v>9.6500000000000002E-2</v>
      </c>
      <c r="H36" s="105">
        <v>0.06</v>
      </c>
      <c r="I36" s="106">
        <v>60</v>
      </c>
      <c r="J36" s="107">
        <v>3.15</v>
      </c>
      <c r="K36" s="108">
        <f t="shared" ref="K36:K67" si="2">I36/$I$3</f>
        <v>2.7806098804337752E-3</v>
      </c>
      <c r="L36" s="108">
        <f t="shared" ref="L36:L67" si="3">(I36*J36)/$J$3</f>
        <v>2.8548675945640912E-3</v>
      </c>
      <c r="M36" s="109">
        <f>'Est. Cust. Naci. 100%'!AJ38</f>
        <v>29.358365461403256</v>
      </c>
    </row>
    <row r="37" spans="1:13" ht="39.75" customHeight="1" x14ac:dyDescent="0.3">
      <c r="A37" s="41">
        <v>34</v>
      </c>
      <c r="B37" s="100" t="s">
        <v>85</v>
      </c>
      <c r="C37" s="101">
        <v>72121000</v>
      </c>
      <c r="D37" s="102">
        <v>0.112</v>
      </c>
      <c r="E37" s="103">
        <v>3.2500000000000001E-2</v>
      </c>
      <c r="F37" s="104">
        <v>2.1000000000000001E-2</v>
      </c>
      <c r="G37" s="104">
        <v>9.6500000000000002E-2</v>
      </c>
      <c r="H37" s="105">
        <v>0.06</v>
      </c>
      <c r="I37" s="106">
        <v>50</v>
      </c>
      <c r="J37" s="107">
        <v>3.55</v>
      </c>
      <c r="K37" s="108">
        <f t="shared" si="2"/>
        <v>2.3171749003614794E-3</v>
      </c>
      <c r="L37" s="108">
        <f t="shared" si="3"/>
        <v>2.6811587197625724E-3</v>
      </c>
      <c r="M37" s="109">
        <f>'Est. Cust. Naci. 100%'!AJ39</f>
        <v>33.086411869200496</v>
      </c>
    </row>
    <row r="38" spans="1:13" ht="39.75" customHeight="1" x14ac:dyDescent="0.3">
      <c r="A38" s="41">
        <v>35</v>
      </c>
      <c r="B38" s="100" t="s">
        <v>86</v>
      </c>
      <c r="C38" s="101">
        <v>72121000</v>
      </c>
      <c r="D38" s="102">
        <v>0.112</v>
      </c>
      <c r="E38" s="103">
        <v>3.2500000000000001E-2</v>
      </c>
      <c r="F38" s="104">
        <v>2.1000000000000001E-2</v>
      </c>
      <c r="G38" s="104">
        <v>9.6500000000000002E-2</v>
      </c>
      <c r="H38" s="105">
        <v>0.06</v>
      </c>
      <c r="I38" s="106">
        <v>60</v>
      </c>
      <c r="J38" s="107">
        <v>4.93</v>
      </c>
      <c r="K38" s="108">
        <f t="shared" si="2"/>
        <v>2.7806098804337752E-3</v>
      </c>
      <c r="L38" s="108">
        <f t="shared" si="3"/>
        <v>4.4680943622860212E-3</v>
      </c>
      <c r="M38" s="109">
        <f>'Est. Cust. Naci. 100%'!AJ40</f>
        <v>45.948171976100951</v>
      </c>
    </row>
    <row r="39" spans="1:13" ht="39.75" customHeight="1" x14ac:dyDescent="0.3">
      <c r="A39" s="41">
        <v>36</v>
      </c>
      <c r="B39" s="100" t="s">
        <v>87</v>
      </c>
      <c r="C39" s="101">
        <v>72121000</v>
      </c>
      <c r="D39" s="102">
        <v>0.112</v>
      </c>
      <c r="E39" s="103">
        <v>3.2500000000000001E-2</v>
      </c>
      <c r="F39" s="104">
        <v>2.1000000000000001E-2</v>
      </c>
      <c r="G39" s="104">
        <v>9.6500000000000002E-2</v>
      </c>
      <c r="H39" s="105">
        <v>0.06</v>
      </c>
      <c r="I39" s="106">
        <v>80</v>
      </c>
      <c r="J39" s="107">
        <v>5.91</v>
      </c>
      <c r="K39" s="108">
        <f t="shared" si="2"/>
        <v>3.707479840578367E-3</v>
      </c>
      <c r="L39" s="108">
        <f t="shared" si="3"/>
        <v>7.141700522274615E-3</v>
      </c>
      <c r="M39" s="109">
        <f>'Est. Cust. Naci. 100%'!AJ41</f>
        <v>55.081885675204205</v>
      </c>
    </row>
    <row r="40" spans="1:13" ht="39.75" customHeight="1" x14ac:dyDescent="0.3">
      <c r="A40" s="41">
        <v>37</v>
      </c>
      <c r="B40" s="100" t="s">
        <v>88</v>
      </c>
      <c r="C40" s="101">
        <v>72121000</v>
      </c>
      <c r="D40" s="102">
        <v>0.112</v>
      </c>
      <c r="E40" s="103">
        <v>3.2500000000000001E-2</v>
      </c>
      <c r="F40" s="104">
        <v>2.1000000000000001E-2</v>
      </c>
      <c r="G40" s="104">
        <v>9.6500000000000002E-2</v>
      </c>
      <c r="H40" s="105">
        <v>0.06</v>
      </c>
      <c r="I40" s="106">
        <v>100</v>
      </c>
      <c r="J40" s="107">
        <v>6.9</v>
      </c>
      <c r="K40" s="108">
        <f t="shared" si="2"/>
        <v>4.6343498007229587E-3</v>
      </c>
      <c r="L40" s="108">
        <f t="shared" si="3"/>
        <v>1.0422532488091127E-2</v>
      </c>
      <c r="M40" s="109">
        <f>'Est. Cust. Naci. 100%'!AJ42</f>
        <v>64.308800534502367</v>
      </c>
    </row>
    <row r="41" spans="1:13" ht="39.75" customHeight="1" x14ac:dyDescent="0.3">
      <c r="A41" s="41">
        <v>38</v>
      </c>
      <c r="B41" s="100" t="s">
        <v>89</v>
      </c>
      <c r="C41" s="101">
        <v>72121000</v>
      </c>
      <c r="D41" s="102">
        <v>0.112</v>
      </c>
      <c r="E41" s="103">
        <v>3.2500000000000001E-2</v>
      </c>
      <c r="F41" s="104">
        <v>2.1000000000000001E-2</v>
      </c>
      <c r="G41" s="104">
        <v>9.6500000000000002E-2</v>
      </c>
      <c r="H41" s="105">
        <v>0.06</v>
      </c>
      <c r="I41" s="106">
        <v>50</v>
      </c>
      <c r="J41" s="107">
        <v>10.44</v>
      </c>
      <c r="K41" s="108">
        <f t="shared" si="2"/>
        <v>2.3171749003614794E-3</v>
      </c>
      <c r="L41" s="108">
        <f t="shared" si="3"/>
        <v>7.8848724040341562E-3</v>
      </c>
      <c r="M41" s="109">
        <f>'Est. Cust. Naci. 100%'!AJ43</f>
        <v>97.302011243507934</v>
      </c>
    </row>
    <row r="42" spans="1:13" ht="39.75" customHeight="1" x14ac:dyDescent="0.3">
      <c r="A42" s="41">
        <v>39</v>
      </c>
      <c r="B42" s="100" t="s">
        <v>90</v>
      </c>
      <c r="C42" s="101">
        <v>72121000</v>
      </c>
      <c r="D42" s="102">
        <v>0.112</v>
      </c>
      <c r="E42" s="103">
        <v>3.2500000000000001E-2</v>
      </c>
      <c r="F42" s="104">
        <v>2.1000000000000001E-2</v>
      </c>
      <c r="G42" s="104">
        <v>9.6500000000000002E-2</v>
      </c>
      <c r="H42" s="105">
        <v>0.06</v>
      </c>
      <c r="I42" s="106">
        <v>30</v>
      </c>
      <c r="J42" s="107">
        <v>1.42</v>
      </c>
      <c r="K42" s="108">
        <f t="shared" si="2"/>
        <v>1.3903049402168876E-3</v>
      </c>
      <c r="L42" s="108">
        <f t="shared" si="3"/>
        <v>6.4347809274301721E-4</v>
      </c>
      <c r="M42" s="109">
        <f>'Est. Cust. Naci. 100%'!AJ44</f>
        <v>13.234564747680194</v>
      </c>
    </row>
    <row r="43" spans="1:13" ht="39.75" customHeight="1" x14ac:dyDescent="0.3">
      <c r="A43" s="41">
        <v>40</v>
      </c>
      <c r="B43" s="110" t="s">
        <v>91</v>
      </c>
      <c r="C43" s="101">
        <v>72121000</v>
      </c>
      <c r="D43" s="102">
        <v>0.112</v>
      </c>
      <c r="E43" s="103">
        <v>3.2500000000000001E-2</v>
      </c>
      <c r="F43" s="104">
        <v>2.1000000000000001E-2</v>
      </c>
      <c r="G43" s="104">
        <v>9.6500000000000002E-2</v>
      </c>
      <c r="H43" s="105">
        <v>0.06</v>
      </c>
      <c r="I43" s="106">
        <v>30</v>
      </c>
      <c r="J43" s="107">
        <v>9.94</v>
      </c>
      <c r="K43" s="108">
        <f t="shared" si="2"/>
        <v>1.3903049402168876E-3</v>
      </c>
      <c r="L43" s="108">
        <f t="shared" si="3"/>
        <v>4.504346649201121E-3</v>
      </c>
      <c r="M43" s="109">
        <f>'Est. Cust. Naci. 100%'!AJ45</f>
        <v>92.641953233761384</v>
      </c>
    </row>
    <row r="44" spans="1:13" ht="39.75" customHeight="1" x14ac:dyDescent="0.3">
      <c r="A44" s="41">
        <v>41</v>
      </c>
      <c r="B44" s="110" t="s">
        <v>92</v>
      </c>
      <c r="C44" s="101">
        <v>72121000</v>
      </c>
      <c r="D44" s="102">
        <v>0.112</v>
      </c>
      <c r="E44" s="103">
        <v>3.2500000000000001E-2</v>
      </c>
      <c r="F44" s="104">
        <v>2.1000000000000001E-2</v>
      </c>
      <c r="G44" s="104">
        <v>9.6500000000000002E-2</v>
      </c>
      <c r="H44" s="105">
        <v>0.06</v>
      </c>
      <c r="I44" s="106">
        <v>35</v>
      </c>
      <c r="J44" s="107">
        <v>17.86</v>
      </c>
      <c r="K44" s="108">
        <f t="shared" si="2"/>
        <v>1.6220224302530355E-3</v>
      </c>
      <c r="L44" s="108">
        <f t="shared" si="3"/>
        <v>9.4422102294286422E-3</v>
      </c>
      <c r="M44" s="109">
        <f>'Est. Cust. Naci. 100%'!AJ46</f>
        <v>166.45727210814673</v>
      </c>
    </row>
    <row r="45" spans="1:13" ht="39.75" customHeight="1" x14ac:dyDescent="0.3">
      <c r="A45" s="41">
        <v>42</v>
      </c>
      <c r="B45" s="110" t="s">
        <v>93</v>
      </c>
      <c r="C45" s="101">
        <v>72121000</v>
      </c>
      <c r="D45" s="102">
        <v>0.112</v>
      </c>
      <c r="E45" s="103">
        <v>3.2500000000000001E-2</v>
      </c>
      <c r="F45" s="104">
        <v>2.1000000000000001E-2</v>
      </c>
      <c r="G45" s="104">
        <v>9.6500000000000002E-2</v>
      </c>
      <c r="H45" s="105">
        <v>0.06</v>
      </c>
      <c r="I45" s="106">
        <v>45</v>
      </c>
      <c r="J45" s="107">
        <v>29.42</v>
      </c>
      <c r="K45" s="108">
        <f t="shared" si="2"/>
        <v>2.0854574103253312E-3</v>
      </c>
      <c r="L45" s="108">
        <f t="shared" si="3"/>
        <v>1.9997667769541802E-2</v>
      </c>
      <c r="M45" s="109">
        <f>'Est. Cust. Naci. 100%'!AJ47</f>
        <v>274.19781329348694</v>
      </c>
    </row>
    <row r="46" spans="1:13" ht="39.75" customHeight="1" x14ac:dyDescent="0.3">
      <c r="A46" s="41">
        <v>43</v>
      </c>
      <c r="B46" s="110" t="s">
        <v>94</v>
      </c>
      <c r="C46" s="101">
        <v>72121000</v>
      </c>
      <c r="D46" s="102">
        <v>0.112</v>
      </c>
      <c r="E46" s="103">
        <v>3.2500000000000001E-2</v>
      </c>
      <c r="F46" s="104">
        <v>2.1000000000000001E-2</v>
      </c>
      <c r="G46" s="104">
        <v>9.6500000000000002E-2</v>
      </c>
      <c r="H46" s="105">
        <v>0.06</v>
      </c>
      <c r="I46" s="106">
        <v>20</v>
      </c>
      <c r="J46" s="107">
        <v>1.48</v>
      </c>
      <c r="K46" s="108">
        <f t="shared" si="2"/>
        <v>9.2686996014459174E-4</v>
      </c>
      <c r="L46" s="108">
        <f t="shared" si="3"/>
        <v>4.4711153861956137E-4</v>
      </c>
      <c r="M46" s="109">
        <f>'Est. Cust. Naci. 100%'!AJ48</f>
        <v>13.793771708849784</v>
      </c>
    </row>
    <row r="47" spans="1:13" ht="39.75" customHeight="1" x14ac:dyDescent="0.3">
      <c r="A47" s="41">
        <v>44</v>
      </c>
      <c r="B47" s="110" t="s">
        <v>95</v>
      </c>
      <c r="C47" s="101">
        <v>72121000</v>
      </c>
      <c r="D47" s="102">
        <v>0.112</v>
      </c>
      <c r="E47" s="103">
        <v>3.2500000000000001E-2</v>
      </c>
      <c r="F47" s="104">
        <v>2.1000000000000001E-2</v>
      </c>
      <c r="G47" s="104">
        <v>9.6500000000000002E-2</v>
      </c>
      <c r="H47" s="105">
        <v>0.06</v>
      </c>
      <c r="I47" s="106">
        <v>20</v>
      </c>
      <c r="J47" s="107">
        <v>2.76</v>
      </c>
      <c r="K47" s="108">
        <f t="shared" si="2"/>
        <v>9.2686996014459174E-4</v>
      </c>
      <c r="L47" s="108">
        <f t="shared" si="3"/>
        <v>8.3380259904728999E-4</v>
      </c>
      <c r="M47" s="109">
        <f>'Est. Cust. Naci. 100%'!AJ49</f>
        <v>25.723520213800942</v>
      </c>
    </row>
    <row r="48" spans="1:13" ht="39.75" customHeight="1" x14ac:dyDescent="0.3">
      <c r="A48" s="41">
        <v>45</v>
      </c>
      <c r="B48" s="110" t="s">
        <v>96</v>
      </c>
      <c r="C48" s="101">
        <v>72121000</v>
      </c>
      <c r="D48" s="102">
        <v>0.112</v>
      </c>
      <c r="E48" s="103">
        <v>3.2500000000000001E-2</v>
      </c>
      <c r="F48" s="104">
        <v>2.1000000000000001E-2</v>
      </c>
      <c r="G48" s="104">
        <v>9.6500000000000002E-2</v>
      </c>
      <c r="H48" s="105">
        <v>0.06</v>
      </c>
      <c r="I48" s="106">
        <v>100</v>
      </c>
      <c r="J48" s="107">
        <v>3.15</v>
      </c>
      <c r="K48" s="108">
        <f t="shared" si="2"/>
        <v>4.6343498007229587E-3</v>
      </c>
      <c r="L48" s="108">
        <f t="shared" si="3"/>
        <v>4.7581126576068181E-3</v>
      </c>
      <c r="M48" s="109">
        <f>'Est. Cust. Naci. 100%'!AJ50</f>
        <v>29.358365461403256</v>
      </c>
    </row>
    <row r="49" spans="1:13" ht="39.75" customHeight="1" x14ac:dyDescent="0.3">
      <c r="A49" s="41">
        <v>46</v>
      </c>
      <c r="B49" s="110" t="s">
        <v>97</v>
      </c>
      <c r="C49" s="101">
        <v>72121000</v>
      </c>
      <c r="D49" s="102">
        <v>0.112</v>
      </c>
      <c r="E49" s="103">
        <v>3.2500000000000001E-2</v>
      </c>
      <c r="F49" s="104">
        <v>2.1000000000000001E-2</v>
      </c>
      <c r="G49" s="104">
        <v>9.6500000000000002E-2</v>
      </c>
      <c r="H49" s="105">
        <v>0.06</v>
      </c>
      <c r="I49" s="106">
        <v>20</v>
      </c>
      <c r="J49" s="107">
        <v>8.4700000000000006</v>
      </c>
      <c r="K49" s="108">
        <f t="shared" si="2"/>
        <v>9.2686996014459174E-4</v>
      </c>
      <c r="L49" s="108">
        <f t="shared" si="3"/>
        <v>2.5588072514241113E-3</v>
      </c>
      <c r="M49" s="109">
        <f>'Est. Cust. Naci. 100%'!AJ51</f>
        <v>78.941382685106547</v>
      </c>
    </row>
    <row r="50" spans="1:13" ht="39.75" customHeight="1" x14ac:dyDescent="0.3">
      <c r="A50" s="41">
        <v>47</v>
      </c>
      <c r="B50" s="110" t="s">
        <v>98</v>
      </c>
      <c r="C50" s="101">
        <v>72121000</v>
      </c>
      <c r="D50" s="102">
        <v>0.112</v>
      </c>
      <c r="E50" s="103">
        <v>3.2500000000000001E-2</v>
      </c>
      <c r="F50" s="104">
        <v>2.1000000000000001E-2</v>
      </c>
      <c r="G50" s="104">
        <v>9.6500000000000002E-2</v>
      </c>
      <c r="H50" s="105">
        <v>0.06</v>
      </c>
      <c r="I50" s="106">
        <v>40</v>
      </c>
      <c r="J50" s="107">
        <v>15.76</v>
      </c>
      <c r="K50" s="108">
        <f t="shared" si="2"/>
        <v>1.8537399202891835E-3</v>
      </c>
      <c r="L50" s="108">
        <f t="shared" si="3"/>
        <v>9.52226736303282E-3</v>
      </c>
      <c r="M50" s="109">
        <f>'Est. Cust. Naci. 100%'!AJ52</f>
        <v>146.88502846721119</v>
      </c>
    </row>
    <row r="51" spans="1:13" ht="39.75" customHeight="1" x14ac:dyDescent="0.3">
      <c r="A51" s="41">
        <v>48</v>
      </c>
      <c r="B51" s="110" t="s">
        <v>99</v>
      </c>
      <c r="C51" s="101">
        <v>72121000</v>
      </c>
      <c r="D51" s="102">
        <v>0.112</v>
      </c>
      <c r="E51" s="103">
        <v>3.2500000000000001E-2</v>
      </c>
      <c r="F51" s="104">
        <v>2.1000000000000001E-2</v>
      </c>
      <c r="G51" s="104">
        <v>9.6500000000000002E-2</v>
      </c>
      <c r="H51" s="105">
        <v>0.06</v>
      </c>
      <c r="I51" s="106">
        <v>20</v>
      </c>
      <c r="J51" s="107">
        <v>25.61</v>
      </c>
      <c r="K51" s="108">
        <f t="shared" si="2"/>
        <v>9.2686996014459174E-4</v>
      </c>
      <c r="L51" s="108">
        <f t="shared" si="3"/>
        <v>7.7368422324641667E-3</v>
      </c>
      <c r="M51" s="109">
        <f>'Est. Cust. Naci. 100%'!AJ53</f>
        <v>238.68817125921822</v>
      </c>
    </row>
    <row r="52" spans="1:13" ht="39.75" customHeight="1" x14ac:dyDescent="0.3">
      <c r="A52" s="41">
        <v>49</v>
      </c>
      <c r="B52" s="110" t="s">
        <v>100</v>
      </c>
      <c r="C52" s="101">
        <v>72121000</v>
      </c>
      <c r="D52" s="102">
        <v>0.112</v>
      </c>
      <c r="E52" s="103">
        <v>3.2500000000000001E-2</v>
      </c>
      <c r="F52" s="104">
        <v>2.1000000000000001E-2</v>
      </c>
      <c r="G52" s="104">
        <v>9.6500000000000002E-2</v>
      </c>
      <c r="H52" s="105">
        <v>0.06</v>
      </c>
      <c r="I52" s="106">
        <v>40</v>
      </c>
      <c r="J52" s="107">
        <v>8.7899999999999991</v>
      </c>
      <c r="K52" s="108">
        <f t="shared" si="2"/>
        <v>1.8537399202891835E-3</v>
      </c>
      <c r="L52" s="108">
        <f t="shared" si="3"/>
        <v>5.310960033062086E-3</v>
      </c>
      <c r="M52" s="109">
        <f>'Est. Cust. Naci. 100%'!AJ54</f>
        <v>81.923819811344316</v>
      </c>
    </row>
    <row r="53" spans="1:13" ht="39.75" customHeight="1" x14ac:dyDescent="0.3">
      <c r="A53" s="41">
        <v>50</v>
      </c>
      <c r="B53" s="110" t="s">
        <v>101</v>
      </c>
      <c r="C53" s="101">
        <v>72121000</v>
      </c>
      <c r="D53" s="102">
        <v>0.112</v>
      </c>
      <c r="E53" s="103">
        <v>3.2500000000000001E-2</v>
      </c>
      <c r="F53" s="104">
        <v>2.1000000000000001E-2</v>
      </c>
      <c r="G53" s="104">
        <v>9.6500000000000002E-2</v>
      </c>
      <c r="H53" s="105">
        <v>0.06</v>
      </c>
      <c r="I53" s="106">
        <v>50</v>
      </c>
      <c r="J53" s="107">
        <v>2.6</v>
      </c>
      <c r="K53" s="108">
        <f t="shared" si="2"/>
        <v>2.3171749003614794E-3</v>
      </c>
      <c r="L53" s="108">
        <f t="shared" si="3"/>
        <v>1.9636655412345601E-3</v>
      </c>
      <c r="M53" s="109">
        <f>'Est. Cust. Naci. 100%'!AJ55</f>
        <v>24.232301650682054</v>
      </c>
    </row>
    <row r="54" spans="1:13" ht="39.75" customHeight="1" x14ac:dyDescent="0.3">
      <c r="A54" s="41">
        <v>51</v>
      </c>
      <c r="B54" s="110" t="s">
        <v>102</v>
      </c>
      <c r="C54" s="101">
        <v>72121000</v>
      </c>
      <c r="D54" s="102">
        <v>0.112</v>
      </c>
      <c r="E54" s="103">
        <v>3.2500000000000001E-2</v>
      </c>
      <c r="F54" s="104">
        <v>2.1000000000000001E-2</v>
      </c>
      <c r="G54" s="104">
        <v>9.6500000000000002E-2</v>
      </c>
      <c r="H54" s="105">
        <v>0.06</v>
      </c>
      <c r="I54" s="106">
        <v>60</v>
      </c>
      <c r="J54" s="107">
        <v>1.1200000000000001</v>
      </c>
      <c r="K54" s="108">
        <f t="shared" si="2"/>
        <v>2.7806098804337752E-3</v>
      </c>
      <c r="L54" s="108">
        <f t="shared" si="3"/>
        <v>1.0150640336227879E-3</v>
      </c>
      <c r="M54" s="109">
        <f>'Est. Cust. Naci. 100%'!AJ56</f>
        <v>10.438529941832268</v>
      </c>
    </row>
    <row r="55" spans="1:13" ht="39.75" customHeight="1" x14ac:dyDescent="0.3">
      <c r="A55" s="41">
        <v>52</v>
      </c>
      <c r="B55" s="110" t="s">
        <v>103</v>
      </c>
      <c r="C55" s="101">
        <v>72121000</v>
      </c>
      <c r="D55" s="102">
        <v>0.112</v>
      </c>
      <c r="E55" s="103">
        <v>3.2500000000000001E-2</v>
      </c>
      <c r="F55" s="104">
        <v>2.1000000000000001E-2</v>
      </c>
      <c r="G55" s="104">
        <v>9.6500000000000002E-2</v>
      </c>
      <c r="H55" s="105">
        <v>0.06</v>
      </c>
      <c r="I55" s="106">
        <v>60</v>
      </c>
      <c r="J55" s="107">
        <v>0.92</v>
      </c>
      <c r="K55" s="108">
        <f t="shared" si="2"/>
        <v>2.7806098804337752E-3</v>
      </c>
      <c r="L55" s="108">
        <f t="shared" si="3"/>
        <v>8.338025990472901E-4</v>
      </c>
      <c r="M55" s="109">
        <f>'Est. Cust. Naci. 100%'!AJ57</f>
        <v>8.5745067379336515</v>
      </c>
    </row>
    <row r="56" spans="1:13" ht="39.75" customHeight="1" x14ac:dyDescent="0.3">
      <c r="A56" s="41">
        <v>53</v>
      </c>
      <c r="B56" s="110" t="s">
        <v>104</v>
      </c>
      <c r="C56" s="101">
        <v>72121000</v>
      </c>
      <c r="D56" s="102">
        <v>0.112</v>
      </c>
      <c r="E56" s="103">
        <v>3.2500000000000001E-2</v>
      </c>
      <c r="F56" s="104">
        <v>2.1000000000000001E-2</v>
      </c>
      <c r="G56" s="104">
        <v>9.6500000000000002E-2</v>
      </c>
      <c r="H56" s="105">
        <v>0.06</v>
      </c>
      <c r="I56" s="106">
        <v>100</v>
      </c>
      <c r="J56" s="107">
        <v>0.53</v>
      </c>
      <c r="K56" s="108">
        <f t="shared" si="2"/>
        <v>4.6343498007229587E-3</v>
      </c>
      <c r="L56" s="108">
        <f t="shared" si="3"/>
        <v>8.005713360417821E-4</v>
      </c>
      <c r="M56" s="109">
        <f>'Est. Cust. Naci. 100%'!AJ58</f>
        <v>4.9396614903313401</v>
      </c>
    </row>
    <row r="57" spans="1:13" ht="39.75" customHeight="1" x14ac:dyDescent="0.3">
      <c r="A57" s="41">
        <v>54</v>
      </c>
      <c r="B57" s="110" t="s">
        <v>105</v>
      </c>
      <c r="C57" s="101">
        <v>72121000</v>
      </c>
      <c r="D57" s="102">
        <v>0.112</v>
      </c>
      <c r="E57" s="103">
        <v>3.2500000000000001E-2</v>
      </c>
      <c r="F57" s="104">
        <v>2.1000000000000001E-2</v>
      </c>
      <c r="G57" s="104">
        <v>9.6500000000000002E-2</v>
      </c>
      <c r="H57" s="105">
        <v>0.06</v>
      </c>
      <c r="I57" s="106">
        <v>75</v>
      </c>
      <c r="J57" s="107">
        <v>0.28999999999999998</v>
      </c>
      <c r="K57" s="108">
        <f t="shared" si="2"/>
        <v>3.4757623505422188E-3</v>
      </c>
      <c r="L57" s="108">
        <f t="shared" si="3"/>
        <v>3.2853635016808982E-4</v>
      </c>
      <c r="M57" s="109">
        <f>'Est. Cust. Naci. 100%'!AJ59</f>
        <v>2.7028336456529982</v>
      </c>
    </row>
    <row r="58" spans="1:13" ht="39.75" customHeight="1" x14ac:dyDescent="0.3">
      <c r="A58" s="41">
        <v>55</v>
      </c>
      <c r="B58" s="110" t="s">
        <v>106</v>
      </c>
      <c r="C58" s="101">
        <v>72121000</v>
      </c>
      <c r="D58" s="102">
        <v>0.112</v>
      </c>
      <c r="E58" s="103">
        <v>3.2500000000000001E-2</v>
      </c>
      <c r="F58" s="104">
        <v>2.1000000000000001E-2</v>
      </c>
      <c r="G58" s="104">
        <v>9.6500000000000002E-2</v>
      </c>
      <c r="H58" s="105">
        <v>0.06</v>
      </c>
      <c r="I58" s="106">
        <v>10</v>
      </c>
      <c r="J58" s="107">
        <v>23.51</v>
      </c>
      <c r="K58" s="108">
        <f t="shared" si="2"/>
        <v>4.6343498007229587E-4</v>
      </c>
      <c r="L58" s="108">
        <f t="shared" si="3"/>
        <v>3.5512136057249621E-3</v>
      </c>
      <c r="M58" s="109">
        <f>'Est. Cust. Naci. 100%'!AJ60</f>
        <v>219.11592761828268</v>
      </c>
    </row>
    <row r="59" spans="1:13" ht="40.5" customHeight="1" x14ac:dyDescent="0.3">
      <c r="A59" s="41">
        <v>56</v>
      </c>
      <c r="B59" s="110" t="s">
        <v>107</v>
      </c>
      <c r="C59" s="101">
        <v>72121000</v>
      </c>
      <c r="D59" s="102">
        <v>0.112</v>
      </c>
      <c r="E59" s="103">
        <v>3.2500000000000001E-2</v>
      </c>
      <c r="F59" s="104">
        <v>2.1000000000000001E-2</v>
      </c>
      <c r="G59" s="104">
        <v>9.6500000000000002E-2</v>
      </c>
      <c r="H59" s="105">
        <v>0.06</v>
      </c>
      <c r="I59" s="106">
        <v>40</v>
      </c>
      <c r="J59" s="107">
        <v>0.37</v>
      </c>
      <c r="K59" s="108">
        <f t="shared" si="2"/>
        <v>1.8537399202891835E-3</v>
      </c>
      <c r="L59" s="108">
        <f t="shared" si="3"/>
        <v>2.2355576930978068E-4</v>
      </c>
      <c r="M59" s="109">
        <f>'Est. Cust. Naci. 100%'!AJ61</f>
        <v>3.4484429272124459</v>
      </c>
    </row>
    <row r="60" spans="1:13" ht="40.5" customHeight="1" x14ac:dyDescent="0.3">
      <c r="A60" s="41">
        <v>57</v>
      </c>
      <c r="B60" s="110" t="s">
        <v>108</v>
      </c>
      <c r="C60" s="101">
        <v>72121000</v>
      </c>
      <c r="D60" s="102">
        <v>0.112</v>
      </c>
      <c r="E60" s="103">
        <v>3.2500000000000001E-2</v>
      </c>
      <c r="F60" s="104">
        <v>2.1000000000000001E-2</v>
      </c>
      <c r="G60" s="104">
        <v>9.6500000000000002E-2</v>
      </c>
      <c r="H60" s="105">
        <v>0.06</v>
      </c>
      <c r="I60" s="106">
        <v>30</v>
      </c>
      <c r="J60" s="107">
        <v>0.56999999999999995</v>
      </c>
      <c r="K60" s="108">
        <f t="shared" si="2"/>
        <v>1.3903049402168876E-3</v>
      </c>
      <c r="L60" s="108">
        <f t="shared" si="3"/>
        <v>2.582975442700844E-4</v>
      </c>
      <c r="M60" s="109">
        <f>'Est. Cust. Naci. 100%'!AJ62</f>
        <v>5.3124661311110648</v>
      </c>
    </row>
    <row r="61" spans="1:13" ht="40.5" customHeight="1" x14ac:dyDescent="0.3">
      <c r="A61" s="41">
        <v>58</v>
      </c>
      <c r="B61" s="110" t="s">
        <v>109</v>
      </c>
      <c r="C61" s="101">
        <v>72121000</v>
      </c>
      <c r="D61" s="102">
        <v>0.112</v>
      </c>
      <c r="E61" s="103">
        <v>3.2500000000000001E-2</v>
      </c>
      <c r="F61" s="104">
        <v>2.1000000000000001E-2</v>
      </c>
      <c r="G61" s="104">
        <v>9.6500000000000002E-2</v>
      </c>
      <c r="H61" s="105">
        <v>0.06</v>
      </c>
      <c r="I61" s="106">
        <v>30</v>
      </c>
      <c r="J61" s="107">
        <v>1.64</v>
      </c>
      <c r="K61" s="108">
        <f t="shared" si="2"/>
        <v>1.3903049402168876E-3</v>
      </c>
      <c r="L61" s="108">
        <f t="shared" si="3"/>
        <v>7.4317188175954108E-4</v>
      </c>
      <c r="M61" s="109">
        <f>'Est. Cust. Naci. 100%'!AJ63</f>
        <v>15.284990271968676</v>
      </c>
    </row>
    <row r="62" spans="1:13" ht="40.5" customHeight="1" x14ac:dyDescent="0.3">
      <c r="A62" s="41">
        <v>59</v>
      </c>
      <c r="B62" s="110" t="s">
        <v>110</v>
      </c>
      <c r="C62" s="101">
        <v>72121000</v>
      </c>
      <c r="D62" s="102">
        <v>0.112</v>
      </c>
      <c r="E62" s="103">
        <v>3.2500000000000001E-2</v>
      </c>
      <c r="F62" s="104">
        <v>2.1000000000000001E-2</v>
      </c>
      <c r="G62" s="104">
        <v>9.6500000000000002E-2</v>
      </c>
      <c r="H62" s="105">
        <v>0.06</v>
      </c>
      <c r="I62" s="106">
        <v>30</v>
      </c>
      <c r="J62" s="107">
        <v>2.94</v>
      </c>
      <c r="K62" s="108">
        <f t="shared" si="2"/>
        <v>1.3903049402168876E-3</v>
      </c>
      <c r="L62" s="108">
        <f t="shared" si="3"/>
        <v>1.3322715441299092E-3</v>
      </c>
      <c r="M62" s="109">
        <f>'Est. Cust. Naci. 100%'!AJ64</f>
        <v>27.401141097309701</v>
      </c>
    </row>
    <row r="63" spans="1:13" ht="40.5" customHeight="1" x14ac:dyDescent="0.3">
      <c r="A63" s="41">
        <v>60</v>
      </c>
      <c r="B63" s="110" t="s">
        <v>111</v>
      </c>
      <c r="C63" s="101">
        <v>72121000</v>
      </c>
      <c r="D63" s="102">
        <v>0.112</v>
      </c>
      <c r="E63" s="103">
        <v>3.2500000000000001E-2</v>
      </c>
      <c r="F63" s="104">
        <v>2.1000000000000001E-2</v>
      </c>
      <c r="G63" s="104">
        <v>9.6500000000000002E-2</v>
      </c>
      <c r="H63" s="105">
        <v>0.06</v>
      </c>
      <c r="I63" s="106">
        <v>10</v>
      </c>
      <c r="J63" s="107">
        <v>25.36</v>
      </c>
      <c r="K63" s="108">
        <f t="shared" si="2"/>
        <v>4.6343498007229587E-4</v>
      </c>
      <c r="L63" s="108">
        <f t="shared" si="3"/>
        <v>3.8306583173621876E-3</v>
      </c>
      <c r="M63" s="109">
        <f>'Est. Cust. Naci. 100%'!AJ65</f>
        <v>236.35814225434493</v>
      </c>
    </row>
    <row r="64" spans="1:13" ht="40.5" customHeight="1" x14ac:dyDescent="0.3">
      <c r="A64" s="41">
        <v>61</v>
      </c>
      <c r="B64" s="110" t="s">
        <v>112</v>
      </c>
      <c r="C64" s="101">
        <v>72121000</v>
      </c>
      <c r="D64" s="102">
        <v>0.112</v>
      </c>
      <c r="E64" s="103">
        <v>3.2500000000000001E-2</v>
      </c>
      <c r="F64" s="104">
        <v>2.1000000000000001E-2</v>
      </c>
      <c r="G64" s="104">
        <v>9.6500000000000002E-2</v>
      </c>
      <c r="H64" s="105">
        <v>0.06</v>
      </c>
      <c r="I64" s="106">
        <v>20</v>
      </c>
      <c r="J64" s="107">
        <v>2.0299999999999998</v>
      </c>
      <c r="K64" s="108">
        <f t="shared" si="2"/>
        <v>9.2686996014459174E-4</v>
      </c>
      <c r="L64" s="108">
        <f t="shared" si="3"/>
        <v>6.1326785364710095E-4</v>
      </c>
      <c r="M64" s="109">
        <f>'Est. Cust. Naci. 100%'!AJ66</f>
        <v>18.919835519570984</v>
      </c>
    </row>
    <row r="65" spans="1:13" ht="40.5" customHeight="1" x14ac:dyDescent="0.3">
      <c r="A65" s="41">
        <v>62</v>
      </c>
      <c r="B65" s="110" t="s">
        <v>113</v>
      </c>
      <c r="C65" s="101">
        <v>72121000</v>
      </c>
      <c r="D65" s="102">
        <v>0.112</v>
      </c>
      <c r="E65" s="103">
        <v>3.2500000000000001E-2</v>
      </c>
      <c r="F65" s="104">
        <v>2.1000000000000001E-2</v>
      </c>
      <c r="G65" s="104">
        <v>9.6500000000000002E-2</v>
      </c>
      <c r="H65" s="105">
        <v>0.06</v>
      </c>
      <c r="I65" s="106">
        <v>20</v>
      </c>
      <c r="J65" s="107">
        <v>3.04</v>
      </c>
      <c r="K65" s="108">
        <f t="shared" si="2"/>
        <v>9.2686996014459174E-4</v>
      </c>
      <c r="L65" s="108">
        <f t="shared" si="3"/>
        <v>9.1839126851585566E-4</v>
      </c>
      <c r="M65" s="109">
        <f>'Est. Cust. Naci. 100%'!AJ67</f>
        <v>28.33315269925901</v>
      </c>
    </row>
    <row r="66" spans="1:13" ht="40.5" customHeight="1" x14ac:dyDescent="0.3">
      <c r="A66" s="41">
        <v>63</v>
      </c>
      <c r="B66" s="110" t="s">
        <v>114</v>
      </c>
      <c r="C66" s="101">
        <v>72121000</v>
      </c>
      <c r="D66" s="102">
        <v>0.112</v>
      </c>
      <c r="E66" s="103">
        <v>3.2500000000000001E-2</v>
      </c>
      <c r="F66" s="104">
        <v>2.1000000000000001E-2</v>
      </c>
      <c r="G66" s="104">
        <v>9.6500000000000002E-2</v>
      </c>
      <c r="H66" s="105">
        <v>0.06</v>
      </c>
      <c r="I66" s="106">
        <v>40</v>
      </c>
      <c r="J66" s="107">
        <v>0.99</v>
      </c>
      <c r="K66" s="108">
        <f t="shared" si="2"/>
        <v>1.8537399202891835E-3</v>
      </c>
      <c r="L66" s="108">
        <f t="shared" si="3"/>
        <v>5.9816273409914287E-4</v>
      </c>
      <c r="M66" s="109">
        <f>'Est. Cust. Naci. 100%'!AJ68</f>
        <v>9.2269148592981658</v>
      </c>
    </row>
    <row r="67" spans="1:13" ht="40.5" customHeight="1" x14ac:dyDescent="0.3">
      <c r="A67" s="41">
        <v>64</v>
      </c>
      <c r="B67" s="110" t="s">
        <v>115</v>
      </c>
      <c r="C67" s="101">
        <v>72121000</v>
      </c>
      <c r="D67" s="102">
        <v>0.112</v>
      </c>
      <c r="E67" s="103">
        <v>3.2500000000000001E-2</v>
      </c>
      <c r="F67" s="104">
        <v>2.1000000000000001E-2</v>
      </c>
      <c r="G67" s="104">
        <v>9.6500000000000002E-2</v>
      </c>
      <c r="H67" s="105">
        <v>0.06</v>
      </c>
      <c r="I67" s="106">
        <v>40</v>
      </c>
      <c r="J67" s="107">
        <v>1.58</v>
      </c>
      <c r="K67" s="108">
        <f t="shared" si="2"/>
        <v>1.8537399202891835E-3</v>
      </c>
      <c r="L67" s="108">
        <f t="shared" si="3"/>
        <v>9.5464355543095538E-4</v>
      </c>
      <c r="M67" s="109">
        <f>'Est. Cust. Naci. 100%'!AJ69</f>
        <v>14.725783310799097</v>
      </c>
    </row>
    <row r="68" spans="1:13" ht="40.5" customHeight="1" x14ac:dyDescent="0.3">
      <c r="A68" s="41">
        <v>65</v>
      </c>
      <c r="B68" s="110" t="s">
        <v>116</v>
      </c>
      <c r="C68" s="101">
        <v>72121000</v>
      </c>
      <c r="D68" s="102">
        <v>0.112</v>
      </c>
      <c r="E68" s="103">
        <v>3.2500000000000001E-2</v>
      </c>
      <c r="F68" s="104">
        <v>2.1000000000000001E-2</v>
      </c>
      <c r="G68" s="104">
        <v>9.6500000000000002E-2</v>
      </c>
      <c r="H68" s="105">
        <v>0.06</v>
      </c>
      <c r="I68" s="106">
        <v>100</v>
      </c>
      <c r="J68" s="107">
        <v>1.48</v>
      </c>
      <c r="K68" s="108">
        <f t="shared" ref="K68:K99" si="4">I68/$I$3</f>
        <v>4.6343498007229587E-3</v>
      </c>
      <c r="L68" s="108">
        <f t="shared" ref="L68:L99" si="5">(I68*J68)/$J$3</f>
        <v>2.2355576930978066E-3</v>
      </c>
      <c r="M68" s="109">
        <f>'Est. Cust. Naci. 100%'!AJ70</f>
        <v>13.793771708849782</v>
      </c>
    </row>
    <row r="69" spans="1:13" ht="40.5" customHeight="1" x14ac:dyDescent="0.3">
      <c r="A69" s="41">
        <v>66</v>
      </c>
      <c r="B69" s="110" t="s">
        <v>117</v>
      </c>
      <c r="C69" s="101">
        <v>72121000</v>
      </c>
      <c r="D69" s="102">
        <v>0.112</v>
      </c>
      <c r="E69" s="103">
        <v>3.2500000000000001E-2</v>
      </c>
      <c r="F69" s="104">
        <v>2.1000000000000001E-2</v>
      </c>
      <c r="G69" s="104">
        <v>9.6500000000000002E-2</v>
      </c>
      <c r="H69" s="105">
        <v>0.06</v>
      </c>
      <c r="I69" s="106">
        <v>30</v>
      </c>
      <c r="J69" s="107">
        <v>2.76</v>
      </c>
      <c r="K69" s="108">
        <f t="shared" si="4"/>
        <v>1.3903049402168876E-3</v>
      </c>
      <c r="L69" s="108">
        <f t="shared" si="5"/>
        <v>1.250703898570935E-3</v>
      </c>
      <c r="M69" s="109">
        <f>'Est. Cust. Naci. 100%'!AJ71</f>
        <v>25.723520213800946</v>
      </c>
    </row>
    <row r="70" spans="1:13" ht="40.5" customHeight="1" x14ac:dyDescent="0.3">
      <c r="A70" s="41">
        <v>67</v>
      </c>
      <c r="B70" s="110" t="s">
        <v>118</v>
      </c>
      <c r="C70" s="101">
        <v>72121000</v>
      </c>
      <c r="D70" s="102">
        <v>0.112</v>
      </c>
      <c r="E70" s="103">
        <v>3.2500000000000001E-2</v>
      </c>
      <c r="F70" s="104">
        <v>2.1000000000000001E-2</v>
      </c>
      <c r="G70" s="104">
        <v>9.6500000000000002E-2</v>
      </c>
      <c r="H70" s="105">
        <v>0.06</v>
      </c>
      <c r="I70" s="106">
        <v>30</v>
      </c>
      <c r="J70" s="107">
        <v>1.38</v>
      </c>
      <c r="K70" s="108">
        <f t="shared" si="4"/>
        <v>1.3903049402168876E-3</v>
      </c>
      <c r="L70" s="108">
        <f t="shared" si="5"/>
        <v>6.2535194928546752E-4</v>
      </c>
      <c r="M70" s="109">
        <f>'Est. Cust. Naci. 100%'!AJ72</f>
        <v>12.861760106900473</v>
      </c>
    </row>
    <row r="71" spans="1:13" ht="40.5" customHeight="1" x14ac:dyDescent="0.3">
      <c r="A71" s="41">
        <v>68</v>
      </c>
      <c r="B71" s="110" t="s">
        <v>119</v>
      </c>
      <c r="C71" s="101">
        <v>72121000</v>
      </c>
      <c r="D71" s="102">
        <v>0.112</v>
      </c>
      <c r="E71" s="103">
        <v>3.2500000000000001E-2</v>
      </c>
      <c r="F71" s="104">
        <v>2.1000000000000001E-2</v>
      </c>
      <c r="G71" s="104">
        <v>9.6500000000000002E-2</v>
      </c>
      <c r="H71" s="105">
        <v>0.06</v>
      </c>
      <c r="I71" s="106">
        <v>250</v>
      </c>
      <c r="J71" s="107">
        <v>1.97</v>
      </c>
      <c r="K71" s="108">
        <f t="shared" si="4"/>
        <v>1.1585874501807397E-2</v>
      </c>
      <c r="L71" s="108">
        <f t="shared" si="5"/>
        <v>7.4392713773693908E-3</v>
      </c>
      <c r="M71" s="109">
        <f>'Est. Cust. Naci. 100%'!AJ73</f>
        <v>18.360628558401402</v>
      </c>
    </row>
    <row r="72" spans="1:13" ht="40.5" customHeight="1" x14ac:dyDescent="0.3">
      <c r="A72" s="41">
        <v>69</v>
      </c>
      <c r="B72" s="110" t="s">
        <v>120</v>
      </c>
      <c r="C72" s="101">
        <v>72121000</v>
      </c>
      <c r="D72" s="102">
        <v>0.112</v>
      </c>
      <c r="E72" s="103">
        <v>3.2500000000000001E-2</v>
      </c>
      <c r="F72" s="104">
        <v>2.1000000000000001E-2</v>
      </c>
      <c r="G72" s="104">
        <v>9.6500000000000002E-2</v>
      </c>
      <c r="H72" s="105">
        <v>0.06</v>
      </c>
      <c r="I72" s="106">
        <v>80</v>
      </c>
      <c r="J72" s="107">
        <v>3.15</v>
      </c>
      <c r="K72" s="108">
        <f t="shared" si="4"/>
        <v>3.707479840578367E-3</v>
      </c>
      <c r="L72" s="108">
        <f t="shared" si="5"/>
        <v>3.8064901260854546E-3</v>
      </c>
      <c r="M72" s="109">
        <f>'Est. Cust. Naci. 100%'!AJ74</f>
        <v>29.358365461403253</v>
      </c>
    </row>
    <row r="73" spans="1:13" ht="40.5" customHeight="1" x14ac:dyDescent="0.3">
      <c r="A73" s="41">
        <v>70</v>
      </c>
      <c r="B73" s="110" t="s">
        <v>121</v>
      </c>
      <c r="C73" s="101">
        <v>72121000</v>
      </c>
      <c r="D73" s="102">
        <v>0.112</v>
      </c>
      <c r="E73" s="103">
        <v>3.2500000000000001E-2</v>
      </c>
      <c r="F73" s="104">
        <v>2.1000000000000001E-2</v>
      </c>
      <c r="G73" s="104">
        <v>9.6500000000000002E-2</v>
      </c>
      <c r="H73" s="105">
        <v>0.06</v>
      </c>
      <c r="I73" s="106">
        <v>50</v>
      </c>
      <c r="J73" s="107">
        <v>3.15</v>
      </c>
      <c r="K73" s="108">
        <f t="shared" si="4"/>
        <v>2.3171749003614794E-3</v>
      </c>
      <c r="L73" s="108">
        <f t="shared" si="5"/>
        <v>2.379056328803409E-3</v>
      </c>
      <c r="M73" s="109">
        <f>'Est. Cust. Naci. 100%'!AJ75</f>
        <v>29.358365461403256</v>
      </c>
    </row>
    <row r="74" spans="1:13" ht="40.5" customHeight="1" x14ac:dyDescent="0.3">
      <c r="A74" s="41">
        <v>71</v>
      </c>
      <c r="B74" s="110" t="s">
        <v>122</v>
      </c>
      <c r="C74" s="101">
        <v>72121000</v>
      </c>
      <c r="D74" s="102">
        <v>0.112</v>
      </c>
      <c r="E74" s="103">
        <v>3.2500000000000001E-2</v>
      </c>
      <c r="F74" s="104">
        <v>2.1000000000000001E-2</v>
      </c>
      <c r="G74" s="104">
        <v>9.6500000000000002E-2</v>
      </c>
      <c r="H74" s="105">
        <v>0.06</v>
      </c>
      <c r="I74" s="106">
        <v>30</v>
      </c>
      <c r="J74" s="107">
        <v>4.1399999999999997</v>
      </c>
      <c r="K74" s="108">
        <f t="shared" si="4"/>
        <v>1.3903049402168876E-3</v>
      </c>
      <c r="L74" s="108">
        <f t="shared" si="5"/>
        <v>1.8760558478564024E-3</v>
      </c>
      <c r="M74" s="109">
        <f>'Est. Cust. Naci. 100%'!AJ76</f>
        <v>38.585280320701415</v>
      </c>
    </row>
    <row r="75" spans="1:13" ht="40.5" customHeight="1" x14ac:dyDescent="0.3">
      <c r="A75" s="41">
        <v>72</v>
      </c>
      <c r="B75" s="110" t="s">
        <v>123</v>
      </c>
      <c r="C75" s="101">
        <v>72121000</v>
      </c>
      <c r="D75" s="102">
        <v>0.112</v>
      </c>
      <c r="E75" s="103">
        <v>3.2500000000000001E-2</v>
      </c>
      <c r="F75" s="104">
        <v>2.1000000000000001E-2</v>
      </c>
      <c r="G75" s="104">
        <v>9.6500000000000002E-2</v>
      </c>
      <c r="H75" s="105">
        <v>0.06</v>
      </c>
      <c r="I75" s="106">
        <v>50</v>
      </c>
      <c r="J75" s="107">
        <v>3.55</v>
      </c>
      <c r="K75" s="108">
        <f t="shared" si="4"/>
        <v>2.3171749003614794E-3</v>
      </c>
      <c r="L75" s="108">
        <f t="shared" si="5"/>
        <v>2.6811587197625724E-3</v>
      </c>
      <c r="M75" s="109">
        <f>'Est. Cust. Naci. 100%'!AJ77</f>
        <v>33.086411869200496</v>
      </c>
    </row>
    <row r="76" spans="1:13" ht="40.5" customHeight="1" x14ac:dyDescent="0.3">
      <c r="A76" s="41">
        <v>73</v>
      </c>
      <c r="B76" s="110" t="s">
        <v>124</v>
      </c>
      <c r="C76" s="101">
        <v>72121000</v>
      </c>
      <c r="D76" s="102">
        <v>0.112</v>
      </c>
      <c r="E76" s="103">
        <v>3.2500000000000001E-2</v>
      </c>
      <c r="F76" s="104">
        <v>2.1000000000000001E-2</v>
      </c>
      <c r="G76" s="104">
        <v>9.6500000000000002E-2</v>
      </c>
      <c r="H76" s="105">
        <v>0.06</v>
      </c>
      <c r="I76" s="106">
        <v>50</v>
      </c>
      <c r="J76" s="107">
        <v>4.93</v>
      </c>
      <c r="K76" s="108">
        <f t="shared" si="4"/>
        <v>2.3171749003614794E-3</v>
      </c>
      <c r="L76" s="108">
        <f t="shared" si="5"/>
        <v>3.7234119685716849E-3</v>
      </c>
      <c r="M76" s="109">
        <f>'Est. Cust. Naci. 100%'!AJ78</f>
        <v>45.948171976100966</v>
      </c>
    </row>
    <row r="77" spans="1:13" ht="40.5" customHeight="1" x14ac:dyDescent="0.3">
      <c r="A77" s="41">
        <v>74</v>
      </c>
      <c r="B77" s="110" t="s">
        <v>125</v>
      </c>
      <c r="C77" s="101">
        <v>72121000</v>
      </c>
      <c r="D77" s="102">
        <v>0.112</v>
      </c>
      <c r="E77" s="103">
        <v>3.2500000000000001E-2</v>
      </c>
      <c r="F77" s="104">
        <v>2.1000000000000001E-2</v>
      </c>
      <c r="G77" s="104">
        <v>9.6500000000000002E-2</v>
      </c>
      <c r="H77" s="105">
        <v>0.06</v>
      </c>
      <c r="I77" s="106">
        <v>80</v>
      </c>
      <c r="J77" s="107">
        <v>5.91</v>
      </c>
      <c r="K77" s="108">
        <f t="shared" si="4"/>
        <v>3.707479840578367E-3</v>
      </c>
      <c r="L77" s="108">
        <f t="shared" si="5"/>
        <v>7.141700522274615E-3</v>
      </c>
      <c r="M77" s="109">
        <f>'Est. Cust. Naci. 100%'!AJ79</f>
        <v>55.081885675204205</v>
      </c>
    </row>
    <row r="78" spans="1:13" ht="40.5" customHeight="1" x14ac:dyDescent="0.3">
      <c r="A78" s="41">
        <v>75</v>
      </c>
      <c r="B78" s="110" t="s">
        <v>126</v>
      </c>
      <c r="C78" s="101">
        <v>72121000</v>
      </c>
      <c r="D78" s="102">
        <v>0.112</v>
      </c>
      <c r="E78" s="103">
        <v>3.2500000000000001E-2</v>
      </c>
      <c r="F78" s="104">
        <v>2.1000000000000001E-2</v>
      </c>
      <c r="G78" s="104">
        <v>9.6500000000000002E-2</v>
      </c>
      <c r="H78" s="105">
        <v>0.06</v>
      </c>
      <c r="I78" s="106">
        <v>80</v>
      </c>
      <c r="J78" s="107">
        <v>6.9</v>
      </c>
      <c r="K78" s="108">
        <f t="shared" si="4"/>
        <v>3.707479840578367E-3</v>
      </c>
      <c r="L78" s="108">
        <f t="shared" si="5"/>
        <v>8.3380259904729005E-3</v>
      </c>
      <c r="M78" s="109">
        <f>'Est. Cust. Naci. 100%'!AJ80</f>
        <v>64.308800534502367</v>
      </c>
    </row>
    <row r="79" spans="1:13" ht="40.5" customHeight="1" x14ac:dyDescent="0.3">
      <c r="A79" s="41">
        <v>76</v>
      </c>
      <c r="B79" s="110" t="s">
        <v>127</v>
      </c>
      <c r="C79" s="101">
        <v>72121000</v>
      </c>
      <c r="D79" s="102">
        <v>0.112</v>
      </c>
      <c r="E79" s="103">
        <v>3.2500000000000001E-2</v>
      </c>
      <c r="F79" s="104">
        <v>2.1000000000000001E-2</v>
      </c>
      <c r="G79" s="104">
        <v>9.6500000000000002E-2</v>
      </c>
      <c r="H79" s="105">
        <v>0.06</v>
      </c>
      <c r="I79" s="106">
        <v>30</v>
      </c>
      <c r="J79" s="107">
        <v>15.76</v>
      </c>
      <c r="K79" s="108">
        <f t="shared" si="4"/>
        <v>1.3903049402168876E-3</v>
      </c>
      <c r="L79" s="108">
        <f t="shared" si="5"/>
        <v>7.141700522274615E-3</v>
      </c>
      <c r="M79" s="109">
        <f>'Est. Cust. Naci. 100%'!AJ81</f>
        <v>146.88502846721121</v>
      </c>
    </row>
    <row r="80" spans="1:13" ht="40.5" customHeight="1" x14ac:dyDescent="0.3">
      <c r="A80" s="41">
        <v>77</v>
      </c>
      <c r="B80" s="110" t="s">
        <v>128</v>
      </c>
      <c r="C80" s="101">
        <v>72121000</v>
      </c>
      <c r="D80" s="102">
        <v>0.112</v>
      </c>
      <c r="E80" s="103">
        <v>3.2500000000000001E-2</v>
      </c>
      <c r="F80" s="104">
        <v>2.1000000000000001E-2</v>
      </c>
      <c r="G80" s="104">
        <v>9.6500000000000002E-2</v>
      </c>
      <c r="H80" s="105">
        <v>0.06</v>
      </c>
      <c r="I80" s="106">
        <v>30</v>
      </c>
      <c r="J80" s="107">
        <v>10.44</v>
      </c>
      <c r="K80" s="108">
        <f t="shared" si="4"/>
        <v>1.3903049402168876E-3</v>
      </c>
      <c r="L80" s="108">
        <f t="shared" si="5"/>
        <v>4.7309234424204932E-3</v>
      </c>
      <c r="M80" s="109">
        <f>'Est. Cust. Naci. 100%'!AJ82</f>
        <v>97.302011243507906</v>
      </c>
    </row>
    <row r="81" spans="1:13" ht="40.5" customHeight="1" x14ac:dyDescent="0.3">
      <c r="A81" s="41">
        <v>78</v>
      </c>
      <c r="B81" s="110" t="s">
        <v>129</v>
      </c>
      <c r="C81" s="101">
        <v>72121000</v>
      </c>
      <c r="D81" s="102">
        <v>0.112</v>
      </c>
      <c r="E81" s="103">
        <v>3.2500000000000001E-2</v>
      </c>
      <c r="F81" s="104">
        <v>2.1000000000000001E-2</v>
      </c>
      <c r="G81" s="104">
        <v>9.6500000000000002E-2</v>
      </c>
      <c r="H81" s="105">
        <v>0.06</v>
      </c>
      <c r="I81" s="106">
        <v>15</v>
      </c>
      <c r="J81" s="107">
        <v>25.61</v>
      </c>
      <c r="K81" s="108">
        <f t="shared" si="4"/>
        <v>6.9515247010844381E-4</v>
      </c>
      <c r="L81" s="108">
        <f t="shared" si="5"/>
        <v>5.8026316743481242E-3</v>
      </c>
      <c r="M81" s="109">
        <f>'Est. Cust. Naci. 100%'!AJ83</f>
        <v>238.68817125921817</v>
      </c>
    </row>
    <row r="82" spans="1:13" ht="40.5" customHeight="1" x14ac:dyDescent="0.3">
      <c r="A82" s="41">
        <v>79</v>
      </c>
      <c r="B82" s="110" t="s">
        <v>130</v>
      </c>
      <c r="C82" s="101">
        <v>72121000</v>
      </c>
      <c r="D82" s="102">
        <v>0.112</v>
      </c>
      <c r="E82" s="103">
        <v>3.2500000000000001E-2</v>
      </c>
      <c r="F82" s="104">
        <v>2.1000000000000001E-2</v>
      </c>
      <c r="G82" s="104">
        <v>9.6500000000000002E-2</v>
      </c>
      <c r="H82" s="105">
        <v>0.06</v>
      </c>
      <c r="I82" s="106">
        <v>15</v>
      </c>
      <c r="J82" s="107">
        <v>8.4700000000000006</v>
      </c>
      <c r="K82" s="108">
        <f t="shared" si="4"/>
        <v>6.9515247010844381E-4</v>
      </c>
      <c r="L82" s="108">
        <f t="shared" si="5"/>
        <v>1.9191054385680835E-3</v>
      </c>
      <c r="M82" s="109">
        <f>'Est. Cust. Naci. 100%'!AJ84</f>
        <v>78.941382685106547</v>
      </c>
    </row>
    <row r="83" spans="1:13" ht="40.5" customHeight="1" x14ac:dyDescent="0.3">
      <c r="A83" s="41">
        <v>80</v>
      </c>
      <c r="B83" s="110" t="s">
        <v>131</v>
      </c>
      <c r="C83" s="101">
        <v>72121000</v>
      </c>
      <c r="D83" s="102">
        <v>0.112</v>
      </c>
      <c r="E83" s="103">
        <v>3.2500000000000001E-2</v>
      </c>
      <c r="F83" s="104">
        <v>2.1000000000000001E-2</v>
      </c>
      <c r="G83" s="104">
        <v>9.6500000000000002E-2</v>
      </c>
      <c r="H83" s="105">
        <v>0.06</v>
      </c>
      <c r="I83" s="106">
        <v>100</v>
      </c>
      <c r="J83" s="107">
        <v>0.4</v>
      </c>
      <c r="K83" s="108">
        <f t="shared" si="4"/>
        <v>4.6343498007229587E-3</v>
      </c>
      <c r="L83" s="108">
        <f t="shared" si="5"/>
        <v>6.042047819183261E-4</v>
      </c>
      <c r="M83" s="109">
        <f>'Est. Cust. Naci. 100%'!AJ85</f>
        <v>3.7280464077972391</v>
      </c>
    </row>
    <row r="84" spans="1:13" ht="40.5" customHeight="1" x14ac:dyDescent="0.3">
      <c r="A84" s="41">
        <v>81</v>
      </c>
      <c r="B84" s="110" t="s">
        <v>132</v>
      </c>
      <c r="C84" s="101">
        <v>72121000</v>
      </c>
      <c r="D84" s="102">
        <v>0.112</v>
      </c>
      <c r="E84" s="103">
        <v>3.2500000000000001E-2</v>
      </c>
      <c r="F84" s="104">
        <v>2.1000000000000001E-2</v>
      </c>
      <c r="G84" s="104">
        <v>9.6500000000000002E-2</v>
      </c>
      <c r="H84" s="105">
        <v>0.06</v>
      </c>
      <c r="I84" s="106">
        <v>200</v>
      </c>
      <c r="J84" s="107">
        <v>0.63</v>
      </c>
      <c r="K84" s="108">
        <f t="shared" si="4"/>
        <v>9.2686996014459174E-3</v>
      </c>
      <c r="L84" s="108">
        <f t="shared" si="5"/>
        <v>1.9032450630427273E-3</v>
      </c>
      <c r="M84" s="109">
        <f>'Est. Cust. Naci. 100%'!AJ86</f>
        <v>5.8716730922806502</v>
      </c>
    </row>
    <row r="85" spans="1:13" ht="40.5" customHeight="1" x14ac:dyDescent="0.3">
      <c r="A85" s="41">
        <v>82</v>
      </c>
      <c r="B85" s="110" t="s">
        <v>133</v>
      </c>
      <c r="C85" s="101">
        <v>72121000</v>
      </c>
      <c r="D85" s="102">
        <v>0.112</v>
      </c>
      <c r="E85" s="103">
        <v>3.2500000000000001E-2</v>
      </c>
      <c r="F85" s="104">
        <v>2.1000000000000001E-2</v>
      </c>
      <c r="G85" s="104">
        <v>9.6500000000000002E-2</v>
      </c>
      <c r="H85" s="105">
        <v>0.06</v>
      </c>
      <c r="I85" s="106">
        <v>30</v>
      </c>
      <c r="J85" s="107">
        <v>3.03</v>
      </c>
      <c r="K85" s="108">
        <f t="shared" si="4"/>
        <v>1.3903049402168876E-3</v>
      </c>
      <c r="L85" s="108">
        <f t="shared" si="5"/>
        <v>1.3730553669093961E-3</v>
      </c>
      <c r="M85" s="109">
        <f>'Est. Cust. Naci. 100%'!AJ87</f>
        <v>28.23995153906408</v>
      </c>
    </row>
    <row r="86" spans="1:13" ht="40.5" customHeight="1" x14ac:dyDescent="0.3">
      <c r="A86" s="41">
        <v>83</v>
      </c>
      <c r="B86" s="110" t="s">
        <v>134</v>
      </c>
      <c r="C86" s="101">
        <v>72121000</v>
      </c>
      <c r="D86" s="102">
        <v>0.112</v>
      </c>
      <c r="E86" s="103">
        <v>3.2500000000000001E-2</v>
      </c>
      <c r="F86" s="104">
        <v>2.1000000000000001E-2</v>
      </c>
      <c r="G86" s="104">
        <v>9.6500000000000002E-2</v>
      </c>
      <c r="H86" s="105">
        <v>0.06</v>
      </c>
      <c r="I86" s="106">
        <v>40</v>
      </c>
      <c r="J86" s="107">
        <v>4.87</v>
      </c>
      <c r="K86" s="108">
        <f t="shared" si="4"/>
        <v>1.8537399202891835E-3</v>
      </c>
      <c r="L86" s="108">
        <f t="shared" si="5"/>
        <v>2.9424772879422484E-3</v>
      </c>
      <c r="M86" s="109">
        <f>'Est. Cust. Naci. 100%'!AJ88</f>
        <v>45.388965014931387</v>
      </c>
    </row>
    <row r="87" spans="1:13" ht="40.5" customHeight="1" x14ac:dyDescent="0.3">
      <c r="A87" s="41">
        <v>84</v>
      </c>
      <c r="B87" s="110" t="s">
        <v>135</v>
      </c>
      <c r="C87" s="101">
        <v>72121000</v>
      </c>
      <c r="D87" s="102">
        <v>0.112</v>
      </c>
      <c r="E87" s="103">
        <v>3.2500000000000001E-2</v>
      </c>
      <c r="F87" s="104">
        <v>2.1000000000000001E-2</v>
      </c>
      <c r="G87" s="104">
        <v>9.6500000000000002E-2</v>
      </c>
      <c r="H87" s="105">
        <v>0.06</v>
      </c>
      <c r="I87" s="106">
        <v>50</v>
      </c>
      <c r="J87" s="107">
        <v>7.32</v>
      </c>
      <c r="K87" s="108">
        <f t="shared" si="4"/>
        <v>2.3171749003614794E-3</v>
      </c>
      <c r="L87" s="108">
        <f t="shared" si="5"/>
        <v>5.5284737545526841E-3</v>
      </c>
      <c r="M87" s="109">
        <f>'Est. Cust. Naci. 100%'!AJ89</f>
        <v>68.223249262689464</v>
      </c>
    </row>
    <row r="88" spans="1:13" ht="40.5" customHeight="1" x14ac:dyDescent="0.3">
      <c r="A88" s="41">
        <v>85</v>
      </c>
      <c r="B88" s="110" t="s">
        <v>136</v>
      </c>
      <c r="C88" s="101">
        <v>72121000</v>
      </c>
      <c r="D88" s="102">
        <v>0.112</v>
      </c>
      <c r="E88" s="103">
        <v>3.2500000000000001E-2</v>
      </c>
      <c r="F88" s="104">
        <v>2.1000000000000001E-2</v>
      </c>
      <c r="G88" s="104">
        <v>9.6500000000000002E-2</v>
      </c>
      <c r="H88" s="105">
        <v>0.06</v>
      </c>
      <c r="I88" s="106">
        <v>40</v>
      </c>
      <c r="J88" s="107">
        <v>0.99</v>
      </c>
      <c r="K88" s="108">
        <f t="shared" si="4"/>
        <v>1.8537399202891835E-3</v>
      </c>
      <c r="L88" s="108">
        <f t="shared" si="5"/>
        <v>5.9816273409914287E-4</v>
      </c>
      <c r="M88" s="109">
        <f>'Est. Cust. Naci. 100%'!AJ90</f>
        <v>9.2269148592981658</v>
      </c>
    </row>
    <row r="89" spans="1:13" ht="40.5" customHeight="1" x14ac:dyDescent="0.3">
      <c r="A89" s="41">
        <v>86</v>
      </c>
      <c r="B89" s="110" t="s">
        <v>137</v>
      </c>
      <c r="C89" s="101">
        <v>72121000</v>
      </c>
      <c r="D89" s="102">
        <v>0.112</v>
      </c>
      <c r="E89" s="103">
        <v>3.2500000000000001E-2</v>
      </c>
      <c r="F89" s="104">
        <v>2.1000000000000001E-2</v>
      </c>
      <c r="G89" s="104">
        <v>9.6500000000000002E-2</v>
      </c>
      <c r="H89" s="105">
        <v>0.06</v>
      </c>
      <c r="I89" s="106">
        <v>40</v>
      </c>
      <c r="J89" s="107">
        <v>1.58</v>
      </c>
      <c r="K89" s="108">
        <f t="shared" si="4"/>
        <v>1.8537399202891835E-3</v>
      </c>
      <c r="L89" s="108">
        <f t="shared" si="5"/>
        <v>9.5464355543095538E-4</v>
      </c>
      <c r="M89" s="109">
        <f>'Est. Cust. Naci. 100%'!AJ91</f>
        <v>14.725783310799097</v>
      </c>
    </row>
    <row r="90" spans="1:13" ht="40.5" customHeight="1" x14ac:dyDescent="0.3">
      <c r="A90" s="41">
        <v>87</v>
      </c>
      <c r="B90" s="110" t="s">
        <v>138</v>
      </c>
      <c r="C90" s="101">
        <v>72121000</v>
      </c>
      <c r="D90" s="102">
        <v>0.112</v>
      </c>
      <c r="E90" s="103">
        <v>3.2500000000000001E-2</v>
      </c>
      <c r="F90" s="104">
        <v>2.1000000000000001E-2</v>
      </c>
      <c r="G90" s="104">
        <v>9.6500000000000002E-2</v>
      </c>
      <c r="H90" s="105">
        <v>0.06</v>
      </c>
      <c r="I90" s="106">
        <v>100</v>
      </c>
      <c r="J90" s="107">
        <v>1.48</v>
      </c>
      <c r="K90" s="108">
        <f t="shared" si="4"/>
        <v>4.6343498007229587E-3</v>
      </c>
      <c r="L90" s="108">
        <f t="shared" si="5"/>
        <v>2.2355576930978066E-3</v>
      </c>
      <c r="M90" s="109">
        <f>'Est. Cust. Naci. 100%'!AJ92</f>
        <v>13.793771708849782</v>
      </c>
    </row>
    <row r="91" spans="1:13" ht="40.5" customHeight="1" x14ac:dyDescent="0.3">
      <c r="A91" s="41">
        <v>88</v>
      </c>
      <c r="B91" s="110" t="s">
        <v>139</v>
      </c>
      <c r="C91" s="101">
        <v>72121000</v>
      </c>
      <c r="D91" s="102">
        <v>0.112</v>
      </c>
      <c r="E91" s="103">
        <v>3.2500000000000001E-2</v>
      </c>
      <c r="F91" s="104">
        <v>2.1000000000000001E-2</v>
      </c>
      <c r="G91" s="104">
        <v>9.6500000000000002E-2</v>
      </c>
      <c r="H91" s="105">
        <v>0.06</v>
      </c>
      <c r="I91" s="106">
        <v>30</v>
      </c>
      <c r="J91" s="107">
        <v>2.76</v>
      </c>
      <c r="K91" s="108">
        <f t="shared" si="4"/>
        <v>1.3903049402168876E-3</v>
      </c>
      <c r="L91" s="108">
        <f t="shared" si="5"/>
        <v>1.250703898570935E-3</v>
      </c>
      <c r="M91" s="109">
        <f>'Est. Cust. Naci. 100%'!AJ93</f>
        <v>25.723520213800946</v>
      </c>
    </row>
    <row r="92" spans="1:13" ht="40.5" customHeight="1" x14ac:dyDescent="0.3">
      <c r="A92" s="41">
        <v>89</v>
      </c>
      <c r="B92" s="110" t="s">
        <v>140</v>
      </c>
      <c r="C92" s="101">
        <v>72121000</v>
      </c>
      <c r="D92" s="102">
        <v>0.112</v>
      </c>
      <c r="E92" s="103">
        <v>3.2500000000000001E-2</v>
      </c>
      <c r="F92" s="104">
        <v>2.1000000000000001E-2</v>
      </c>
      <c r="G92" s="104">
        <v>9.6500000000000002E-2</v>
      </c>
      <c r="H92" s="105">
        <v>0.06</v>
      </c>
      <c r="I92" s="106">
        <v>30</v>
      </c>
      <c r="J92" s="107">
        <v>1.38</v>
      </c>
      <c r="K92" s="108">
        <f t="shared" si="4"/>
        <v>1.3903049402168876E-3</v>
      </c>
      <c r="L92" s="108">
        <f t="shared" si="5"/>
        <v>6.2535194928546752E-4</v>
      </c>
      <c r="M92" s="109">
        <f>'Est. Cust. Naci. 100%'!AJ94</f>
        <v>12.861760106900473</v>
      </c>
    </row>
    <row r="93" spans="1:13" ht="40.5" customHeight="1" x14ac:dyDescent="0.3">
      <c r="A93" s="41">
        <v>90</v>
      </c>
      <c r="B93" s="110" t="s">
        <v>141</v>
      </c>
      <c r="C93" s="101">
        <v>72121000</v>
      </c>
      <c r="D93" s="102">
        <v>0.112</v>
      </c>
      <c r="E93" s="103">
        <v>3.2500000000000001E-2</v>
      </c>
      <c r="F93" s="104">
        <v>2.1000000000000001E-2</v>
      </c>
      <c r="G93" s="104">
        <v>9.6500000000000002E-2</v>
      </c>
      <c r="H93" s="105">
        <v>0.06</v>
      </c>
      <c r="I93" s="106">
        <v>250</v>
      </c>
      <c r="J93" s="107">
        <v>1.97</v>
      </c>
      <c r="K93" s="108">
        <f t="shared" si="4"/>
        <v>1.1585874501807397E-2</v>
      </c>
      <c r="L93" s="108">
        <f t="shared" si="5"/>
        <v>7.4392713773693908E-3</v>
      </c>
      <c r="M93" s="109">
        <f>'Est. Cust. Naci. 100%'!AJ95</f>
        <v>18.360628558401402</v>
      </c>
    </row>
    <row r="94" spans="1:13" ht="40.5" customHeight="1" x14ac:dyDescent="0.3">
      <c r="A94" s="41">
        <v>91</v>
      </c>
      <c r="B94" s="110" t="s">
        <v>142</v>
      </c>
      <c r="C94" s="101">
        <v>72121000</v>
      </c>
      <c r="D94" s="102">
        <v>0.112</v>
      </c>
      <c r="E94" s="103">
        <v>3.2500000000000001E-2</v>
      </c>
      <c r="F94" s="104">
        <v>2.1000000000000001E-2</v>
      </c>
      <c r="G94" s="104">
        <v>9.6500000000000002E-2</v>
      </c>
      <c r="H94" s="105">
        <v>0.06</v>
      </c>
      <c r="I94" s="106">
        <v>80</v>
      </c>
      <c r="J94" s="107">
        <v>3.15</v>
      </c>
      <c r="K94" s="108">
        <f t="shared" si="4"/>
        <v>3.707479840578367E-3</v>
      </c>
      <c r="L94" s="108">
        <f t="shared" si="5"/>
        <v>3.8064901260854546E-3</v>
      </c>
      <c r="M94" s="109">
        <f>'Est. Cust. Naci. 100%'!AJ96</f>
        <v>29.358365461403253</v>
      </c>
    </row>
    <row r="95" spans="1:13" ht="40.5" customHeight="1" x14ac:dyDescent="0.3">
      <c r="A95" s="41">
        <v>92</v>
      </c>
      <c r="B95" s="110" t="s">
        <v>143</v>
      </c>
      <c r="C95" s="101">
        <v>72121000</v>
      </c>
      <c r="D95" s="102">
        <v>0.112</v>
      </c>
      <c r="E95" s="103">
        <v>3.2500000000000001E-2</v>
      </c>
      <c r="F95" s="104">
        <v>2.1000000000000001E-2</v>
      </c>
      <c r="G95" s="104">
        <v>9.6500000000000002E-2</v>
      </c>
      <c r="H95" s="105">
        <v>0.06</v>
      </c>
      <c r="I95" s="106">
        <v>50</v>
      </c>
      <c r="J95" s="107">
        <v>3.15</v>
      </c>
      <c r="K95" s="108">
        <f t="shared" si="4"/>
        <v>2.3171749003614794E-3</v>
      </c>
      <c r="L95" s="108">
        <f t="shared" si="5"/>
        <v>2.379056328803409E-3</v>
      </c>
      <c r="M95" s="109">
        <f>'Est. Cust. Naci. 100%'!AJ97</f>
        <v>29.358365461403256</v>
      </c>
    </row>
    <row r="96" spans="1:13" ht="40.5" customHeight="1" x14ac:dyDescent="0.3">
      <c r="A96" s="41">
        <v>93</v>
      </c>
      <c r="B96" s="110" t="s">
        <v>144</v>
      </c>
      <c r="C96" s="101">
        <v>72121000</v>
      </c>
      <c r="D96" s="102">
        <v>0.112</v>
      </c>
      <c r="E96" s="103">
        <v>3.2500000000000001E-2</v>
      </c>
      <c r="F96" s="104">
        <v>2.1000000000000001E-2</v>
      </c>
      <c r="G96" s="104">
        <v>9.6500000000000002E-2</v>
      </c>
      <c r="H96" s="105">
        <v>0.06</v>
      </c>
      <c r="I96" s="106">
        <v>30</v>
      </c>
      <c r="J96" s="107">
        <v>4.1399999999999997</v>
      </c>
      <c r="K96" s="108">
        <f t="shared" si="4"/>
        <v>1.3903049402168876E-3</v>
      </c>
      <c r="L96" s="108">
        <f t="shared" si="5"/>
        <v>1.8760558478564024E-3</v>
      </c>
      <c r="M96" s="109">
        <f>'Est. Cust. Naci. 100%'!AJ98</f>
        <v>38.585280320701415</v>
      </c>
    </row>
    <row r="97" spans="1:13" ht="40.5" customHeight="1" x14ac:dyDescent="0.3">
      <c r="A97" s="41">
        <v>94</v>
      </c>
      <c r="B97" s="110" t="s">
        <v>145</v>
      </c>
      <c r="C97" s="101">
        <v>72121000</v>
      </c>
      <c r="D97" s="102">
        <v>0.112</v>
      </c>
      <c r="E97" s="103">
        <v>3.2500000000000001E-2</v>
      </c>
      <c r="F97" s="104">
        <v>2.1000000000000001E-2</v>
      </c>
      <c r="G97" s="104">
        <v>9.6500000000000002E-2</v>
      </c>
      <c r="H97" s="105">
        <v>0.06</v>
      </c>
      <c r="I97" s="106">
        <v>50</v>
      </c>
      <c r="J97" s="107">
        <v>3.55</v>
      </c>
      <c r="K97" s="108">
        <f t="shared" si="4"/>
        <v>2.3171749003614794E-3</v>
      </c>
      <c r="L97" s="108">
        <f t="shared" si="5"/>
        <v>2.6811587197625724E-3</v>
      </c>
      <c r="M97" s="109">
        <f>'Est. Cust. Naci. 100%'!AJ99</f>
        <v>33.086411869200496</v>
      </c>
    </row>
    <row r="98" spans="1:13" ht="40.5" customHeight="1" x14ac:dyDescent="0.3">
      <c r="A98" s="41">
        <v>95</v>
      </c>
      <c r="B98" s="110" t="s">
        <v>146</v>
      </c>
      <c r="C98" s="101">
        <v>72121000</v>
      </c>
      <c r="D98" s="102">
        <v>0.112</v>
      </c>
      <c r="E98" s="103">
        <v>3.2500000000000001E-2</v>
      </c>
      <c r="F98" s="104">
        <v>2.1000000000000001E-2</v>
      </c>
      <c r="G98" s="104">
        <v>9.6500000000000002E-2</v>
      </c>
      <c r="H98" s="105">
        <v>0.06</v>
      </c>
      <c r="I98" s="106">
        <v>50</v>
      </c>
      <c r="J98" s="107">
        <v>4.93</v>
      </c>
      <c r="K98" s="108">
        <f t="shared" si="4"/>
        <v>2.3171749003614794E-3</v>
      </c>
      <c r="L98" s="108">
        <f t="shared" si="5"/>
        <v>3.7234119685716849E-3</v>
      </c>
      <c r="M98" s="109">
        <f>'Est. Cust. Naci. 100%'!AJ100</f>
        <v>45.948171976100966</v>
      </c>
    </row>
    <row r="99" spans="1:13" ht="40.5" customHeight="1" x14ac:dyDescent="0.3">
      <c r="A99" s="41">
        <v>96</v>
      </c>
      <c r="B99" s="110" t="s">
        <v>147</v>
      </c>
      <c r="C99" s="101">
        <v>72121000</v>
      </c>
      <c r="D99" s="102">
        <v>0.112</v>
      </c>
      <c r="E99" s="103">
        <v>3.2500000000000001E-2</v>
      </c>
      <c r="F99" s="104">
        <v>2.1000000000000001E-2</v>
      </c>
      <c r="G99" s="104">
        <v>9.6500000000000002E-2</v>
      </c>
      <c r="H99" s="105">
        <v>0.06</v>
      </c>
      <c r="I99" s="106">
        <v>80</v>
      </c>
      <c r="J99" s="107">
        <v>5.91</v>
      </c>
      <c r="K99" s="108">
        <f t="shared" si="4"/>
        <v>3.707479840578367E-3</v>
      </c>
      <c r="L99" s="108">
        <f t="shared" si="5"/>
        <v>7.141700522274615E-3</v>
      </c>
      <c r="M99" s="109">
        <f>'Est. Cust. Naci. 100%'!AJ101</f>
        <v>55.081885675204205</v>
      </c>
    </row>
    <row r="100" spans="1:13" ht="40.5" customHeight="1" x14ac:dyDescent="0.3">
      <c r="A100" s="41">
        <v>97</v>
      </c>
      <c r="B100" s="110" t="s">
        <v>148</v>
      </c>
      <c r="C100" s="101">
        <v>72121000</v>
      </c>
      <c r="D100" s="102">
        <v>0.112</v>
      </c>
      <c r="E100" s="103">
        <v>3.2500000000000001E-2</v>
      </c>
      <c r="F100" s="104">
        <v>2.1000000000000001E-2</v>
      </c>
      <c r="G100" s="104">
        <v>9.6500000000000002E-2</v>
      </c>
      <c r="H100" s="105">
        <v>0.06</v>
      </c>
      <c r="I100" s="106">
        <v>80</v>
      </c>
      <c r="J100" s="107">
        <v>6.9</v>
      </c>
      <c r="K100" s="108">
        <f t="shared" ref="K100:K131" si="6">I100/$I$3</f>
        <v>3.707479840578367E-3</v>
      </c>
      <c r="L100" s="108">
        <f t="shared" ref="L100:L131" si="7">(I100*J100)/$J$3</f>
        <v>8.3380259904729005E-3</v>
      </c>
      <c r="M100" s="109">
        <f>'Est. Cust. Naci. 100%'!AJ102</f>
        <v>64.308800534502367</v>
      </c>
    </row>
    <row r="101" spans="1:13" ht="40.5" customHeight="1" x14ac:dyDescent="0.3">
      <c r="A101" s="41">
        <v>98</v>
      </c>
      <c r="B101" s="110" t="s">
        <v>149</v>
      </c>
      <c r="C101" s="101">
        <v>72121000</v>
      </c>
      <c r="D101" s="102">
        <v>0.112</v>
      </c>
      <c r="E101" s="103">
        <v>3.2500000000000001E-2</v>
      </c>
      <c r="F101" s="104">
        <v>2.1000000000000001E-2</v>
      </c>
      <c r="G101" s="104">
        <v>9.6500000000000002E-2</v>
      </c>
      <c r="H101" s="105">
        <v>0.06</v>
      </c>
      <c r="I101" s="106">
        <v>80</v>
      </c>
      <c r="J101" s="107">
        <v>10.44</v>
      </c>
      <c r="K101" s="108">
        <f t="shared" si="6"/>
        <v>3.707479840578367E-3</v>
      </c>
      <c r="L101" s="108">
        <f t="shared" si="7"/>
        <v>1.2615795846454649E-2</v>
      </c>
      <c r="M101" s="109">
        <f>'Est. Cust. Naci. 100%'!AJ103</f>
        <v>97.302011243507906</v>
      </c>
    </row>
    <row r="102" spans="1:13" ht="40.5" customHeight="1" x14ac:dyDescent="0.3">
      <c r="A102" s="41">
        <v>99</v>
      </c>
      <c r="B102" s="110" t="s">
        <v>150</v>
      </c>
      <c r="C102" s="101">
        <v>72121000</v>
      </c>
      <c r="D102" s="102">
        <v>0.112</v>
      </c>
      <c r="E102" s="103">
        <v>3.2500000000000001E-2</v>
      </c>
      <c r="F102" s="104">
        <v>2.1000000000000001E-2</v>
      </c>
      <c r="G102" s="104">
        <v>9.6500000000000002E-2</v>
      </c>
      <c r="H102" s="105">
        <v>0.06</v>
      </c>
      <c r="I102" s="106">
        <v>30</v>
      </c>
      <c r="J102" s="107">
        <v>25.61</v>
      </c>
      <c r="K102" s="108">
        <f t="shared" si="6"/>
        <v>1.3903049402168876E-3</v>
      </c>
      <c r="L102" s="108">
        <f t="shared" si="7"/>
        <v>1.1605263348696248E-2</v>
      </c>
      <c r="M102" s="109">
        <f>'Est. Cust. Naci. 100%'!AJ104</f>
        <v>238.68817125921817</v>
      </c>
    </row>
    <row r="103" spans="1:13" ht="40.5" customHeight="1" x14ac:dyDescent="0.3">
      <c r="A103" s="41">
        <v>100</v>
      </c>
      <c r="B103" s="110" t="s">
        <v>151</v>
      </c>
      <c r="C103" s="101">
        <v>72121000</v>
      </c>
      <c r="D103" s="102">
        <v>0.112</v>
      </c>
      <c r="E103" s="103">
        <v>3.2500000000000001E-2</v>
      </c>
      <c r="F103" s="104">
        <v>2.1000000000000001E-2</v>
      </c>
      <c r="G103" s="104">
        <v>9.6500000000000002E-2</v>
      </c>
      <c r="H103" s="105">
        <v>0.06</v>
      </c>
      <c r="I103" s="106">
        <v>30</v>
      </c>
      <c r="J103" s="107">
        <v>15.76</v>
      </c>
      <c r="K103" s="108">
        <f t="shared" si="6"/>
        <v>1.3903049402168876E-3</v>
      </c>
      <c r="L103" s="108">
        <f t="shared" si="7"/>
        <v>7.141700522274615E-3</v>
      </c>
      <c r="M103" s="109">
        <f>'Est. Cust. Naci. 100%'!AJ105</f>
        <v>146.88502846721121</v>
      </c>
    </row>
    <row r="104" spans="1:13" ht="40.5" customHeight="1" x14ac:dyDescent="0.3">
      <c r="A104" s="41">
        <v>101</v>
      </c>
      <c r="B104" s="110" t="s">
        <v>152</v>
      </c>
      <c r="C104" s="101">
        <v>72121000</v>
      </c>
      <c r="D104" s="102">
        <v>0.112</v>
      </c>
      <c r="E104" s="103">
        <v>3.2500000000000001E-2</v>
      </c>
      <c r="F104" s="104">
        <v>2.1000000000000001E-2</v>
      </c>
      <c r="G104" s="104">
        <v>9.6500000000000002E-2</v>
      </c>
      <c r="H104" s="105">
        <v>0.06</v>
      </c>
      <c r="I104" s="106">
        <v>15</v>
      </c>
      <c r="J104" s="107">
        <v>11.03</v>
      </c>
      <c r="K104" s="108">
        <f t="shared" si="6"/>
        <v>6.9515247010844381E-4</v>
      </c>
      <c r="L104" s="108">
        <f t="shared" si="7"/>
        <v>2.4991420292096761E-3</v>
      </c>
      <c r="M104" s="109">
        <f>'Est. Cust. Naci. 100%'!AJ106</f>
        <v>102.80087969500883</v>
      </c>
    </row>
    <row r="105" spans="1:13" ht="40.5" customHeight="1" x14ac:dyDescent="0.3">
      <c r="A105" s="41">
        <v>102</v>
      </c>
      <c r="B105" s="110" t="s">
        <v>153</v>
      </c>
      <c r="C105" s="101">
        <v>72121000</v>
      </c>
      <c r="D105" s="102">
        <v>0.112</v>
      </c>
      <c r="E105" s="103">
        <v>3.2500000000000001E-2</v>
      </c>
      <c r="F105" s="104">
        <v>2.1000000000000001E-2</v>
      </c>
      <c r="G105" s="104">
        <v>9.6500000000000002E-2</v>
      </c>
      <c r="H105" s="105">
        <v>0.06</v>
      </c>
      <c r="I105" s="106">
        <v>15</v>
      </c>
      <c r="J105" s="107">
        <v>8.4700000000000006</v>
      </c>
      <c r="K105" s="108">
        <f t="shared" si="6"/>
        <v>6.9515247010844381E-4</v>
      </c>
      <c r="L105" s="108">
        <f t="shared" si="7"/>
        <v>1.9191054385680835E-3</v>
      </c>
      <c r="M105" s="109">
        <f>'Est. Cust. Naci. 100%'!AJ107</f>
        <v>78.941382685106547</v>
      </c>
    </row>
    <row r="106" spans="1:13" ht="40.5" customHeight="1" x14ac:dyDescent="0.3">
      <c r="A106" s="41">
        <v>103</v>
      </c>
      <c r="B106" s="110" t="s">
        <v>154</v>
      </c>
      <c r="C106" s="101">
        <v>72121000</v>
      </c>
      <c r="D106" s="102">
        <v>0.112</v>
      </c>
      <c r="E106" s="103">
        <v>3.2500000000000001E-2</v>
      </c>
      <c r="F106" s="104">
        <v>2.1000000000000001E-2</v>
      </c>
      <c r="G106" s="104">
        <v>9.6500000000000002E-2</v>
      </c>
      <c r="H106" s="105">
        <v>0.06</v>
      </c>
      <c r="I106" s="106">
        <v>100</v>
      </c>
      <c r="J106" s="107">
        <v>0.4</v>
      </c>
      <c r="K106" s="108">
        <f t="shared" si="6"/>
        <v>4.6343498007229587E-3</v>
      </c>
      <c r="L106" s="108">
        <f t="shared" si="7"/>
        <v>6.042047819183261E-4</v>
      </c>
      <c r="M106" s="109">
        <f>'Est. Cust. Naci. 100%'!AJ108</f>
        <v>3.7280464077972391</v>
      </c>
    </row>
    <row r="107" spans="1:13" ht="40.5" customHeight="1" x14ac:dyDescent="0.3">
      <c r="A107" s="41">
        <v>104</v>
      </c>
      <c r="B107" s="110" t="s">
        <v>155</v>
      </c>
      <c r="C107" s="101">
        <v>72121000</v>
      </c>
      <c r="D107" s="102">
        <v>0.112</v>
      </c>
      <c r="E107" s="103">
        <v>3.2500000000000001E-2</v>
      </c>
      <c r="F107" s="104">
        <v>2.1000000000000001E-2</v>
      </c>
      <c r="G107" s="104">
        <v>9.6500000000000002E-2</v>
      </c>
      <c r="H107" s="105">
        <v>0.06</v>
      </c>
      <c r="I107" s="106">
        <v>200</v>
      </c>
      <c r="J107" s="107">
        <v>0.63</v>
      </c>
      <c r="K107" s="108">
        <f t="shared" si="6"/>
        <v>9.2686996014459174E-3</v>
      </c>
      <c r="L107" s="108">
        <f t="shared" si="7"/>
        <v>1.9032450630427273E-3</v>
      </c>
      <c r="M107" s="109">
        <f>'Est. Cust. Naci. 100%'!AJ109</f>
        <v>5.8716730922806502</v>
      </c>
    </row>
    <row r="108" spans="1:13" ht="40.5" customHeight="1" x14ac:dyDescent="0.3">
      <c r="A108" s="41">
        <v>105</v>
      </c>
      <c r="B108" s="110" t="s">
        <v>156</v>
      </c>
      <c r="C108" s="101">
        <v>72121000</v>
      </c>
      <c r="D108" s="102">
        <v>0.112</v>
      </c>
      <c r="E108" s="103">
        <v>3.2500000000000001E-2</v>
      </c>
      <c r="F108" s="104">
        <v>2.1000000000000001E-2</v>
      </c>
      <c r="G108" s="104">
        <v>9.6500000000000002E-2</v>
      </c>
      <c r="H108" s="105">
        <v>0.06</v>
      </c>
      <c r="I108" s="106">
        <v>30</v>
      </c>
      <c r="J108" s="107">
        <v>3.03</v>
      </c>
      <c r="K108" s="108">
        <f t="shared" si="6"/>
        <v>1.3903049402168876E-3</v>
      </c>
      <c r="L108" s="108">
        <f t="shared" si="7"/>
        <v>1.3730553669093961E-3</v>
      </c>
      <c r="M108" s="109">
        <f>'Est. Cust. Naci. 100%'!AJ110</f>
        <v>28.23995153906408</v>
      </c>
    </row>
    <row r="109" spans="1:13" ht="40.5" customHeight="1" x14ac:dyDescent="0.3">
      <c r="A109" s="41">
        <v>106</v>
      </c>
      <c r="B109" s="110" t="s">
        <v>157</v>
      </c>
      <c r="C109" s="101">
        <v>72121000</v>
      </c>
      <c r="D109" s="102">
        <v>0.112</v>
      </c>
      <c r="E109" s="103">
        <v>3.2500000000000001E-2</v>
      </c>
      <c r="F109" s="104">
        <v>2.1000000000000001E-2</v>
      </c>
      <c r="G109" s="104">
        <v>9.6500000000000002E-2</v>
      </c>
      <c r="H109" s="105">
        <v>0.06</v>
      </c>
      <c r="I109" s="106">
        <v>40</v>
      </c>
      <c r="J109" s="107">
        <v>4.87</v>
      </c>
      <c r="K109" s="108">
        <f t="shared" si="6"/>
        <v>1.8537399202891835E-3</v>
      </c>
      <c r="L109" s="108">
        <f t="shared" si="7"/>
        <v>2.9424772879422484E-3</v>
      </c>
      <c r="M109" s="109">
        <f>'Est. Cust. Naci. 100%'!AJ111</f>
        <v>45.388965014931387</v>
      </c>
    </row>
    <row r="110" spans="1:13" ht="40.5" customHeight="1" x14ac:dyDescent="0.3">
      <c r="A110" s="41">
        <v>107</v>
      </c>
      <c r="B110" s="110" t="s">
        <v>158</v>
      </c>
      <c r="C110" s="101">
        <v>72121000</v>
      </c>
      <c r="D110" s="102">
        <v>0.112</v>
      </c>
      <c r="E110" s="103">
        <v>3.2500000000000001E-2</v>
      </c>
      <c r="F110" s="104">
        <v>2.1000000000000001E-2</v>
      </c>
      <c r="G110" s="104">
        <v>9.6500000000000002E-2</v>
      </c>
      <c r="H110" s="105">
        <v>0.06</v>
      </c>
      <c r="I110" s="106">
        <v>50</v>
      </c>
      <c r="J110" s="107">
        <v>7.32</v>
      </c>
      <c r="K110" s="108">
        <f t="shared" si="6"/>
        <v>2.3171749003614794E-3</v>
      </c>
      <c r="L110" s="108">
        <f t="shared" si="7"/>
        <v>5.5284737545526841E-3</v>
      </c>
      <c r="M110" s="109">
        <f>'Est. Cust. Naci. 100%'!AJ112</f>
        <v>68.223249262689464</v>
      </c>
    </row>
    <row r="111" spans="1:13" ht="40.5" customHeight="1" x14ac:dyDescent="0.3">
      <c r="A111" s="41">
        <v>108</v>
      </c>
      <c r="B111" s="110" t="s">
        <v>136</v>
      </c>
      <c r="C111" s="101">
        <v>72121000</v>
      </c>
      <c r="D111" s="102">
        <v>0.112</v>
      </c>
      <c r="E111" s="103">
        <v>3.2500000000000001E-2</v>
      </c>
      <c r="F111" s="104">
        <v>2.1000000000000001E-2</v>
      </c>
      <c r="G111" s="104">
        <v>9.6500000000000002E-2</v>
      </c>
      <c r="H111" s="105">
        <v>0.06</v>
      </c>
      <c r="I111" s="106">
        <v>200</v>
      </c>
      <c r="J111" s="107">
        <v>0.99</v>
      </c>
      <c r="K111" s="108">
        <f t="shared" si="6"/>
        <v>9.2686996014459174E-3</v>
      </c>
      <c r="L111" s="108">
        <f t="shared" si="7"/>
        <v>2.9908136704957142E-3</v>
      </c>
      <c r="M111" s="109">
        <f>'Est. Cust. Naci. 100%'!AJ113</f>
        <v>9.226914859298164</v>
      </c>
    </row>
    <row r="112" spans="1:13" ht="40.5" customHeight="1" x14ac:dyDescent="0.3">
      <c r="A112" s="41">
        <v>109</v>
      </c>
      <c r="B112" s="110" t="s">
        <v>137</v>
      </c>
      <c r="C112" s="101">
        <v>72121000</v>
      </c>
      <c r="D112" s="102">
        <v>0.112</v>
      </c>
      <c r="E112" s="103">
        <v>3.2500000000000001E-2</v>
      </c>
      <c r="F112" s="104">
        <v>2.1000000000000001E-2</v>
      </c>
      <c r="G112" s="104">
        <v>9.6500000000000002E-2</v>
      </c>
      <c r="H112" s="105">
        <v>0.06</v>
      </c>
      <c r="I112" s="106">
        <v>50</v>
      </c>
      <c r="J112" s="107">
        <v>1.58</v>
      </c>
      <c r="K112" s="108">
        <f t="shared" si="6"/>
        <v>2.3171749003614794E-3</v>
      </c>
      <c r="L112" s="108">
        <f t="shared" si="7"/>
        <v>1.1933044442886942E-3</v>
      </c>
      <c r="M112" s="109">
        <f>'Est. Cust. Naci. 100%'!AJ114</f>
        <v>14.725783310799091</v>
      </c>
    </row>
    <row r="113" spans="1:13" ht="40.5" customHeight="1" x14ac:dyDescent="0.3">
      <c r="A113" s="41">
        <v>110</v>
      </c>
      <c r="B113" s="110" t="s">
        <v>138</v>
      </c>
      <c r="C113" s="101">
        <v>72121000</v>
      </c>
      <c r="D113" s="102">
        <v>0.112</v>
      </c>
      <c r="E113" s="103">
        <v>3.2500000000000001E-2</v>
      </c>
      <c r="F113" s="104">
        <v>2.1000000000000001E-2</v>
      </c>
      <c r="G113" s="104">
        <v>9.6500000000000002E-2</v>
      </c>
      <c r="H113" s="105">
        <v>0.06</v>
      </c>
      <c r="I113" s="106">
        <v>800</v>
      </c>
      <c r="J113" s="107">
        <v>1.48</v>
      </c>
      <c r="K113" s="108">
        <f t="shared" si="6"/>
        <v>3.707479840578367E-2</v>
      </c>
      <c r="L113" s="108">
        <f t="shared" si="7"/>
        <v>1.7884461544782453E-2</v>
      </c>
      <c r="M113" s="109">
        <f>'Est. Cust. Naci. 100%'!AJ115</f>
        <v>13.793771708849782</v>
      </c>
    </row>
    <row r="114" spans="1:13" ht="40.5" customHeight="1" x14ac:dyDescent="0.3">
      <c r="A114" s="41">
        <v>111</v>
      </c>
      <c r="B114" s="110" t="s">
        <v>139</v>
      </c>
      <c r="C114" s="101">
        <v>72121000</v>
      </c>
      <c r="D114" s="102">
        <v>0.112</v>
      </c>
      <c r="E114" s="103">
        <v>3.2500000000000001E-2</v>
      </c>
      <c r="F114" s="104">
        <v>2.1000000000000001E-2</v>
      </c>
      <c r="G114" s="104">
        <v>9.6500000000000002E-2</v>
      </c>
      <c r="H114" s="105">
        <v>0.06</v>
      </c>
      <c r="I114" s="106">
        <v>50</v>
      </c>
      <c r="J114" s="107">
        <v>2.76</v>
      </c>
      <c r="K114" s="108">
        <f t="shared" si="6"/>
        <v>2.3171749003614794E-3</v>
      </c>
      <c r="L114" s="108">
        <f t="shared" si="7"/>
        <v>2.0845064976182251E-3</v>
      </c>
      <c r="M114" s="109">
        <f>'Est. Cust. Naci. 100%'!AJ116</f>
        <v>25.723520213800949</v>
      </c>
    </row>
    <row r="115" spans="1:13" ht="40.5" customHeight="1" x14ac:dyDescent="0.3">
      <c r="A115" s="41">
        <v>112</v>
      </c>
      <c r="B115" s="110" t="s">
        <v>140</v>
      </c>
      <c r="C115" s="101">
        <v>72121000</v>
      </c>
      <c r="D115" s="102">
        <v>0.112</v>
      </c>
      <c r="E115" s="103">
        <v>3.2500000000000001E-2</v>
      </c>
      <c r="F115" s="104">
        <v>2.1000000000000001E-2</v>
      </c>
      <c r="G115" s="104">
        <v>9.6500000000000002E-2</v>
      </c>
      <c r="H115" s="105">
        <v>0.06</v>
      </c>
      <c r="I115" s="106">
        <v>30</v>
      </c>
      <c r="J115" s="107">
        <v>1.38</v>
      </c>
      <c r="K115" s="108">
        <f t="shared" si="6"/>
        <v>1.3903049402168876E-3</v>
      </c>
      <c r="L115" s="108">
        <f t="shared" si="7"/>
        <v>6.2535194928546752E-4</v>
      </c>
      <c r="M115" s="109">
        <f>'Est. Cust. Naci. 100%'!AJ117</f>
        <v>12.861760106900473</v>
      </c>
    </row>
    <row r="116" spans="1:13" ht="40.5" customHeight="1" x14ac:dyDescent="0.3">
      <c r="A116" s="41">
        <v>113</v>
      </c>
      <c r="B116" s="110" t="s">
        <v>141</v>
      </c>
      <c r="C116" s="101">
        <v>72121000</v>
      </c>
      <c r="D116" s="102">
        <v>0.112</v>
      </c>
      <c r="E116" s="103">
        <v>3.2500000000000001E-2</v>
      </c>
      <c r="F116" s="104">
        <v>2.1000000000000001E-2</v>
      </c>
      <c r="G116" s="104">
        <v>9.6500000000000002E-2</v>
      </c>
      <c r="H116" s="105">
        <v>0.06</v>
      </c>
      <c r="I116" s="106">
        <v>1500</v>
      </c>
      <c r="J116" s="107">
        <v>1.97</v>
      </c>
      <c r="K116" s="108">
        <f t="shared" si="6"/>
        <v>6.9515247010844383E-2</v>
      </c>
      <c r="L116" s="108">
        <f t="shared" si="7"/>
        <v>4.463562826421634E-2</v>
      </c>
      <c r="M116" s="109">
        <f>'Est. Cust. Naci. 100%'!AJ118</f>
        <v>18.360628558401398</v>
      </c>
    </row>
    <row r="117" spans="1:13" ht="40.5" customHeight="1" x14ac:dyDescent="0.3">
      <c r="A117" s="41">
        <v>114</v>
      </c>
      <c r="B117" s="110" t="s">
        <v>142</v>
      </c>
      <c r="C117" s="101">
        <v>72121000</v>
      </c>
      <c r="D117" s="102">
        <v>0.112</v>
      </c>
      <c r="E117" s="103">
        <v>3.2500000000000001E-2</v>
      </c>
      <c r="F117" s="104">
        <v>2.1000000000000001E-2</v>
      </c>
      <c r="G117" s="104">
        <v>9.6500000000000002E-2</v>
      </c>
      <c r="H117" s="105">
        <v>0.06</v>
      </c>
      <c r="I117" s="106">
        <v>400</v>
      </c>
      <c r="J117" s="107">
        <v>3.15</v>
      </c>
      <c r="K117" s="108">
        <f t="shared" si="6"/>
        <v>1.8537399202891835E-2</v>
      </c>
      <c r="L117" s="108">
        <f t="shared" si="7"/>
        <v>1.9032450630427272E-2</v>
      </c>
      <c r="M117" s="109">
        <f>'Est. Cust. Naci. 100%'!AJ119</f>
        <v>29.358365461403256</v>
      </c>
    </row>
    <row r="118" spans="1:13" ht="40.5" customHeight="1" x14ac:dyDescent="0.3">
      <c r="A118" s="41">
        <v>115</v>
      </c>
      <c r="B118" s="110" t="s">
        <v>143</v>
      </c>
      <c r="C118" s="101">
        <v>72121000</v>
      </c>
      <c r="D118" s="102">
        <v>0.112</v>
      </c>
      <c r="E118" s="103">
        <v>3.2500000000000001E-2</v>
      </c>
      <c r="F118" s="104">
        <v>2.1000000000000001E-2</v>
      </c>
      <c r="G118" s="104">
        <v>9.6500000000000002E-2</v>
      </c>
      <c r="H118" s="105">
        <v>0.06</v>
      </c>
      <c r="I118" s="106">
        <v>50</v>
      </c>
      <c r="J118" s="107">
        <v>3.15</v>
      </c>
      <c r="K118" s="108">
        <f t="shared" si="6"/>
        <v>2.3171749003614794E-3</v>
      </c>
      <c r="L118" s="108">
        <f t="shared" si="7"/>
        <v>2.379056328803409E-3</v>
      </c>
      <c r="M118" s="109">
        <f>'Est. Cust. Naci. 100%'!AJ120</f>
        <v>29.358365461403256</v>
      </c>
    </row>
    <row r="119" spans="1:13" ht="40.5" customHeight="1" x14ac:dyDescent="0.3">
      <c r="A119" s="41">
        <v>116</v>
      </c>
      <c r="B119" s="110" t="s">
        <v>144</v>
      </c>
      <c r="C119" s="101">
        <v>72121000</v>
      </c>
      <c r="D119" s="102">
        <v>0.112</v>
      </c>
      <c r="E119" s="103">
        <v>3.2500000000000001E-2</v>
      </c>
      <c r="F119" s="104">
        <v>2.1000000000000001E-2</v>
      </c>
      <c r="G119" s="104">
        <v>9.6500000000000002E-2</v>
      </c>
      <c r="H119" s="105">
        <v>0.06</v>
      </c>
      <c r="I119" s="106">
        <v>30</v>
      </c>
      <c r="J119" s="107">
        <v>4.1399999999999997</v>
      </c>
      <c r="K119" s="108">
        <f t="shared" si="6"/>
        <v>1.3903049402168876E-3</v>
      </c>
      <c r="L119" s="108">
        <f t="shared" si="7"/>
        <v>1.8760558478564024E-3</v>
      </c>
      <c r="M119" s="109">
        <f>'Est. Cust. Naci. 100%'!AJ121</f>
        <v>38.585280320701415</v>
      </c>
    </row>
    <row r="120" spans="1:13" ht="40.5" customHeight="1" x14ac:dyDescent="0.3">
      <c r="A120" s="41">
        <v>117</v>
      </c>
      <c r="B120" s="110" t="s">
        <v>145</v>
      </c>
      <c r="C120" s="101">
        <v>72121000</v>
      </c>
      <c r="D120" s="102">
        <v>0.112</v>
      </c>
      <c r="E120" s="103">
        <v>3.2500000000000001E-2</v>
      </c>
      <c r="F120" s="104">
        <v>2.1000000000000001E-2</v>
      </c>
      <c r="G120" s="104">
        <v>9.6500000000000002E-2</v>
      </c>
      <c r="H120" s="105">
        <v>0.06</v>
      </c>
      <c r="I120" s="106">
        <v>150</v>
      </c>
      <c r="J120" s="107">
        <v>3.55</v>
      </c>
      <c r="K120" s="108">
        <f t="shared" si="6"/>
        <v>6.9515247010844376E-3</v>
      </c>
      <c r="L120" s="108">
        <f t="shared" si="7"/>
        <v>8.0434761592877175E-3</v>
      </c>
      <c r="M120" s="109">
        <f>'Est. Cust. Naci. 100%'!AJ122</f>
        <v>33.086411869200489</v>
      </c>
    </row>
    <row r="121" spans="1:13" ht="40.5" customHeight="1" x14ac:dyDescent="0.3">
      <c r="A121" s="41">
        <v>118</v>
      </c>
      <c r="B121" s="110" t="s">
        <v>146</v>
      </c>
      <c r="C121" s="101">
        <v>72121000</v>
      </c>
      <c r="D121" s="102">
        <v>0.112</v>
      </c>
      <c r="E121" s="103">
        <v>3.2500000000000001E-2</v>
      </c>
      <c r="F121" s="104">
        <v>2.1000000000000001E-2</v>
      </c>
      <c r="G121" s="104">
        <v>9.6500000000000002E-2</v>
      </c>
      <c r="H121" s="105">
        <v>0.06</v>
      </c>
      <c r="I121" s="106">
        <v>200</v>
      </c>
      <c r="J121" s="107">
        <v>4.93</v>
      </c>
      <c r="K121" s="108">
        <f t="shared" si="6"/>
        <v>9.2686996014459174E-3</v>
      </c>
      <c r="L121" s="108">
        <f t="shared" si="7"/>
        <v>1.489364787428674E-2</v>
      </c>
      <c r="M121" s="109">
        <f>'Est. Cust. Naci. 100%'!AJ123</f>
        <v>45.948171976100966</v>
      </c>
    </row>
    <row r="122" spans="1:13" ht="40.5" customHeight="1" x14ac:dyDescent="0.3">
      <c r="A122" s="41">
        <v>119</v>
      </c>
      <c r="B122" s="110" t="s">
        <v>153</v>
      </c>
      <c r="C122" s="101">
        <v>72121000</v>
      </c>
      <c r="D122" s="102">
        <v>0.112</v>
      </c>
      <c r="E122" s="103">
        <v>3.2500000000000001E-2</v>
      </c>
      <c r="F122" s="104">
        <v>2.1000000000000001E-2</v>
      </c>
      <c r="G122" s="104">
        <v>9.6500000000000002E-2</v>
      </c>
      <c r="H122" s="105">
        <v>0.06</v>
      </c>
      <c r="I122" s="106">
        <v>60</v>
      </c>
      <c r="J122" s="107">
        <v>8.4700000000000006</v>
      </c>
      <c r="K122" s="108">
        <f t="shared" si="6"/>
        <v>2.7806098804337752E-3</v>
      </c>
      <c r="L122" s="108">
        <f t="shared" si="7"/>
        <v>7.6764217542723339E-3</v>
      </c>
      <c r="M122" s="109">
        <f>'Est. Cust. Naci. 100%'!AJ124</f>
        <v>78.941382685106547</v>
      </c>
    </row>
    <row r="123" spans="1:13" ht="40.5" customHeight="1" x14ac:dyDescent="0.3">
      <c r="A123" s="41">
        <v>120</v>
      </c>
      <c r="B123" s="110" t="s">
        <v>154</v>
      </c>
      <c r="C123" s="101">
        <v>72121000</v>
      </c>
      <c r="D123" s="102">
        <v>0.112</v>
      </c>
      <c r="E123" s="103">
        <v>3.2500000000000001E-2</v>
      </c>
      <c r="F123" s="104">
        <v>2.1000000000000001E-2</v>
      </c>
      <c r="G123" s="104">
        <v>9.6500000000000002E-2</v>
      </c>
      <c r="H123" s="105">
        <v>0.06</v>
      </c>
      <c r="I123" s="106">
        <v>1300</v>
      </c>
      <c r="J123" s="107">
        <v>0.4</v>
      </c>
      <c r="K123" s="108">
        <f t="shared" si="6"/>
        <v>6.0246547409398464E-2</v>
      </c>
      <c r="L123" s="108">
        <f t="shared" si="7"/>
        <v>7.8546621649382403E-3</v>
      </c>
      <c r="M123" s="109">
        <f>'Est. Cust. Naci. 100%'!AJ125</f>
        <v>3.7280464077972386</v>
      </c>
    </row>
    <row r="124" spans="1:13" ht="40.5" customHeight="1" x14ac:dyDescent="0.3">
      <c r="A124" s="41">
        <v>121</v>
      </c>
      <c r="B124" s="110" t="s">
        <v>155</v>
      </c>
      <c r="C124" s="101">
        <v>72121000</v>
      </c>
      <c r="D124" s="102">
        <v>0.112</v>
      </c>
      <c r="E124" s="103">
        <v>3.2500000000000001E-2</v>
      </c>
      <c r="F124" s="104">
        <v>2.1000000000000001E-2</v>
      </c>
      <c r="G124" s="104">
        <v>9.6500000000000002E-2</v>
      </c>
      <c r="H124" s="105">
        <v>0.06</v>
      </c>
      <c r="I124" s="106">
        <v>1700</v>
      </c>
      <c r="J124" s="107">
        <v>0.63</v>
      </c>
      <c r="K124" s="108">
        <f t="shared" si="6"/>
        <v>7.8783946612290295E-2</v>
      </c>
      <c r="L124" s="108">
        <f t="shared" si="7"/>
        <v>1.6177583035863183E-2</v>
      </c>
      <c r="M124" s="109">
        <f>'Est. Cust. Naci. 100%'!AJ126</f>
        <v>5.8716730922806519</v>
      </c>
    </row>
    <row r="125" spans="1:13" ht="40.5" customHeight="1" x14ac:dyDescent="0.3">
      <c r="A125" s="41">
        <v>122</v>
      </c>
      <c r="B125" s="110" t="s">
        <v>156</v>
      </c>
      <c r="C125" s="101">
        <v>72121000</v>
      </c>
      <c r="D125" s="102">
        <v>0.112</v>
      </c>
      <c r="E125" s="103">
        <v>3.2500000000000001E-2</v>
      </c>
      <c r="F125" s="104">
        <v>2.1000000000000001E-2</v>
      </c>
      <c r="G125" s="104">
        <v>9.6500000000000002E-2</v>
      </c>
      <c r="H125" s="105">
        <v>0.06</v>
      </c>
      <c r="I125" s="106">
        <v>220</v>
      </c>
      <c r="J125" s="107">
        <v>3.03</v>
      </c>
      <c r="K125" s="108">
        <f t="shared" si="6"/>
        <v>1.0195569561590508E-2</v>
      </c>
      <c r="L125" s="108">
        <f t="shared" si="7"/>
        <v>1.0069072690668904E-2</v>
      </c>
      <c r="M125" s="109">
        <f>'Est. Cust. Naci. 100%'!AJ127</f>
        <v>28.239951539064077</v>
      </c>
    </row>
    <row r="126" spans="1:13" ht="40.5" customHeight="1" x14ac:dyDescent="0.3">
      <c r="A126" s="41">
        <v>123</v>
      </c>
      <c r="B126" s="110" t="s">
        <v>157</v>
      </c>
      <c r="C126" s="101">
        <v>72121000</v>
      </c>
      <c r="D126" s="102">
        <v>0.112</v>
      </c>
      <c r="E126" s="103">
        <v>3.2500000000000001E-2</v>
      </c>
      <c r="F126" s="104">
        <v>2.1000000000000001E-2</v>
      </c>
      <c r="G126" s="104">
        <v>9.6500000000000002E-2</v>
      </c>
      <c r="H126" s="105">
        <v>0.06</v>
      </c>
      <c r="I126" s="106">
        <v>210</v>
      </c>
      <c r="J126" s="107">
        <v>4.87</v>
      </c>
      <c r="K126" s="108">
        <f t="shared" si="6"/>
        <v>9.7321345815182137E-3</v>
      </c>
      <c r="L126" s="108">
        <f t="shared" si="7"/>
        <v>1.5448005761696804E-2</v>
      </c>
      <c r="M126" s="109">
        <f>'Est. Cust. Naci. 100%'!AJ128</f>
        <v>45.388965014931387</v>
      </c>
    </row>
    <row r="127" spans="1:13" ht="40.5" customHeight="1" x14ac:dyDescent="0.3">
      <c r="A127" s="41">
        <v>124</v>
      </c>
      <c r="B127" s="110" t="s">
        <v>158</v>
      </c>
      <c r="C127" s="101">
        <v>72121000</v>
      </c>
      <c r="D127" s="102">
        <v>0.112</v>
      </c>
      <c r="E127" s="103">
        <v>3.2500000000000001E-2</v>
      </c>
      <c r="F127" s="104">
        <v>2.1000000000000001E-2</v>
      </c>
      <c r="G127" s="104">
        <v>9.6500000000000002E-2</v>
      </c>
      <c r="H127" s="105">
        <v>0.06</v>
      </c>
      <c r="I127" s="106">
        <v>200</v>
      </c>
      <c r="J127" s="107">
        <v>7.32</v>
      </c>
      <c r="K127" s="108">
        <f t="shared" si="6"/>
        <v>9.2686996014459174E-3</v>
      </c>
      <c r="L127" s="108">
        <f t="shared" si="7"/>
        <v>2.2113895018210736E-2</v>
      </c>
      <c r="M127" s="109">
        <f>'Est. Cust. Naci. 100%'!AJ129</f>
        <v>68.223249262689464</v>
      </c>
    </row>
    <row r="128" spans="1:13" ht="40.5" customHeight="1" x14ac:dyDescent="0.3">
      <c r="A128" s="41">
        <v>125</v>
      </c>
      <c r="B128" s="110" t="s">
        <v>147</v>
      </c>
      <c r="C128" s="101">
        <v>72121000</v>
      </c>
      <c r="D128" s="102">
        <v>0.112</v>
      </c>
      <c r="E128" s="103">
        <v>3.2500000000000001E-2</v>
      </c>
      <c r="F128" s="104">
        <v>2.1000000000000001E-2</v>
      </c>
      <c r="G128" s="104">
        <v>9.6500000000000002E-2</v>
      </c>
      <c r="H128" s="105">
        <v>0.06</v>
      </c>
      <c r="I128" s="106">
        <v>10</v>
      </c>
      <c r="J128" s="107">
        <v>5.91</v>
      </c>
      <c r="K128" s="108">
        <f t="shared" si="6"/>
        <v>4.6343498007229587E-4</v>
      </c>
      <c r="L128" s="108">
        <f t="shared" si="7"/>
        <v>8.9271256528432688E-4</v>
      </c>
      <c r="M128" s="109">
        <f>'Est. Cust. Naci. 100%'!AJ130</f>
        <v>55.081885675204205</v>
      </c>
    </row>
    <row r="129" spans="1:13" ht="40.5" customHeight="1" x14ac:dyDescent="0.3">
      <c r="A129" s="41">
        <v>126</v>
      </c>
      <c r="B129" s="110" t="s">
        <v>148</v>
      </c>
      <c r="C129" s="101">
        <v>72121000</v>
      </c>
      <c r="D129" s="102">
        <v>0.112</v>
      </c>
      <c r="E129" s="103">
        <v>3.2500000000000001E-2</v>
      </c>
      <c r="F129" s="104">
        <v>2.1000000000000001E-2</v>
      </c>
      <c r="G129" s="104">
        <v>9.6500000000000002E-2</v>
      </c>
      <c r="H129" s="105">
        <v>0.06</v>
      </c>
      <c r="I129" s="106">
        <v>20</v>
      </c>
      <c r="J129" s="107">
        <v>6.9</v>
      </c>
      <c r="K129" s="108">
        <f t="shared" si="6"/>
        <v>9.2686996014459174E-4</v>
      </c>
      <c r="L129" s="108">
        <f t="shared" si="7"/>
        <v>2.0845064976182251E-3</v>
      </c>
      <c r="M129" s="109">
        <f>'Est. Cust. Naci. 100%'!AJ131</f>
        <v>64.308800534502367</v>
      </c>
    </row>
    <row r="130" spans="1:13" ht="40.5" customHeight="1" x14ac:dyDescent="0.3">
      <c r="A130" s="41">
        <v>127</v>
      </c>
      <c r="B130" s="110" t="s">
        <v>149</v>
      </c>
      <c r="C130" s="101">
        <v>72121000</v>
      </c>
      <c r="D130" s="102">
        <v>0.112</v>
      </c>
      <c r="E130" s="103">
        <v>3.2500000000000001E-2</v>
      </c>
      <c r="F130" s="104">
        <v>2.1000000000000001E-2</v>
      </c>
      <c r="G130" s="104">
        <v>9.6500000000000002E-2</v>
      </c>
      <c r="H130" s="105">
        <v>0.06</v>
      </c>
      <c r="I130" s="106">
        <v>8</v>
      </c>
      <c r="J130" s="107">
        <v>10.44</v>
      </c>
      <c r="K130" s="108">
        <f t="shared" si="6"/>
        <v>3.7074798405783667E-4</v>
      </c>
      <c r="L130" s="108">
        <f t="shared" si="7"/>
        <v>1.2615795846454649E-3</v>
      </c>
      <c r="M130" s="109">
        <f>'Est. Cust. Naci. 100%'!AJ132</f>
        <v>97.30201124350792</v>
      </c>
    </row>
    <row r="131" spans="1:13" ht="40.5" customHeight="1" x14ac:dyDescent="0.3">
      <c r="A131" s="41">
        <v>128</v>
      </c>
      <c r="B131" s="110" t="s">
        <v>150</v>
      </c>
      <c r="C131" s="101">
        <v>72121000</v>
      </c>
      <c r="D131" s="102">
        <v>0.112</v>
      </c>
      <c r="E131" s="103">
        <v>3.2500000000000001E-2</v>
      </c>
      <c r="F131" s="104">
        <v>2.1000000000000001E-2</v>
      </c>
      <c r="G131" s="104">
        <v>9.6500000000000002E-2</v>
      </c>
      <c r="H131" s="105">
        <v>0.06</v>
      </c>
      <c r="I131" s="106">
        <v>5</v>
      </c>
      <c r="J131" s="107">
        <v>25.61</v>
      </c>
      <c r="K131" s="108">
        <f t="shared" si="6"/>
        <v>2.3171749003614794E-4</v>
      </c>
      <c r="L131" s="108">
        <f t="shared" si="7"/>
        <v>1.9342105581160417E-3</v>
      </c>
      <c r="M131" s="109">
        <f>'Est. Cust. Naci. 100%'!AJ133</f>
        <v>238.68817125921822</v>
      </c>
    </row>
    <row r="132" spans="1:13" ht="40.5" customHeight="1" x14ac:dyDescent="0.3">
      <c r="A132" s="41">
        <v>129</v>
      </c>
      <c r="B132" s="110" t="s">
        <v>151</v>
      </c>
      <c r="C132" s="101">
        <v>72121000</v>
      </c>
      <c r="D132" s="102">
        <v>0.112</v>
      </c>
      <c r="E132" s="103">
        <v>3.2500000000000001E-2</v>
      </c>
      <c r="F132" s="104">
        <v>2.1000000000000001E-2</v>
      </c>
      <c r="G132" s="104">
        <v>9.6500000000000002E-2</v>
      </c>
      <c r="H132" s="105">
        <v>0.06</v>
      </c>
      <c r="I132" s="106">
        <v>10</v>
      </c>
      <c r="J132" s="107">
        <v>15.76</v>
      </c>
      <c r="K132" s="108">
        <f t="shared" ref="K132:K165" si="8">I132/$I$3</f>
        <v>4.6343498007229587E-4</v>
      </c>
      <c r="L132" s="108">
        <f t="shared" ref="L132:L165" si="9">(I132*J132)/$J$3</f>
        <v>2.380566840758205E-3</v>
      </c>
      <c r="M132" s="109">
        <f>'Est. Cust. Naci. 100%'!AJ134</f>
        <v>146.88502846721119</v>
      </c>
    </row>
    <row r="133" spans="1:13" ht="40.5" customHeight="1" x14ac:dyDescent="0.3">
      <c r="A133" s="41">
        <v>130</v>
      </c>
      <c r="B133" s="110" t="s">
        <v>152</v>
      </c>
      <c r="C133" s="101">
        <v>72121000</v>
      </c>
      <c r="D133" s="102">
        <v>0.112</v>
      </c>
      <c r="E133" s="103">
        <v>3.2500000000000001E-2</v>
      </c>
      <c r="F133" s="104">
        <v>2.1000000000000001E-2</v>
      </c>
      <c r="G133" s="104">
        <v>9.6500000000000002E-2</v>
      </c>
      <c r="H133" s="105">
        <v>0.06</v>
      </c>
      <c r="I133" s="106">
        <v>5</v>
      </c>
      <c r="J133" s="107">
        <v>11.03</v>
      </c>
      <c r="K133" s="108">
        <f t="shared" si="8"/>
        <v>2.3171749003614794E-4</v>
      </c>
      <c r="L133" s="108">
        <f t="shared" si="9"/>
        <v>8.3304734306989211E-4</v>
      </c>
      <c r="M133" s="109">
        <f>'Est. Cust. Naci. 100%'!AJ135</f>
        <v>102.80087969500885</v>
      </c>
    </row>
    <row r="134" spans="1:13" ht="40.5" customHeight="1" x14ac:dyDescent="0.3">
      <c r="A134" s="41">
        <v>131</v>
      </c>
      <c r="B134" s="110" t="s">
        <v>159</v>
      </c>
      <c r="C134" s="101">
        <v>72121000</v>
      </c>
      <c r="D134" s="102">
        <v>0.112</v>
      </c>
      <c r="E134" s="103">
        <v>3.2500000000000001E-2</v>
      </c>
      <c r="F134" s="104">
        <v>2.1000000000000001E-2</v>
      </c>
      <c r="G134" s="104">
        <v>9.6500000000000002E-2</v>
      </c>
      <c r="H134" s="105">
        <v>0.06</v>
      </c>
      <c r="I134" s="106">
        <v>150</v>
      </c>
      <c r="J134" s="107">
        <v>9.4600000000000009</v>
      </c>
      <c r="K134" s="108">
        <f t="shared" si="8"/>
        <v>6.9515247010844376E-3</v>
      </c>
      <c r="L134" s="108">
        <f t="shared" si="9"/>
        <v>2.1434164638552623E-2</v>
      </c>
      <c r="M134" s="109">
        <f>'Est. Cust. Naci. 100%'!AJ136</f>
        <v>88.168297544404723</v>
      </c>
    </row>
    <row r="135" spans="1:13" ht="40.5" customHeight="1" x14ac:dyDescent="0.3">
      <c r="A135" s="41">
        <v>132</v>
      </c>
      <c r="B135" s="110" t="s">
        <v>160</v>
      </c>
      <c r="C135" s="101">
        <v>72121000</v>
      </c>
      <c r="D135" s="102">
        <v>0.112</v>
      </c>
      <c r="E135" s="103">
        <v>3.2500000000000001E-2</v>
      </c>
      <c r="F135" s="104">
        <v>2.1000000000000001E-2</v>
      </c>
      <c r="G135" s="104">
        <v>9.6500000000000002E-2</v>
      </c>
      <c r="H135" s="105">
        <v>0.06</v>
      </c>
      <c r="I135" s="106">
        <v>250</v>
      </c>
      <c r="J135" s="107">
        <v>11.51</v>
      </c>
      <c r="K135" s="108">
        <f t="shared" si="8"/>
        <v>1.1585874501807397E-2</v>
      </c>
      <c r="L135" s="108">
        <f t="shared" si="9"/>
        <v>4.3464981499249586E-2</v>
      </c>
      <c r="M135" s="109">
        <f>'Est. Cust. Naci. 100%'!AJ137</f>
        <v>107.27453538436555</v>
      </c>
    </row>
    <row r="136" spans="1:13" ht="40.5" customHeight="1" x14ac:dyDescent="0.3">
      <c r="A136" s="41">
        <v>133</v>
      </c>
      <c r="B136" s="110" t="s">
        <v>161</v>
      </c>
      <c r="C136" s="101">
        <v>72121000</v>
      </c>
      <c r="D136" s="102">
        <v>0.112</v>
      </c>
      <c r="E136" s="103">
        <v>3.2500000000000001E-2</v>
      </c>
      <c r="F136" s="104">
        <v>2.1000000000000001E-2</v>
      </c>
      <c r="G136" s="104">
        <v>9.6500000000000002E-2</v>
      </c>
      <c r="H136" s="105">
        <v>0.06</v>
      </c>
      <c r="I136" s="106">
        <v>50</v>
      </c>
      <c r="J136" s="107">
        <v>18.52</v>
      </c>
      <c r="K136" s="108">
        <f t="shared" si="8"/>
        <v>2.3171749003614794E-3</v>
      </c>
      <c r="L136" s="108">
        <f t="shared" si="9"/>
        <v>1.3987340701409249E-2</v>
      </c>
      <c r="M136" s="109">
        <f>'Est. Cust. Naci. 100%'!AJ138</f>
        <v>172.60854868101214</v>
      </c>
    </row>
    <row r="137" spans="1:13" ht="40.5" customHeight="1" x14ac:dyDescent="0.3">
      <c r="A137" s="41">
        <v>134</v>
      </c>
      <c r="B137" s="110" t="s">
        <v>162</v>
      </c>
      <c r="C137" s="101">
        <v>72121000</v>
      </c>
      <c r="D137" s="102">
        <v>0.112</v>
      </c>
      <c r="E137" s="103">
        <v>3.2500000000000001E-2</v>
      </c>
      <c r="F137" s="104">
        <v>2.1000000000000001E-2</v>
      </c>
      <c r="G137" s="104">
        <v>9.6500000000000002E-2</v>
      </c>
      <c r="H137" s="105">
        <v>0.06</v>
      </c>
      <c r="I137" s="106">
        <v>40</v>
      </c>
      <c r="J137" s="107">
        <v>38.42</v>
      </c>
      <c r="K137" s="108">
        <f t="shared" si="8"/>
        <v>1.8537399202891835E-3</v>
      </c>
      <c r="L137" s="108">
        <f t="shared" si="9"/>
        <v>2.3213547721302092E-2</v>
      </c>
      <c r="M137" s="109">
        <f>'Est. Cust. Naci. 100%'!AJ139</f>
        <v>358.07885746892481</v>
      </c>
    </row>
    <row r="138" spans="1:13" ht="40.5" customHeight="1" x14ac:dyDescent="0.3">
      <c r="A138" s="41">
        <v>135</v>
      </c>
      <c r="B138" s="110" t="s">
        <v>163</v>
      </c>
      <c r="C138" s="101">
        <v>72121000</v>
      </c>
      <c r="D138" s="102">
        <v>0.112</v>
      </c>
      <c r="E138" s="103">
        <v>3.2500000000000001E-2</v>
      </c>
      <c r="F138" s="104">
        <v>2.1000000000000001E-2</v>
      </c>
      <c r="G138" s="104">
        <v>9.6500000000000002E-2</v>
      </c>
      <c r="H138" s="105">
        <v>0.06</v>
      </c>
      <c r="I138" s="106">
        <v>50</v>
      </c>
      <c r="J138" s="107">
        <v>21.28</v>
      </c>
      <c r="K138" s="108">
        <f t="shared" si="8"/>
        <v>2.3171749003614794E-3</v>
      </c>
      <c r="L138" s="108">
        <f t="shared" si="9"/>
        <v>1.6071847199027475E-2</v>
      </c>
      <c r="M138" s="109">
        <f>'Est. Cust. Naci. 100%'!AJ140</f>
        <v>198.33206889481309</v>
      </c>
    </row>
    <row r="139" spans="1:13" ht="40.5" customHeight="1" x14ac:dyDescent="0.3">
      <c r="A139" s="41">
        <v>136</v>
      </c>
      <c r="B139" s="110" t="s">
        <v>164</v>
      </c>
      <c r="C139" s="101">
        <v>72121000</v>
      </c>
      <c r="D139" s="102">
        <v>0.112</v>
      </c>
      <c r="E139" s="103">
        <v>3.2500000000000001E-2</v>
      </c>
      <c r="F139" s="104">
        <v>2.1000000000000001E-2</v>
      </c>
      <c r="G139" s="104">
        <v>9.6500000000000002E-2</v>
      </c>
      <c r="H139" s="105">
        <v>0.06</v>
      </c>
      <c r="I139" s="106">
        <v>15</v>
      </c>
      <c r="J139" s="107">
        <v>20.100000000000001</v>
      </c>
      <c r="K139" s="108">
        <f t="shared" si="8"/>
        <v>6.9515247010844381E-4</v>
      </c>
      <c r="L139" s="108">
        <f t="shared" si="9"/>
        <v>4.5541935437093829E-3</v>
      </c>
      <c r="M139" s="109">
        <f>'Est. Cust. Naci. 100%'!AJ141</f>
        <v>187.33433199181121</v>
      </c>
    </row>
    <row r="140" spans="1:13" ht="40.5" customHeight="1" x14ac:dyDescent="0.3">
      <c r="A140" s="41">
        <v>137</v>
      </c>
      <c r="B140" s="110" t="s">
        <v>54</v>
      </c>
      <c r="C140" s="101">
        <v>72121000</v>
      </c>
      <c r="D140" s="102">
        <v>0.112</v>
      </c>
      <c r="E140" s="103">
        <v>3.2500000000000001E-2</v>
      </c>
      <c r="F140" s="104">
        <v>2.1000000000000001E-2</v>
      </c>
      <c r="G140" s="104">
        <v>9.6500000000000002E-2</v>
      </c>
      <c r="H140" s="105">
        <v>0.06</v>
      </c>
      <c r="I140" s="106">
        <v>1600</v>
      </c>
      <c r="J140" s="107">
        <v>0.86</v>
      </c>
      <c r="K140" s="108">
        <f t="shared" si="8"/>
        <v>7.4149596811567339E-2</v>
      </c>
      <c r="L140" s="108">
        <f t="shared" si="9"/>
        <v>2.0784644497990418E-2</v>
      </c>
      <c r="M140" s="109">
        <f>'Est. Cust. Naci. 100%'!AJ142</f>
        <v>8.0152997767640617</v>
      </c>
    </row>
    <row r="141" spans="1:13" ht="40.5" customHeight="1" x14ac:dyDescent="0.3">
      <c r="A141" s="41">
        <v>138</v>
      </c>
      <c r="B141" s="110" t="s">
        <v>58</v>
      </c>
      <c r="C141" s="101">
        <v>72121000</v>
      </c>
      <c r="D141" s="102">
        <v>0.112</v>
      </c>
      <c r="E141" s="103">
        <v>3.2500000000000001E-2</v>
      </c>
      <c r="F141" s="104">
        <v>2.1000000000000001E-2</v>
      </c>
      <c r="G141" s="104">
        <v>9.6500000000000002E-2</v>
      </c>
      <c r="H141" s="105">
        <v>0.06</v>
      </c>
      <c r="I141" s="106">
        <v>70</v>
      </c>
      <c r="J141" s="107">
        <v>12.47</v>
      </c>
      <c r="K141" s="108">
        <f t="shared" si="8"/>
        <v>3.2440448605060711E-3</v>
      </c>
      <c r="L141" s="108">
        <f t="shared" si="9"/>
        <v>1.3185258853412674E-2</v>
      </c>
      <c r="M141" s="109">
        <f>'Est. Cust. Naci. 100%'!AJ143</f>
        <v>116.22184676307893</v>
      </c>
    </row>
    <row r="142" spans="1:13" ht="40.5" customHeight="1" x14ac:dyDescent="0.3">
      <c r="A142" s="41">
        <v>139</v>
      </c>
      <c r="B142" s="110" t="s">
        <v>53</v>
      </c>
      <c r="C142" s="101">
        <v>72121000</v>
      </c>
      <c r="D142" s="102">
        <v>0.112</v>
      </c>
      <c r="E142" s="103">
        <v>3.2500000000000001E-2</v>
      </c>
      <c r="F142" s="104">
        <v>2.1000000000000001E-2</v>
      </c>
      <c r="G142" s="104">
        <v>9.6500000000000002E-2</v>
      </c>
      <c r="H142" s="105">
        <v>0.06</v>
      </c>
      <c r="I142" s="106">
        <v>10</v>
      </c>
      <c r="J142" s="107">
        <v>12.88</v>
      </c>
      <c r="K142" s="108">
        <f t="shared" si="8"/>
        <v>4.6343498007229587E-4</v>
      </c>
      <c r="L142" s="108">
        <f t="shared" si="9"/>
        <v>1.9455393977770104E-3</v>
      </c>
      <c r="M142" s="109">
        <f>'Est. Cust. Naci. 100%'!AJ144</f>
        <v>120.0430943310711</v>
      </c>
    </row>
    <row r="143" spans="1:13" ht="40.5" customHeight="1" x14ac:dyDescent="0.3">
      <c r="A143" s="41">
        <v>140</v>
      </c>
      <c r="B143" s="110" t="s">
        <v>52</v>
      </c>
      <c r="C143" s="101">
        <v>72121000</v>
      </c>
      <c r="D143" s="102">
        <v>0.112</v>
      </c>
      <c r="E143" s="103">
        <v>3.2500000000000001E-2</v>
      </c>
      <c r="F143" s="104">
        <v>2.1000000000000001E-2</v>
      </c>
      <c r="G143" s="104">
        <v>9.6500000000000002E-2</v>
      </c>
      <c r="H143" s="105">
        <v>0.06</v>
      </c>
      <c r="I143" s="106">
        <v>30</v>
      </c>
      <c r="J143" s="107">
        <v>7.48</v>
      </c>
      <c r="K143" s="108">
        <f t="shared" si="8"/>
        <v>1.3903049402168876E-3</v>
      </c>
      <c r="L143" s="108">
        <f t="shared" si="9"/>
        <v>3.3895888265618097E-3</v>
      </c>
      <c r="M143" s="109">
        <f>'Est. Cust. Naci. 100%'!AJ145</f>
        <v>69.71446782580837</v>
      </c>
    </row>
    <row r="144" spans="1:13" ht="40.5" customHeight="1" x14ac:dyDescent="0.3">
      <c r="A144" s="41">
        <v>141</v>
      </c>
      <c r="B144" s="110" t="s">
        <v>61</v>
      </c>
      <c r="C144" s="101">
        <v>72121000</v>
      </c>
      <c r="D144" s="102">
        <v>0.112</v>
      </c>
      <c r="E144" s="103">
        <v>3.2500000000000001E-2</v>
      </c>
      <c r="F144" s="104">
        <v>2.1000000000000001E-2</v>
      </c>
      <c r="G144" s="104">
        <v>9.6500000000000002E-2</v>
      </c>
      <c r="H144" s="105">
        <v>0.06</v>
      </c>
      <c r="I144" s="106">
        <v>70</v>
      </c>
      <c r="J144" s="107">
        <v>7.57</v>
      </c>
      <c r="K144" s="108">
        <f t="shared" si="8"/>
        <v>3.2440448605060711E-3</v>
      </c>
      <c r="L144" s="108">
        <f t="shared" si="9"/>
        <v>8.0042028484630257E-3</v>
      </c>
      <c r="M144" s="109">
        <f>'Est. Cust. Naci. 100%'!AJ146</f>
        <v>70.553278267562732</v>
      </c>
    </row>
    <row r="145" spans="1:13" ht="40.5" customHeight="1" x14ac:dyDescent="0.3">
      <c r="A145" s="41">
        <v>142</v>
      </c>
      <c r="B145" s="110" t="s">
        <v>165</v>
      </c>
      <c r="C145" s="101">
        <v>72121000</v>
      </c>
      <c r="D145" s="102">
        <v>0.112</v>
      </c>
      <c r="E145" s="103">
        <v>3.2500000000000001E-2</v>
      </c>
      <c r="F145" s="104">
        <v>2.1000000000000001E-2</v>
      </c>
      <c r="G145" s="104">
        <v>9.6500000000000002E-2</v>
      </c>
      <c r="H145" s="105">
        <v>0.06</v>
      </c>
      <c r="I145" s="106">
        <v>80</v>
      </c>
      <c r="J145" s="107">
        <v>4.4000000000000004</v>
      </c>
      <c r="K145" s="108">
        <f t="shared" si="8"/>
        <v>3.707479840578367E-3</v>
      </c>
      <c r="L145" s="108">
        <f t="shared" si="9"/>
        <v>5.3170020808812699E-3</v>
      </c>
      <c r="M145" s="109">
        <f>'Est. Cust. Naci. 100%'!AJ147</f>
        <v>41.008510485769627</v>
      </c>
    </row>
    <row r="146" spans="1:13" ht="40.5" customHeight="1" x14ac:dyDescent="0.3">
      <c r="A146" s="41">
        <v>143</v>
      </c>
      <c r="B146" s="110" t="s">
        <v>60</v>
      </c>
      <c r="C146" s="101">
        <v>72121000</v>
      </c>
      <c r="D146" s="102">
        <v>0.112</v>
      </c>
      <c r="E146" s="103">
        <v>3.2500000000000001E-2</v>
      </c>
      <c r="F146" s="104">
        <v>2.1000000000000001E-2</v>
      </c>
      <c r="G146" s="104">
        <v>9.6500000000000002E-2</v>
      </c>
      <c r="H146" s="105">
        <v>0.06</v>
      </c>
      <c r="I146" s="106">
        <v>90</v>
      </c>
      <c r="J146" s="107">
        <v>4.4000000000000004</v>
      </c>
      <c r="K146" s="108">
        <f t="shared" si="8"/>
        <v>4.1709148206506624E-3</v>
      </c>
      <c r="L146" s="108">
        <f t="shared" si="9"/>
        <v>5.9816273409914293E-3</v>
      </c>
      <c r="M146" s="109">
        <f>'Est. Cust. Naci. 100%'!AJ148</f>
        <v>41.008510485769627</v>
      </c>
    </row>
    <row r="147" spans="1:13" ht="40.5" customHeight="1" x14ac:dyDescent="0.3">
      <c r="A147" s="41">
        <v>144</v>
      </c>
      <c r="B147" s="110" t="s">
        <v>59</v>
      </c>
      <c r="C147" s="101">
        <v>72121000</v>
      </c>
      <c r="D147" s="102">
        <v>0.112</v>
      </c>
      <c r="E147" s="103">
        <v>3.2500000000000001E-2</v>
      </c>
      <c r="F147" s="104">
        <v>2.1000000000000001E-2</v>
      </c>
      <c r="G147" s="104">
        <v>9.6500000000000002E-2</v>
      </c>
      <c r="H147" s="105">
        <v>0.06</v>
      </c>
      <c r="I147" s="106">
        <v>110</v>
      </c>
      <c r="J147" s="107">
        <v>0.42</v>
      </c>
      <c r="K147" s="108">
        <f t="shared" si="8"/>
        <v>5.0977847807952541E-3</v>
      </c>
      <c r="L147" s="108">
        <f t="shared" si="9"/>
        <v>6.9785652311566662E-4</v>
      </c>
      <c r="M147" s="109">
        <f>'Est. Cust. Naci. 100%'!AJ149</f>
        <v>3.9144487281871001</v>
      </c>
    </row>
    <row r="148" spans="1:13" ht="40.5" customHeight="1" x14ac:dyDescent="0.3">
      <c r="A148" s="41">
        <v>145</v>
      </c>
      <c r="B148" s="110" t="s">
        <v>70</v>
      </c>
      <c r="C148" s="101">
        <v>72121000</v>
      </c>
      <c r="D148" s="102">
        <v>0.112</v>
      </c>
      <c r="E148" s="103">
        <v>3.2500000000000001E-2</v>
      </c>
      <c r="F148" s="104">
        <v>2.1000000000000001E-2</v>
      </c>
      <c r="G148" s="104">
        <v>9.6500000000000002E-2</v>
      </c>
      <c r="H148" s="105">
        <v>0.06</v>
      </c>
      <c r="I148" s="106">
        <v>60</v>
      </c>
      <c r="J148" s="107">
        <v>5.01</v>
      </c>
      <c r="K148" s="108">
        <f t="shared" si="8"/>
        <v>2.7806098804337752E-3</v>
      </c>
      <c r="L148" s="108">
        <f t="shared" si="9"/>
        <v>4.54059893611622E-3</v>
      </c>
      <c r="M148" s="109">
        <f>'Est. Cust. Naci. 100%'!AJ150</f>
        <v>46.693781257660405</v>
      </c>
    </row>
    <row r="149" spans="1:13" ht="40.5" customHeight="1" x14ac:dyDescent="0.3">
      <c r="A149" s="41">
        <v>146</v>
      </c>
      <c r="B149" s="110" t="s">
        <v>166</v>
      </c>
      <c r="C149" s="101">
        <v>72121000</v>
      </c>
      <c r="D149" s="102">
        <v>0.112</v>
      </c>
      <c r="E149" s="103">
        <v>3.2500000000000001E-2</v>
      </c>
      <c r="F149" s="104">
        <v>2.1000000000000001E-2</v>
      </c>
      <c r="G149" s="104">
        <v>9.6500000000000002E-2</v>
      </c>
      <c r="H149" s="105">
        <v>0.06</v>
      </c>
      <c r="I149" s="106">
        <v>20</v>
      </c>
      <c r="J149" s="107">
        <v>8.3800000000000008</v>
      </c>
      <c r="K149" s="108">
        <f t="shared" si="8"/>
        <v>9.2686996014459174E-4</v>
      </c>
      <c r="L149" s="108">
        <f t="shared" si="9"/>
        <v>2.5316180362377869E-3</v>
      </c>
      <c r="M149" s="109">
        <f>'Est. Cust. Naci. 100%'!AJ151</f>
        <v>78.102572243352157</v>
      </c>
    </row>
    <row r="150" spans="1:13" ht="40.5" customHeight="1" x14ac:dyDescent="0.3">
      <c r="A150" s="41">
        <v>147</v>
      </c>
      <c r="B150" s="110" t="s">
        <v>72</v>
      </c>
      <c r="C150" s="101">
        <v>72121000</v>
      </c>
      <c r="D150" s="102">
        <v>0.112</v>
      </c>
      <c r="E150" s="103">
        <v>3.2500000000000001E-2</v>
      </c>
      <c r="F150" s="104">
        <v>2.1000000000000001E-2</v>
      </c>
      <c r="G150" s="104">
        <v>9.6500000000000002E-2</v>
      </c>
      <c r="H150" s="105">
        <v>0.06</v>
      </c>
      <c r="I150" s="106">
        <v>120</v>
      </c>
      <c r="J150" s="107">
        <v>0.47</v>
      </c>
      <c r="K150" s="108">
        <f t="shared" si="8"/>
        <v>5.5612197608675504E-3</v>
      </c>
      <c r="L150" s="108">
        <f t="shared" si="9"/>
        <v>8.5192874250483979E-4</v>
      </c>
      <c r="M150" s="109">
        <f>'Est. Cust. Naci. 100%'!AJ152</f>
        <v>4.3804545291617547</v>
      </c>
    </row>
    <row r="151" spans="1:13" ht="40.5" customHeight="1" x14ac:dyDescent="0.3">
      <c r="A151" s="41">
        <v>148</v>
      </c>
      <c r="B151" s="110" t="s">
        <v>100</v>
      </c>
      <c r="C151" s="101">
        <v>72121000</v>
      </c>
      <c r="D151" s="102">
        <v>0.112</v>
      </c>
      <c r="E151" s="103">
        <v>3.2500000000000001E-2</v>
      </c>
      <c r="F151" s="104">
        <v>2.1000000000000001E-2</v>
      </c>
      <c r="G151" s="104">
        <v>9.6500000000000002E-2</v>
      </c>
      <c r="H151" s="105">
        <v>0.06</v>
      </c>
      <c r="I151" s="106">
        <v>30</v>
      </c>
      <c r="J151" s="107">
        <v>8.7899999999999991</v>
      </c>
      <c r="K151" s="108">
        <f t="shared" si="8"/>
        <v>1.3903049402168876E-3</v>
      </c>
      <c r="L151" s="108">
        <f t="shared" si="9"/>
        <v>3.983220024796565E-3</v>
      </c>
      <c r="M151" s="109">
        <f>'Est. Cust. Naci. 100%'!AJ153</f>
        <v>81.92381981134433</v>
      </c>
    </row>
    <row r="152" spans="1:13" ht="40.5" customHeight="1" x14ac:dyDescent="0.3">
      <c r="A152" s="41">
        <v>149</v>
      </c>
      <c r="B152" s="110" t="s">
        <v>101</v>
      </c>
      <c r="C152" s="101">
        <v>72121000</v>
      </c>
      <c r="D152" s="102">
        <v>0.112</v>
      </c>
      <c r="E152" s="103">
        <v>3.2500000000000001E-2</v>
      </c>
      <c r="F152" s="104">
        <v>2.1000000000000001E-2</v>
      </c>
      <c r="G152" s="104">
        <v>9.6500000000000002E-2</v>
      </c>
      <c r="H152" s="105">
        <v>0.06</v>
      </c>
      <c r="I152" s="106">
        <v>30</v>
      </c>
      <c r="J152" s="107">
        <v>2.6</v>
      </c>
      <c r="K152" s="108">
        <f t="shared" si="8"/>
        <v>1.3903049402168876E-3</v>
      </c>
      <c r="L152" s="108">
        <f t="shared" si="9"/>
        <v>1.178199324740736E-3</v>
      </c>
      <c r="M152" s="109">
        <f>'Est. Cust. Naci. 100%'!AJ154</f>
        <v>24.23230165068205</v>
      </c>
    </row>
    <row r="153" spans="1:13" ht="40.5" customHeight="1" x14ac:dyDescent="0.3">
      <c r="A153" s="41">
        <v>150</v>
      </c>
      <c r="B153" s="110" t="s">
        <v>102</v>
      </c>
      <c r="C153" s="101">
        <v>72121000</v>
      </c>
      <c r="D153" s="102">
        <v>0.112</v>
      </c>
      <c r="E153" s="103">
        <v>3.2500000000000001E-2</v>
      </c>
      <c r="F153" s="104">
        <v>2.1000000000000001E-2</v>
      </c>
      <c r="G153" s="104">
        <v>9.6500000000000002E-2</v>
      </c>
      <c r="H153" s="105">
        <v>0.06</v>
      </c>
      <c r="I153" s="106">
        <v>50</v>
      </c>
      <c r="J153" s="107">
        <v>1.1200000000000001</v>
      </c>
      <c r="K153" s="108">
        <f t="shared" si="8"/>
        <v>2.3171749003614794E-3</v>
      </c>
      <c r="L153" s="108">
        <f t="shared" si="9"/>
        <v>8.4588669468565667E-4</v>
      </c>
      <c r="M153" s="109">
        <f>'Est. Cust. Naci. 100%'!AJ155</f>
        <v>10.438529941832268</v>
      </c>
    </row>
    <row r="154" spans="1:13" ht="40.5" customHeight="1" x14ac:dyDescent="0.3">
      <c r="A154" s="41">
        <v>151</v>
      </c>
      <c r="B154" s="110" t="s">
        <v>103</v>
      </c>
      <c r="C154" s="101">
        <v>72121000</v>
      </c>
      <c r="D154" s="102">
        <v>0.112</v>
      </c>
      <c r="E154" s="103">
        <v>3.2500000000000001E-2</v>
      </c>
      <c r="F154" s="104">
        <v>2.1000000000000001E-2</v>
      </c>
      <c r="G154" s="104">
        <v>9.6500000000000002E-2</v>
      </c>
      <c r="H154" s="105">
        <v>0.06</v>
      </c>
      <c r="I154" s="106">
        <v>60</v>
      </c>
      <c r="J154" s="107">
        <v>0.92</v>
      </c>
      <c r="K154" s="108">
        <f t="shared" si="8"/>
        <v>2.7806098804337752E-3</v>
      </c>
      <c r="L154" s="108">
        <f t="shared" si="9"/>
        <v>8.338025990472901E-4</v>
      </c>
      <c r="M154" s="109">
        <f>'Est. Cust. Naci. 100%'!AJ156</f>
        <v>8.5745067379336515</v>
      </c>
    </row>
    <row r="155" spans="1:13" ht="40.5" customHeight="1" x14ac:dyDescent="0.3">
      <c r="A155" s="41">
        <v>152</v>
      </c>
      <c r="B155" s="110" t="s">
        <v>76</v>
      </c>
      <c r="C155" s="101">
        <v>72121000</v>
      </c>
      <c r="D155" s="102">
        <v>0.112</v>
      </c>
      <c r="E155" s="103">
        <v>3.2500000000000001E-2</v>
      </c>
      <c r="F155" s="104">
        <v>2.1000000000000001E-2</v>
      </c>
      <c r="G155" s="104">
        <v>9.6500000000000002E-2</v>
      </c>
      <c r="H155" s="105">
        <v>0.06</v>
      </c>
      <c r="I155" s="106">
        <v>145</v>
      </c>
      <c r="J155" s="107">
        <v>7.1</v>
      </c>
      <c r="K155" s="108">
        <f t="shared" si="8"/>
        <v>6.7198072110482903E-3</v>
      </c>
      <c r="L155" s="108">
        <f t="shared" si="9"/>
        <v>1.5550720574622919E-2</v>
      </c>
      <c r="M155" s="109">
        <f>'Est. Cust. Naci. 100%'!AJ157</f>
        <v>66.172823738400979</v>
      </c>
    </row>
    <row r="156" spans="1:13" ht="40.5" customHeight="1" x14ac:dyDescent="0.3">
      <c r="A156" s="41">
        <v>153</v>
      </c>
      <c r="B156" s="110" t="s">
        <v>77</v>
      </c>
      <c r="C156" s="101">
        <v>72121000</v>
      </c>
      <c r="D156" s="102">
        <v>0.112</v>
      </c>
      <c r="E156" s="103">
        <v>3.2500000000000001E-2</v>
      </c>
      <c r="F156" s="104">
        <v>2.1000000000000001E-2</v>
      </c>
      <c r="G156" s="104">
        <v>9.6500000000000002E-2</v>
      </c>
      <c r="H156" s="105">
        <v>0.06</v>
      </c>
      <c r="I156" s="106">
        <v>260</v>
      </c>
      <c r="J156" s="107">
        <v>9.5399999999999991</v>
      </c>
      <c r="K156" s="108">
        <f t="shared" si="8"/>
        <v>1.2049309481879692E-2</v>
      </c>
      <c r="L156" s="108">
        <f t="shared" si="9"/>
        <v>3.7466738526755396E-2</v>
      </c>
      <c r="M156" s="109">
        <f>'Est. Cust. Naci. 100%'!AJ158</f>
        <v>88.913906825964148</v>
      </c>
    </row>
    <row r="157" spans="1:13" ht="40.5" customHeight="1" x14ac:dyDescent="0.3">
      <c r="A157" s="41">
        <v>154</v>
      </c>
      <c r="B157" s="110" t="s">
        <v>78</v>
      </c>
      <c r="C157" s="101">
        <v>72121000</v>
      </c>
      <c r="D157" s="102">
        <v>0.112</v>
      </c>
      <c r="E157" s="103">
        <v>3.2500000000000001E-2</v>
      </c>
      <c r="F157" s="104">
        <v>2.1000000000000001E-2</v>
      </c>
      <c r="G157" s="104">
        <v>9.6500000000000002E-2</v>
      </c>
      <c r="H157" s="105">
        <v>0.06</v>
      </c>
      <c r="I157" s="106">
        <v>50</v>
      </c>
      <c r="J157" s="107">
        <v>15.63</v>
      </c>
      <c r="K157" s="108">
        <f t="shared" si="8"/>
        <v>2.3171749003614794E-3</v>
      </c>
      <c r="L157" s="108">
        <f t="shared" si="9"/>
        <v>1.1804650926729297E-2</v>
      </c>
      <c r="M157" s="109">
        <f>'Est. Cust. Naci. 100%'!AJ159</f>
        <v>145.6734133846771</v>
      </c>
    </row>
    <row r="158" spans="1:13" ht="40.5" customHeight="1" x14ac:dyDescent="0.3">
      <c r="A158" s="41">
        <v>155</v>
      </c>
      <c r="B158" s="110" t="s">
        <v>62</v>
      </c>
      <c r="C158" s="101">
        <v>72121000</v>
      </c>
      <c r="D158" s="102">
        <v>0.112</v>
      </c>
      <c r="E158" s="103">
        <v>3.2500000000000001E-2</v>
      </c>
      <c r="F158" s="104">
        <v>2.1000000000000001E-2</v>
      </c>
      <c r="G158" s="104">
        <v>9.6500000000000002E-2</v>
      </c>
      <c r="H158" s="105">
        <v>0.06</v>
      </c>
      <c r="I158" s="106">
        <v>550</v>
      </c>
      <c r="J158" s="107">
        <v>0.2</v>
      </c>
      <c r="K158" s="108">
        <f t="shared" si="8"/>
        <v>2.5488923903976272E-2</v>
      </c>
      <c r="L158" s="108">
        <f t="shared" si="9"/>
        <v>1.661563150275397E-3</v>
      </c>
      <c r="M158" s="109">
        <f>'Est. Cust. Naci. 100%'!AJ160</f>
        <v>1.8640232038986191</v>
      </c>
    </row>
    <row r="159" spans="1:13" ht="40.5" customHeight="1" x14ac:dyDescent="0.3">
      <c r="A159" s="41">
        <v>156</v>
      </c>
      <c r="B159" s="110" t="s">
        <v>75</v>
      </c>
      <c r="C159" s="101">
        <v>72121000</v>
      </c>
      <c r="D159" s="102">
        <v>0.112</v>
      </c>
      <c r="E159" s="103">
        <v>3.2500000000000001E-2</v>
      </c>
      <c r="F159" s="104">
        <v>2.1000000000000001E-2</v>
      </c>
      <c r="G159" s="104">
        <v>9.6500000000000002E-2</v>
      </c>
      <c r="H159" s="105">
        <v>0.06</v>
      </c>
      <c r="I159" s="106">
        <v>55</v>
      </c>
      <c r="J159" s="107">
        <v>3.86</v>
      </c>
      <c r="K159" s="108">
        <f t="shared" si="8"/>
        <v>2.5488923903976271E-3</v>
      </c>
      <c r="L159" s="108">
        <f t="shared" si="9"/>
        <v>3.2068168800315159E-3</v>
      </c>
      <c r="M159" s="109">
        <f>'Est. Cust. Naci. 100%'!AJ161</f>
        <v>35.975647835243343</v>
      </c>
    </row>
    <row r="160" spans="1:13" ht="40.5" customHeight="1" x14ac:dyDescent="0.3">
      <c r="A160" s="41">
        <v>157</v>
      </c>
      <c r="B160" s="110" t="s">
        <v>90</v>
      </c>
      <c r="C160" s="101">
        <v>72121000</v>
      </c>
      <c r="D160" s="102">
        <v>0.112</v>
      </c>
      <c r="E160" s="103">
        <v>3.2500000000000001E-2</v>
      </c>
      <c r="F160" s="104">
        <v>2.1000000000000001E-2</v>
      </c>
      <c r="G160" s="104">
        <v>9.6500000000000002E-2</v>
      </c>
      <c r="H160" s="105">
        <v>0.06</v>
      </c>
      <c r="I160" s="106">
        <v>140</v>
      </c>
      <c r="J160" s="107">
        <v>1.42</v>
      </c>
      <c r="K160" s="108">
        <f t="shared" si="8"/>
        <v>6.4880897210121422E-3</v>
      </c>
      <c r="L160" s="108">
        <f t="shared" si="9"/>
        <v>3.0028977661340807E-3</v>
      </c>
      <c r="M160" s="109">
        <f>'Est. Cust. Naci. 100%'!AJ162</f>
        <v>13.234564747680196</v>
      </c>
    </row>
    <row r="161" spans="1:13" ht="40.5" customHeight="1" x14ac:dyDescent="0.3">
      <c r="A161" s="41">
        <v>158</v>
      </c>
      <c r="B161" s="110" t="s">
        <v>91</v>
      </c>
      <c r="C161" s="101">
        <v>72121000</v>
      </c>
      <c r="D161" s="102">
        <v>0.112</v>
      </c>
      <c r="E161" s="103">
        <v>3.2500000000000001E-2</v>
      </c>
      <c r="F161" s="104">
        <v>2.1000000000000001E-2</v>
      </c>
      <c r="G161" s="104">
        <v>9.6500000000000002E-2</v>
      </c>
      <c r="H161" s="105">
        <v>0.06</v>
      </c>
      <c r="I161" s="106">
        <v>40</v>
      </c>
      <c r="J161" s="107">
        <v>9.94</v>
      </c>
      <c r="K161" s="108">
        <f t="shared" si="8"/>
        <v>1.8537399202891835E-3</v>
      </c>
      <c r="L161" s="108">
        <f t="shared" si="9"/>
        <v>6.0057955322681614E-3</v>
      </c>
      <c r="M161" s="109">
        <f>'Est. Cust. Naci. 100%'!AJ163</f>
        <v>92.64195323376137</v>
      </c>
    </row>
    <row r="162" spans="1:13" ht="40.5" customHeight="1" x14ac:dyDescent="0.3">
      <c r="A162" s="41">
        <v>159</v>
      </c>
      <c r="B162" s="110" t="s">
        <v>92</v>
      </c>
      <c r="C162" s="101">
        <v>72121000</v>
      </c>
      <c r="D162" s="102">
        <v>0.112</v>
      </c>
      <c r="E162" s="103">
        <v>3.2500000000000001E-2</v>
      </c>
      <c r="F162" s="104">
        <v>2.1000000000000001E-2</v>
      </c>
      <c r="G162" s="104">
        <v>9.6500000000000002E-2</v>
      </c>
      <c r="H162" s="105">
        <v>0.06</v>
      </c>
      <c r="I162" s="106">
        <v>60</v>
      </c>
      <c r="J162" s="107">
        <v>17.86</v>
      </c>
      <c r="K162" s="108">
        <f t="shared" si="8"/>
        <v>2.7806098804337752E-3</v>
      </c>
      <c r="L162" s="108">
        <f t="shared" si="9"/>
        <v>1.6186646107591955E-2</v>
      </c>
      <c r="M162" s="109">
        <f>'Est. Cust. Naci. 100%'!AJ164</f>
        <v>166.4572721081467</v>
      </c>
    </row>
    <row r="163" spans="1:13" ht="40.5" customHeight="1" x14ac:dyDescent="0.3">
      <c r="A163" s="41">
        <v>160</v>
      </c>
      <c r="B163" s="110" t="s">
        <v>93</v>
      </c>
      <c r="C163" s="101">
        <v>72121000</v>
      </c>
      <c r="D163" s="102">
        <v>0.112</v>
      </c>
      <c r="E163" s="103">
        <v>3.2500000000000001E-2</v>
      </c>
      <c r="F163" s="104">
        <v>2.1000000000000001E-2</v>
      </c>
      <c r="G163" s="104">
        <v>9.6500000000000002E-2</v>
      </c>
      <c r="H163" s="105">
        <v>0.06</v>
      </c>
      <c r="I163" s="106">
        <v>30</v>
      </c>
      <c r="J163" s="107">
        <v>29.42</v>
      </c>
      <c r="K163" s="108">
        <f t="shared" si="8"/>
        <v>1.3903049402168876E-3</v>
      </c>
      <c r="L163" s="108">
        <f t="shared" si="9"/>
        <v>1.3331778513027866E-2</v>
      </c>
      <c r="M163" s="109">
        <f>'Est. Cust. Naci. 100%'!AJ165</f>
        <v>274.19781329348683</v>
      </c>
    </row>
    <row r="164" spans="1:13" ht="40.5" customHeight="1" x14ac:dyDescent="0.3">
      <c r="A164" s="41">
        <v>161</v>
      </c>
      <c r="B164" s="110" t="s">
        <v>167</v>
      </c>
      <c r="C164" s="101">
        <v>72121000</v>
      </c>
      <c r="D164" s="102">
        <v>0.112</v>
      </c>
      <c r="E164" s="103">
        <v>3.2500000000000001E-2</v>
      </c>
      <c r="F164" s="104">
        <v>2.1000000000000001E-2</v>
      </c>
      <c r="G164" s="104">
        <v>9.6500000000000002E-2</v>
      </c>
      <c r="H164" s="105">
        <v>0.06</v>
      </c>
      <c r="I164" s="106">
        <v>50</v>
      </c>
      <c r="J164" s="107">
        <v>1.48</v>
      </c>
      <c r="K164" s="108">
        <f t="shared" si="8"/>
        <v>2.3171749003614794E-3</v>
      </c>
      <c r="L164" s="108">
        <f t="shared" si="9"/>
        <v>1.1177788465489033E-3</v>
      </c>
      <c r="M164" s="109">
        <f>'Est. Cust. Naci. 100%'!AJ166</f>
        <v>13.793771708849782</v>
      </c>
    </row>
    <row r="165" spans="1:13" ht="40.5" customHeight="1" x14ac:dyDescent="0.3">
      <c r="A165" s="41">
        <v>162</v>
      </c>
      <c r="B165" s="110" t="s">
        <v>168</v>
      </c>
      <c r="C165" s="101">
        <v>72121000</v>
      </c>
      <c r="D165" s="102">
        <v>0.112</v>
      </c>
      <c r="E165" s="103">
        <v>3.2500000000000001E-2</v>
      </c>
      <c r="F165" s="104">
        <v>2.1000000000000001E-2</v>
      </c>
      <c r="G165" s="104">
        <v>9.6500000000000002E-2</v>
      </c>
      <c r="H165" s="105">
        <v>0.06</v>
      </c>
      <c r="I165" s="106">
        <v>300</v>
      </c>
      <c r="J165" s="107">
        <v>1.08</v>
      </c>
      <c r="K165" s="108">
        <f t="shared" si="8"/>
        <v>1.3903049402168875E-2</v>
      </c>
      <c r="L165" s="108">
        <f t="shared" si="9"/>
        <v>4.8940587335384415E-3</v>
      </c>
      <c r="M165" s="109">
        <f>'Est. Cust. Naci. 100%'!AJ167</f>
        <v>10.065725301052543</v>
      </c>
    </row>
  </sheetData>
  <pageMargins left="0.51180555555555596" right="0.51180555555555596" top="0.78749999999999998" bottom="0.78749999999999998" header="0.511811023622047" footer="0.511811023622047"/>
  <pageSetup paperSize="9" scale="37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68"/>
  <sheetViews>
    <sheetView topLeftCell="A169" zoomScale="92" zoomScaleNormal="92" workbookViewId="0">
      <pane xSplit="6" topLeftCell="G1" activePane="topRight" state="frozen"/>
      <selection activeCell="A169" sqref="A169"/>
      <selection pane="topRight" activeCell="D197" sqref="D197"/>
    </sheetView>
  </sheetViews>
  <sheetFormatPr defaultColWidth="8.6640625" defaultRowHeight="14.25" customHeight="1" x14ac:dyDescent="0.3"/>
  <cols>
    <col min="1" max="1" width="9.109375" hidden="1" customWidth="1"/>
    <col min="2" max="2" width="62.88671875" customWidth="1"/>
    <col min="3" max="3" width="11" customWidth="1"/>
    <col min="4" max="4" width="20.33203125" customWidth="1"/>
    <col min="6" max="6" width="10.77734375" customWidth="1"/>
    <col min="7" max="7" width="12" customWidth="1"/>
    <col min="8" max="8" width="16.33203125" customWidth="1"/>
    <col min="9" max="9" width="17.5546875" customWidth="1"/>
    <col min="10" max="10" width="15.6640625" customWidth="1"/>
    <col min="11" max="11" width="20.109375" customWidth="1"/>
    <col min="12" max="12" width="18.33203125" customWidth="1"/>
    <col min="13" max="13" width="25.6640625" customWidth="1"/>
    <col min="14" max="14" width="20" customWidth="1"/>
    <col min="15" max="15" width="24.5546875" customWidth="1"/>
    <col min="16" max="16" width="17.44140625" customWidth="1"/>
    <col min="17" max="17" width="20.109375" customWidth="1"/>
    <col min="18" max="18" width="21.44140625" customWidth="1"/>
    <col min="19" max="19" width="17.44140625" customWidth="1"/>
    <col min="20" max="20" width="20.33203125" customWidth="1"/>
    <col min="21" max="21" width="18" customWidth="1"/>
    <col min="22" max="22" width="15.5546875" customWidth="1"/>
    <col min="23" max="23" width="18.33203125" customWidth="1"/>
    <col min="24" max="24" width="21.44140625" customWidth="1"/>
    <col min="25" max="25" width="20.5546875" customWidth="1"/>
    <col min="26" max="26" width="22.6640625" customWidth="1"/>
    <col min="27" max="27" width="17.6640625" customWidth="1"/>
    <col min="28" max="28" width="19.88671875" customWidth="1"/>
    <col min="29" max="29" width="26.109375" customWidth="1"/>
    <col min="30" max="30" width="20.109375" customWidth="1"/>
    <col min="31" max="32" width="16.6640625" customWidth="1"/>
    <col min="33" max="33" width="17.6640625" customWidth="1"/>
    <col min="34" max="34" width="18.33203125" customWidth="1"/>
    <col min="35" max="35" width="20" customWidth="1"/>
    <col min="36" max="36" width="24.6640625" customWidth="1"/>
    <col min="37" max="37" width="13.109375" customWidth="1"/>
    <col min="38" max="38" width="15" customWidth="1"/>
  </cols>
  <sheetData>
    <row r="1" spans="1:38" ht="14.4" x14ac:dyDescent="0.3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</row>
    <row r="2" spans="1:38" ht="14.25" customHeight="1" x14ac:dyDescent="0.3">
      <c r="A2" s="112"/>
      <c r="B2" s="169" t="s">
        <v>169</v>
      </c>
      <c r="C2" s="169"/>
      <c r="D2" s="169"/>
      <c r="E2" s="169"/>
      <c r="F2" s="169"/>
      <c r="G2" s="169"/>
      <c r="H2" s="170" t="s">
        <v>170</v>
      </c>
      <c r="I2" s="170"/>
      <c r="J2" s="170"/>
      <c r="K2" s="170"/>
      <c r="L2" s="171" t="s">
        <v>22</v>
      </c>
      <c r="M2" s="171"/>
      <c r="N2" s="171"/>
      <c r="O2" s="171"/>
      <c r="P2" s="171"/>
      <c r="Q2" s="171"/>
      <c r="R2" s="172" t="s">
        <v>171</v>
      </c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12"/>
    </row>
    <row r="3" spans="1:38" ht="42.75" customHeight="1" x14ac:dyDescent="0.3">
      <c r="A3" s="113"/>
      <c r="B3" s="114" t="s">
        <v>172</v>
      </c>
      <c r="C3" s="114" t="s">
        <v>42</v>
      </c>
      <c r="D3" s="115" t="s">
        <v>173</v>
      </c>
      <c r="E3" s="116" t="s">
        <v>174</v>
      </c>
      <c r="F3" s="117" t="s">
        <v>175</v>
      </c>
      <c r="G3" s="118" t="s">
        <v>176</v>
      </c>
      <c r="H3" s="119" t="s">
        <v>177</v>
      </c>
      <c r="I3" s="119" t="s">
        <v>178</v>
      </c>
      <c r="J3" s="119" t="s">
        <v>21</v>
      </c>
      <c r="K3" s="119" t="s">
        <v>179</v>
      </c>
      <c r="L3" s="120" t="s">
        <v>180</v>
      </c>
      <c r="M3" s="121" t="s">
        <v>44</v>
      </c>
      <c r="N3" s="121" t="s">
        <v>45</v>
      </c>
      <c r="O3" s="121" t="s">
        <v>46</v>
      </c>
      <c r="P3" s="121" t="s">
        <v>29</v>
      </c>
      <c r="Q3" s="120" t="s">
        <v>181</v>
      </c>
      <c r="R3" s="122" t="s">
        <v>182</v>
      </c>
      <c r="S3" s="122" t="s">
        <v>183</v>
      </c>
      <c r="T3" s="122" t="s">
        <v>184</v>
      </c>
      <c r="U3" s="122" t="s">
        <v>185</v>
      </c>
      <c r="V3" s="122" t="s">
        <v>186</v>
      </c>
      <c r="W3" s="122" t="s">
        <v>187</v>
      </c>
      <c r="X3" s="122" t="s">
        <v>188</v>
      </c>
      <c r="Y3" s="122" t="s">
        <v>189</v>
      </c>
      <c r="Z3" s="122" t="s">
        <v>190</v>
      </c>
      <c r="AA3" s="122" t="s">
        <v>191</v>
      </c>
      <c r="AB3" s="122" t="s">
        <v>192</v>
      </c>
      <c r="AC3" s="122" t="s">
        <v>193</v>
      </c>
      <c r="AD3" s="122" t="s">
        <v>194</v>
      </c>
      <c r="AE3" s="122" t="s">
        <v>195</v>
      </c>
      <c r="AF3" s="122" t="s">
        <v>196</v>
      </c>
      <c r="AG3" s="122" t="s">
        <v>197</v>
      </c>
      <c r="AH3" s="122" t="s">
        <v>198</v>
      </c>
      <c r="AI3" s="123" t="s">
        <v>199</v>
      </c>
      <c r="AJ3" s="124" t="s">
        <v>200</v>
      </c>
      <c r="AK3" s="88"/>
      <c r="AL3" s="22"/>
    </row>
    <row r="4" spans="1:38" ht="18" customHeight="1" x14ac:dyDescent="0.3">
      <c r="A4" s="113" t="s">
        <v>201</v>
      </c>
      <c r="B4" s="125"/>
      <c r="C4" s="125"/>
      <c r="D4" s="126"/>
      <c r="E4" s="127"/>
      <c r="F4" s="128"/>
      <c r="G4" s="129"/>
      <c r="H4" s="130">
        <f>'Rateio Custos Fixos'!B169</f>
        <v>5.14</v>
      </c>
      <c r="I4" s="131">
        <f>'Rateio Custos Fixos'!G170</f>
        <v>96520</v>
      </c>
      <c r="J4" s="132">
        <f>SUM(J5:J167)</f>
        <v>436801.98079999984</v>
      </c>
      <c r="K4" s="132"/>
      <c r="L4" s="133">
        <f>SUM(L6:L167)</f>
        <v>48921.821849600004</v>
      </c>
      <c r="M4" s="133">
        <f>SUM(M6:M167)</f>
        <v>15786.023586112005</v>
      </c>
      <c r="N4" s="133">
        <f>SUM(N6:N167)</f>
        <v>10200.1998556416</v>
      </c>
      <c r="O4" s="133">
        <f>SUM(O6:O167)</f>
        <v>46872.3469556864</v>
      </c>
      <c r="P4" s="134">
        <f>SUM(P6:P167)</f>
        <v>29143.428158976007</v>
      </c>
      <c r="Q4" s="135">
        <f>SUM(L4:P4)</f>
        <v>150923.82040601602</v>
      </c>
      <c r="R4" s="136">
        <f t="shared" ref="R4:Y4" si="0">SUM(R6:R167)</f>
        <v>350.00000000000006</v>
      </c>
      <c r="S4" s="136">
        <f t="shared" si="0"/>
        <v>1100.0000000000005</v>
      </c>
      <c r="T4" s="136">
        <f t="shared" si="0"/>
        <v>1499.9999999999998</v>
      </c>
      <c r="U4" s="136">
        <f t="shared" si="0"/>
        <v>100.00000000000004</v>
      </c>
      <c r="V4" s="136">
        <f t="shared" si="0"/>
        <v>180.00000000000003</v>
      </c>
      <c r="W4" s="136">
        <f t="shared" si="0"/>
        <v>490.00000000000011</v>
      </c>
      <c r="X4" s="136">
        <f t="shared" si="0"/>
        <v>1059.9999999999998</v>
      </c>
      <c r="Y4" s="136">
        <f t="shared" si="0"/>
        <v>366.00000000000017</v>
      </c>
      <c r="Z4" s="137">
        <v>0.08</v>
      </c>
      <c r="AA4" s="136">
        <f t="shared" ref="AA4:AG4" si="1">SUM(AA6:AA167)</f>
        <v>1499.9999999999998</v>
      </c>
      <c r="AB4" s="136">
        <f t="shared" si="1"/>
        <v>299.99999999999983</v>
      </c>
      <c r="AC4" s="136">
        <f t="shared" si="1"/>
        <v>320.33000000000015</v>
      </c>
      <c r="AD4" s="136">
        <f t="shared" si="1"/>
        <v>200.00000000000009</v>
      </c>
      <c r="AE4" s="136">
        <f t="shared" si="1"/>
        <v>4500.0000000000009</v>
      </c>
      <c r="AF4" s="136">
        <f t="shared" si="1"/>
        <v>8303.3000000000011</v>
      </c>
      <c r="AG4" s="136">
        <f t="shared" si="1"/>
        <v>1300</v>
      </c>
      <c r="AH4" s="136">
        <f>SUM(R4:AG4)</f>
        <v>21569.71</v>
      </c>
      <c r="AI4" s="136"/>
    </row>
    <row r="5" spans="1:38" ht="14.4" x14ac:dyDescent="0.3">
      <c r="A5" t="s">
        <v>202</v>
      </c>
      <c r="B5" s="138"/>
      <c r="D5" s="89">
        <f>SUM(D6:D167)</f>
        <v>21578</v>
      </c>
      <c r="F5" s="139">
        <f>SUM(F6:F167)</f>
        <v>1039.6999999999998</v>
      </c>
      <c r="G5" s="139">
        <f>SUM(G6:G167)</f>
        <v>66202.719999999987</v>
      </c>
      <c r="H5" s="22">
        <f>SUM(H6:H167)</f>
        <v>340281.98080000008</v>
      </c>
      <c r="J5" s="22"/>
      <c r="K5" s="22"/>
      <c r="L5" s="140">
        <f>'Lista de Compra'!D4</f>
        <v>0.112</v>
      </c>
      <c r="M5" s="140">
        <f>'Lista de Compra'!E4</f>
        <v>3.2500000000000001E-2</v>
      </c>
      <c r="N5" s="140">
        <f>'Lista de Compra'!F4</f>
        <v>2.1000000000000001E-2</v>
      </c>
      <c r="O5" s="140">
        <f>'Lista de Compra'!G4</f>
        <v>9.6500000000000002E-2</v>
      </c>
      <c r="P5" s="141">
        <f>'Lista de Compra'!H4</f>
        <v>0.06</v>
      </c>
      <c r="Q5" s="22"/>
      <c r="AA5" s="22"/>
      <c r="AH5" s="22"/>
    </row>
    <row r="6" spans="1:38" ht="14.4" x14ac:dyDescent="0.3">
      <c r="A6">
        <f>'Lista de Compra'!A4</f>
        <v>1</v>
      </c>
      <c r="B6" t="str">
        <f>'Lista de Compra'!B4</f>
        <v>CURVA SOLD RL 45° ASTM A-234 ASME B16.9 SCH 80 - 6"</v>
      </c>
      <c r="C6">
        <f>'Lista de Compra'!C4</f>
        <v>72121000</v>
      </c>
      <c r="D6" s="98">
        <f>'Lista de Compra'!I4</f>
        <v>20</v>
      </c>
      <c r="E6" s="142">
        <f>'Lista de Compra'!L4</f>
        <v>2.2597258843745399E-3</v>
      </c>
      <c r="F6" s="139">
        <f>'Lista de Compra'!J4</f>
        <v>7.48</v>
      </c>
      <c r="G6" s="139">
        <f t="shared" ref="G6:G37" si="2">D6*F6</f>
        <v>149.60000000000002</v>
      </c>
      <c r="H6" s="22">
        <f t="shared" ref="H6:H37" si="3">G6*$H$4</f>
        <v>768.94400000000007</v>
      </c>
      <c r="I6" s="143">
        <f>'Rateio Custos Fixos'!E5</f>
        <v>218.10874235983059</v>
      </c>
      <c r="J6" s="22">
        <f t="shared" ref="J6:J37" si="4">SUM(H6:I6)</f>
        <v>987.05274235983063</v>
      </c>
      <c r="K6" s="22">
        <f t="shared" ref="K6:K37" si="5">J6+L6</f>
        <v>1097.6026495041317</v>
      </c>
      <c r="L6" s="22">
        <f t="shared" ref="L6:L37" si="6">L$5*$J6</f>
        <v>110.54990714430103</v>
      </c>
      <c r="M6" s="22">
        <f t="shared" ref="M6:P25" si="7">M$5*$K6</f>
        <v>35.67208610888428</v>
      </c>
      <c r="N6" s="22">
        <f t="shared" si="7"/>
        <v>23.049655639586767</v>
      </c>
      <c r="O6" s="22">
        <f t="shared" si="7"/>
        <v>105.91865567714871</v>
      </c>
      <c r="P6" s="22">
        <f t="shared" si="7"/>
        <v>65.856158970247904</v>
      </c>
      <c r="Q6" s="22">
        <f t="shared" ref="Q6:Q37" si="8">SUM(L6:P6)</f>
        <v>341.0464635401687</v>
      </c>
      <c r="R6" s="22">
        <f>'Rateio Custos Fixos'!F5</f>
        <v>0.790904059531089</v>
      </c>
      <c r="S6" s="22">
        <f>'Rateio Custos Fixos'!G5</f>
        <v>2.4856984728119937</v>
      </c>
      <c r="T6" s="22">
        <f>'Rateio Custos Fixos'!H5</f>
        <v>3.3895888265618099</v>
      </c>
      <c r="U6" s="22">
        <f>'Rateio Custos Fixos'!I5</f>
        <v>0.22597258843745399</v>
      </c>
      <c r="V6" s="22">
        <f>'Rateio Custos Fixos'!J5</f>
        <v>0.40675065918741721</v>
      </c>
      <c r="W6" s="22">
        <f>'Rateio Custos Fixos'!K5</f>
        <v>1.1072656833435246</v>
      </c>
      <c r="X6" s="22">
        <f>'Rateio Custos Fixos'!L5</f>
        <v>2.3953094374370125</v>
      </c>
      <c r="Y6" s="22">
        <f>'Rateio Custos Fixos'!M5</f>
        <v>0.82705967368108158</v>
      </c>
      <c r="Z6" s="22">
        <f>'Rateio Custos Fixos'!N5</f>
        <v>17.448699388786448</v>
      </c>
      <c r="AA6" s="22">
        <f>'Rateio Custos Fixos'!O5</f>
        <v>3.3895888265618099</v>
      </c>
      <c r="AB6" s="22">
        <f>'Rateio Custos Fixos'!P5</f>
        <v>0.67791776531236203</v>
      </c>
      <c r="AC6" s="22">
        <f>'Rateio Custos Fixos'!Q5</f>
        <v>0.72385799254169636</v>
      </c>
      <c r="AD6" s="22">
        <f>'Rateio Custos Fixos'!R5</f>
        <v>0.45194517687490798</v>
      </c>
      <c r="AE6" s="22">
        <f>'Rateio Custos Fixos'!S5</f>
        <v>10.168766479685429</v>
      </c>
      <c r="AF6" s="22">
        <f>'Rateio Custos Fixos'!T5</f>
        <v>18.763181935727115</v>
      </c>
      <c r="AG6" s="22">
        <f>'Rateio Custos Fixos'!U5</f>
        <v>2.9376436496869021</v>
      </c>
      <c r="AH6" s="22">
        <f t="shared" ref="AH6:AH37" si="9">SUM(R6:AG6)</f>
        <v>66.190150616168054</v>
      </c>
      <c r="AI6" s="22">
        <f t="shared" ref="AI6:AI37" si="10">J6+Q6+AH6</f>
        <v>1394.2893565161673</v>
      </c>
      <c r="AJ6" s="22">
        <f t="shared" ref="AJ6:AJ37" si="11">AI6/D6</f>
        <v>69.71446782580837</v>
      </c>
    </row>
    <row r="7" spans="1:38" ht="14.4" x14ac:dyDescent="0.3">
      <c r="A7">
        <f>'Lista de Compra'!A5</f>
        <v>2</v>
      </c>
      <c r="B7" t="str">
        <f>'Lista de Compra'!B5</f>
        <v>CURVA SOLD RL 45° ASTM A-234 ASME B16.9 SCH 80 - 8"</v>
      </c>
      <c r="C7">
        <f>'Lista de Compra'!C5</f>
        <v>72121000</v>
      </c>
      <c r="D7" s="98">
        <f>'Lista de Compra'!I5</f>
        <v>25</v>
      </c>
      <c r="E7" s="142">
        <f>'Lista de Compra'!L5</f>
        <v>4.8638484944425256E-3</v>
      </c>
      <c r="F7" s="139">
        <f>'Lista de Compra'!J5</f>
        <v>12.88</v>
      </c>
      <c r="G7" s="139">
        <f t="shared" si="2"/>
        <v>322</v>
      </c>
      <c r="H7" s="22">
        <f t="shared" si="3"/>
        <v>1655.08</v>
      </c>
      <c r="I7" s="143">
        <f>'Rateio Custos Fixos'!E6</f>
        <v>469.45865668359255</v>
      </c>
      <c r="J7" s="22">
        <f t="shared" si="4"/>
        <v>2124.5386566835923</v>
      </c>
      <c r="K7" s="22">
        <f t="shared" si="5"/>
        <v>2362.4869862321548</v>
      </c>
      <c r="L7" s="22">
        <f t="shared" si="6"/>
        <v>237.94832954856236</v>
      </c>
      <c r="M7" s="22">
        <f t="shared" si="7"/>
        <v>76.780827052545035</v>
      </c>
      <c r="N7" s="22">
        <f t="shared" si="7"/>
        <v>49.612226710875255</v>
      </c>
      <c r="O7" s="22">
        <f t="shared" si="7"/>
        <v>227.97999417140295</v>
      </c>
      <c r="P7" s="22">
        <f t="shared" si="7"/>
        <v>141.74921917392928</v>
      </c>
      <c r="Q7" s="22">
        <f t="shared" si="8"/>
        <v>734.07059665731481</v>
      </c>
      <c r="R7" s="22">
        <f>'Rateio Custos Fixos'!F6</f>
        <v>1.7023469730548839</v>
      </c>
      <c r="S7" s="22">
        <f>'Rateio Custos Fixos'!G6</f>
        <v>5.350233343886778</v>
      </c>
      <c r="T7" s="22">
        <f>'Rateio Custos Fixos'!H6</f>
        <v>7.2957727416637885</v>
      </c>
      <c r="U7" s="22">
        <f>'Rateio Custos Fixos'!I6</f>
        <v>0.48638484944425253</v>
      </c>
      <c r="V7" s="22">
        <f>'Rateio Custos Fixos'!J6</f>
        <v>0.87549272899965458</v>
      </c>
      <c r="W7" s="22">
        <f>'Rateio Custos Fixos'!K6</f>
        <v>2.3832857622768375</v>
      </c>
      <c r="X7" s="22">
        <f>'Rateio Custos Fixos'!L6</f>
        <v>5.155679404109077</v>
      </c>
      <c r="Y7" s="22">
        <f>'Rateio Custos Fixos'!M6</f>
        <v>1.7801685489659644</v>
      </c>
      <c r="Z7" s="22">
        <f>'Rateio Custos Fixos'!N6</f>
        <v>37.556692534687407</v>
      </c>
      <c r="AA7" s="22">
        <f>'Rateio Custos Fixos'!O6</f>
        <v>7.2957727416637885</v>
      </c>
      <c r="AB7" s="22">
        <f>'Rateio Custos Fixos'!P6</f>
        <v>1.4591545483327577</v>
      </c>
      <c r="AC7" s="22">
        <f>'Rateio Custos Fixos'!Q6</f>
        <v>1.5580365882247742</v>
      </c>
      <c r="AD7" s="22">
        <f>'Rateio Custos Fixos'!R6</f>
        <v>0.97276969888850506</v>
      </c>
      <c r="AE7" s="22">
        <f>'Rateio Custos Fixos'!S6</f>
        <v>21.887318224991365</v>
      </c>
      <c r="AF7" s="22">
        <f>'Rateio Custos Fixos'!T6</f>
        <v>40.385993203904619</v>
      </c>
      <c r="AG7" s="22">
        <f>'Rateio Custos Fixos'!U6</f>
        <v>6.3230030427752837</v>
      </c>
      <c r="AH7" s="22">
        <f t="shared" si="9"/>
        <v>142.46810493586975</v>
      </c>
      <c r="AI7" s="22">
        <f t="shared" si="10"/>
        <v>3001.077358276777</v>
      </c>
      <c r="AJ7" s="22">
        <f t="shared" si="11"/>
        <v>120.04309433107107</v>
      </c>
    </row>
    <row r="8" spans="1:38" ht="14.4" x14ac:dyDescent="0.3">
      <c r="A8">
        <f>'Lista de Compra'!A6</f>
        <v>3</v>
      </c>
      <c r="B8" t="str">
        <f>'Lista de Compra'!B6</f>
        <v>CURVA SOLD RL 90° ASTM A-234 ASME B16.9 SCH 80 - 2"</v>
      </c>
      <c r="C8">
        <f>'Lista de Compra'!C6</f>
        <v>72121000</v>
      </c>
      <c r="D8" s="98">
        <f>'Lista de Compra'!I6</f>
        <v>300</v>
      </c>
      <c r="E8" s="142">
        <f>'Lista de Compra'!L6</f>
        <v>3.8971208433732038E-3</v>
      </c>
      <c r="F8" s="139">
        <f>'Lista de Compra'!J6</f>
        <v>0.86</v>
      </c>
      <c r="G8" s="139">
        <f t="shared" si="2"/>
        <v>258</v>
      </c>
      <c r="H8" s="22">
        <f t="shared" si="3"/>
        <v>1326.12</v>
      </c>
      <c r="I8" s="143">
        <f>'Rateio Custos Fixos'!E7</f>
        <v>376.15010380238164</v>
      </c>
      <c r="J8" s="22">
        <f t="shared" si="4"/>
        <v>1702.2701038023815</v>
      </c>
      <c r="K8" s="22">
        <f t="shared" si="5"/>
        <v>1892.9243554282482</v>
      </c>
      <c r="L8" s="22">
        <f t="shared" si="6"/>
        <v>190.65425162586675</v>
      </c>
      <c r="M8" s="22">
        <f t="shared" si="7"/>
        <v>61.520041551418068</v>
      </c>
      <c r="N8" s="22">
        <f t="shared" si="7"/>
        <v>39.751411463993215</v>
      </c>
      <c r="O8" s="22">
        <f t="shared" si="7"/>
        <v>182.66720029882595</v>
      </c>
      <c r="P8" s="22">
        <f t="shared" si="7"/>
        <v>113.57546132569489</v>
      </c>
      <c r="Q8" s="22">
        <f t="shared" si="8"/>
        <v>588.16836626579891</v>
      </c>
      <c r="R8" s="22">
        <f>'Rateio Custos Fixos'!F7</f>
        <v>1.3639922951806214</v>
      </c>
      <c r="S8" s="22">
        <f>'Rateio Custos Fixos'!G7</f>
        <v>4.2868329277105239</v>
      </c>
      <c r="T8" s="22">
        <f>'Rateio Custos Fixos'!H7</f>
        <v>5.845681265059806</v>
      </c>
      <c r="U8" s="22">
        <f>'Rateio Custos Fixos'!I7</f>
        <v>0.38971208433732035</v>
      </c>
      <c r="V8" s="22">
        <f>'Rateio Custos Fixos'!J7</f>
        <v>0.70148175180717665</v>
      </c>
      <c r="W8" s="22">
        <f>'Rateio Custos Fixos'!K7</f>
        <v>1.9095892132528698</v>
      </c>
      <c r="X8" s="22">
        <f>'Rateio Custos Fixos'!L7</f>
        <v>4.1309480939755963</v>
      </c>
      <c r="Y8" s="22">
        <f>'Rateio Custos Fixos'!M7</f>
        <v>1.4263462286745925</v>
      </c>
      <c r="Z8" s="22">
        <f>'Rateio Custos Fixos'!N7</f>
        <v>30.092008304190532</v>
      </c>
      <c r="AA8" s="22">
        <f>'Rateio Custos Fixos'!O7</f>
        <v>5.845681265059806</v>
      </c>
      <c r="AB8" s="22">
        <f>'Rateio Custos Fixos'!P7</f>
        <v>1.1691362530119611</v>
      </c>
      <c r="AC8" s="22">
        <f>'Rateio Custos Fixos'!Q7</f>
        <v>1.2483647197577383</v>
      </c>
      <c r="AD8" s="22">
        <f>'Rateio Custos Fixos'!R7</f>
        <v>0.7794241686746407</v>
      </c>
      <c r="AE8" s="22">
        <f>'Rateio Custos Fixos'!S7</f>
        <v>17.537043795179418</v>
      </c>
      <c r="AF8" s="22">
        <f>'Rateio Custos Fixos'!T7</f>
        <v>32.358963498780717</v>
      </c>
      <c r="AG8" s="22">
        <f>'Rateio Custos Fixos'!U7</f>
        <v>5.066257096385165</v>
      </c>
      <c r="AH8" s="22">
        <f t="shared" si="9"/>
        <v>114.15146296103848</v>
      </c>
      <c r="AI8" s="22">
        <f t="shared" si="10"/>
        <v>2404.5899330292186</v>
      </c>
      <c r="AJ8" s="22">
        <f t="shared" si="11"/>
        <v>8.0152997767640617</v>
      </c>
    </row>
    <row r="9" spans="1:38" ht="14.4" x14ac:dyDescent="0.3">
      <c r="A9">
        <f>'Lista de Compra'!A7</f>
        <v>4</v>
      </c>
      <c r="B9" t="str">
        <f>'Lista de Compra'!B7</f>
        <v>CURVA SOLD RL 90° ASTM A-234 ASME B16.9 SCH 80 - 3"</v>
      </c>
      <c r="C9">
        <f>'Lista de Compra'!C7</f>
        <v>72121000</v>
      </c>
      <c r="D9" s="98">
        <f>'Lista de Compra'!I7</f>
        <v>50</v>
      </c>
      <c r="E9" s="142">
        <f>'Lista de Compra'!L7</f>
        <v>2.0391911389743508E-3</v>
      </c>
      <c r="F9" s="139">
        <f>'Lista de Compra'!J7</f>
        <v>2.7</v>
      </c>
      <c r="G9" s="139">
        <f t="shared" si="2"/>
        <v>135</v>
      </c>
      <c r="H9" s="22">
        <f t="shared" si="3"/>
        <v>693.9</v>
      </c>
      <c r="I9" s="143">
        <f>'Rateio Custos Fixos'!E8</f>
        <v>196.82272873380433</v>
      </c>
      <c r="J9" s="22">
        <f t="shared" si="4"/>
        <v>890.72272873380427</v>
      </c>
      <c r="K9" s="22">
        <f t="shared" si="5"/>
        <v>990.48367435199032</v>
      </c>
      <c r="L9" s="22">
        <f t="shared" si="6"/>
        <v>99.760945618186085</v>
      </c>
      <c r="M9" s="22">
        <f t="shared" si="7"/>
        <v>32.190719416439684</v>
      </c>
      <c r="N9" s="22">
        <f t="shared" si="7"/>
        <v>20.800157161391798</v>
      </c>
      <c r="O9" s="22">
        <f t="shared" si="7"/>
        <v>95.581674574967067</v>
      </c>
      <c r="P9" s="22">
        <f t="shared" si="7"/>
        <v>59.429020461119414</v>
      </c>
      <c r="Q9" s="22">
        <f t="shared" si="8"/>
        <v>307.76251723210407</v>
      </c>
      <c r="R9" s="22">
        <f>'Rateio Custos Fixos'!F8</f>
        <v>0.71371689864102272</v>
      </c>
      <c r="S9" s="22">
        <f>'Rateio Custos Fixos'!G8</f>
        <v>2.2431102528717859</v>
      </c>
      <c r="T9" s="22">
        <f>'Rateio Custos Fixos'!H8</f>
        <v>3.0587867084615263</v>
      </c>
      <c r="U9" s="22">
        <f>'Rateio Custos Fixos'!I8</f>
        <v>0.20391911389743508</v>
      </c>
      <c r="V9" s="22">
        <f>'Rateio Custos Fixos'!J8</f>
        <v>0.36705440501538317</v>
      </c>
      <c r="W9" s="22">
        <f>'Rateio Custos Fixos'!K8</f>
        <v>0.99920365809743183</v>
      </c>
      <c r="X9" s="22">
        <f>'Rateio Custos Fixos'!L8</f>
        <v>2.1615426073128119</v>
      </c>
      <c r="Y9" s="22">
        <f>'Rateio Custos Fixos'!M8</f>
        <v>0.74634395686461241</v>
      </c>
      <c r="Z9" s="22">
        <f>'Rateio Custos Fixos'!N8</f>
        <v>15.745818298704346</v>
      </c>
      <c r="AA9" s="22">
        <f>'Rateio Custos Fixos'!O8</f>
        <v>3.0587867084615263</v>
      </c>
      <c r="AB9" s="22">
        <f>'Rateio Custos Fixos'!P8</f>
        <v>0.61175734169230522</v>
      </c>
      <c r="AC9" s="22">
        <f>'Rateio Custos Fixos'!Q8</f>
        <v>0.6532140975476538</v>
      </c>
      <c r="AD9" s="22">
        <f>'Rateio Custos Fixos'!R8</f>
        <v>0.40783822779487017</v>
      </c>
      <c r="AE9" s="22">
        <f>'Rateio Custos Fixos'!S8</f>
        <v>9.1763601253845781</v>
      </c>
      <c r="AF9" s="22">
        <f>'Rateio Custos Fixos'!T8</f>
        <v>16.932015784245724</v>
      </c>
      <c r="AG9" s="22">
        <f>'Rateio Custos Fixos'!U8</f>
        <v>2.6509484806666559</v>
      </c>
      <c r="AH9" s="22">
        <f t="shared" si="9"/>
        <v>59.730416665659661</v>
      </c>
      <c r="AI9" s="22">
        <f t="shared" si="10"/>
        <v>1258.215662631568</v>
      </c>
      <c r="AJ9" s="22">
        <f t="shared" si="11"/>
        <v>25.164313252631359</v>
      </c>
    </row>
    <row r="10" spans="1:38" ht="14.4" x14ac:dyDescent="0.3">
      <c r="A10">
        <f>'Lista de Compra'!A8</f>
        <v>5</v>
      </c>
      <c r="B10" t="str">
        <f>'Lista de Compra'!B8</f>
        <v>CURVA SOLD RL 90° ASTM A-234 ASME B16.9 SCH 80 - 4"</v>
      </c>
      <c r="C10">
        <f>'Lista de Compra'!C8</f>
        <v>72121000</v>
      </c>
      <c r="D10" s="98">
        <f>'Lista de Compra'!I8</f>
        <v>50</v>
      </c>
      <c r="E10" s="142">
        <f>'Lista de Compra'!L8</f>
        <v>3.7083068490237265E-3</v>
      </c>
      <c r="F10" s="139">
        <f>'Lista de Compra'!J8</f>
        <v>4.91</v>
      </c>
      <c r="G10" s="139">
        <f t="shared" si="2"/>
        <v>245.5</v>
      </c>
      <c r="H10" s="22">
        <f t="shared" si="3"/>
        <v>1261.8699999999999</v>
      </c>
      <c r="I10" s="143">
        <f>'Rateio Custos Fixos'!E9</f>
        <v>357.92577706777007</v>
      </c>
      <c r="J10" s="22">
        <f t="shared" si="4"/>
        <v>1619.7957770677699</v>
      </c>
      <c r="K10" s="22">
        <f t="shared" si="5"/>
        <v>1801.2129040993602</v>
      </c>
      <c r="L10" s="22">
        <f t="shared" si="6"/>
        <v>181.41712703159024</v>
      </c>
      <c r="M10" s="22">
        <f t="shared" si="7"/>
        <v>58.539419383229209</v>
      </c>
      <c r="N10" s="22">
        <f t="shared" si="7"/>
        <v>37.825470986086565</v>
      </c>
      <c r="O10" s="22">
        <f t="shared" si="7"/>
        <v>173.81704524558828</v>
      </c>
      <c r="P10" s="22">
        <f t="shared" si="7"/>
        <v>108.07277424596161</v>
      </c>
      <c r="Q10" s="22">
        <f t="shared" si="8"/>
        <v>559.67183689245587</v>
      </c>
      <c r="R10" s="22">
        <f>'Rateio Custos Fixos'!F9</f>
        <v>1.2979073971583044</v>
      </c>
      <c r="S10" s="22">
        <f>'Rateio Custos Fixos'!G9</f>
        <v>4.0791375339260991</v>
      </c>
      <c r="T10" s="22">
        <f>'Rateio Custos Fixos'!H9</f>
        <v>5.5624602735355895</v>
      </c>
      <c r="U10" s="22">
        <f>'Rateio Custos Fixos'!I9</f>
        <v>0.37083068490237264</v>
      </c>
      <c r="V10" s="22">
        <f>'Rateio Custos Fixos'!J9</f>
        <v>0.66749523282427081</v>
      </c>
      <c r="W10" s="22">
        <f>'Rateio Custos Fixos'!K9</f>
        <v>1.8170703560216259</v>
      </c>
      <c r="X10" s="22">
        <f>'Rateio Custos Fixos'!L9</f>
        <v>3.9308052599651502</v>
      </c>
      <c r="Y10" s="22">
        <f>'Rateio Custos Fixos'!M9</f>
        <v>1.3572403067426839</v>
      </c>
      <c r="Z10" s="22">
        <f>'Rateio Custos Fixos'!N9</f>
        <v>28.634062165421607</v>
      </c>
      <c r="AA10" s="22">
        <f>'Rateio Custos Fixos'!O9</f>
        <v>5.5624602735355895</v>
      </c>
      <c r="AB10" s="22">
        <f>'Rateio Custos Fixos'!P9</f>
        <v>1.112492054707118</v>
      </c>
      <c r="AC10" s="22">
        <f>'Rateio Custos Fixos'!Q9</f>
        <v>1.1878819329477703</v>
      </c>
      <c r="AD10" s="22">
        <f>'Rateio Custos Fixos'!R9</f>
        <v>0.74166136980474529</v>
      </c>
      <c r="AE10" s="22">
        <f>'Rateio Custos Fixos'!S9</f>
        <v>16.687380820606769</v>
      </c>
      <c r="AF10" s="22">
        <f>'Rateio Custos Fixos'!T9</f>
        <v>30.791184259498706</v>
      </c>
      <c r="AG10" s="22">
        <f>'Rateio Custos Fixos'!U9</f>
        <v>4.8207989037308447</v>
      </c>
      <c r="AH10" s="22">
        <f t="shared" si="9"/>
        <v>108.62086882532925</v>
      </c>
      <c r="AI10" s="22">
        <f t="shared" si="10"/>
        <v>2288.0884827855548</v>
      </c>
      <c r="AJ10" s="22">
        <f t="shared" si="11"/>
        <v>45.761769655711099</v>
      </c>
    </row>
    <row r="11" spans="1:38" ht="14.4" x14ac:dyDescent="0.3">
      <c r="A11">
        <f>'Lista de Compra'!A9</f>
        <v>6</v>
      </c>
      <c r="B11" t="str">
        <f>'Lista de Compra'!B9</f>
        <v>CURVA SOLD RL 90° ASTM A-234 ASME B16.9 SCH 80 - 5"</v>
      </c>
      <c r="C11">
        <f>'Lista de Compra'!C9</f>
        <v>72121000</v>
      </c>
      <c r="D11" s="98">
        <f>'Lista de Compra'!I9</f>
        <v>20</v>
      </c>
      <c r="E11" s="142">
        <f>'Lista de Compra'!L9</f>
        <v>2.5316180362377869E-3</v>
      </c>
      <c r="F11" s="139">
        <f>'Lista de Compra'!J9</f>
        <v>8.3800000000000008</v>
      </c>
      <c r="G11" s="139">
        <f t="shared" si="2"/>
        <v>167.60000000000002</v>
      </c>
      <c r="H11" s="22">
        <f t="shared" si="3"/>
        <v>861.46400000000006</v>
      </c>
      <c r="I11" s="143">
        <f>'Rateio Custos Fixos'!E10</f>
        <v>244.35177285767119</v>
      </c>
      <c r="J11" s="22">
        <f t="shared" si="4"/>
        <v>1105.8157728576712</v>
      </c>
      <c r="K11" s="22">
        <f t="shared" si="5"/>
        <v>1229.6671394177304</v>
      </c>
      <c r="L11" s="22">
        <f t="shared" si="6"/>
        <v>123.85136656005918</v>
      </c>
      <c r="M11" s="22">
        <f t="shared" si="7"/>
        <v>39.964182031076241</v>
      </c>
      <c r="N11" s="22">
        <f t="shared" si="7"/>
        <v>25.82300992777234</v>
      </c>
      <c r="O11" s="22">
        <f t="shared" si="7"/>
        <v>118.66287895381099</v>
      </c>
      <c r="P11" s="22">
        <f t="shared" si="7"/>
        <v>73.780028365063814</v>
      </c>
      <c r="Q11" s="22">
        <f t="shared" si="8"/>
        <v>382.08146583778256</v>
      </c>
      <c r="R11" s="22">
        <f>'Rateio Custos Fixos'!F10</f>
        <v>0.88606631268322544</v>
      </c>
      <c r="S11" s="22">
        <f>'Rateio Custos Fixos'!G10</f>
        <v>2.7847798398615655</v>
      </c>
      <c r="T11" s="22">
        <f>'Rateio Custos Fixos'!H10</f>
        <v>3.7974270543566804</v>
      </c>
      <c r="U11" s="22">
        <f>'Rateio Custos Fixos'!I10</f>
        <v>0.25316180362377871</v>
      </c>
      <c r="V11" s="22">
        <f>'Rateio Custos Fixos'!J10</f>
        <v>0.45569124652280163</v>
      </c>
      <c r="W11" s="22">
        <f>'Rateio Custos Fixos'!K10</f>
        <v>1.2404928377565156</v>
      </c>
      <c r="X11" s="22">
        <f>'Rateio Custos Fixos'!L10</f>
        <v>2.6835151184120543</v>
      </c>
      <c r="Y11" s="22">
        <f>'Rateio Custos Fixos'!M10</f>
        <v>0.92657220126302997</v>
      </c>
      <c r="Z11" s="22">
        <f>'Rateio Custos Fixos'!N10</f>
        <v>19.548141828613694</v>
      </c>
      <c r="AA11" s="22">
        <f>'Rateio Custos Fixos'!O10</f>
        <v>3.7974270543566804</v>
      </c>
      <c r="AB11" s="22">
        <f>'Rateio Custos Fixos'!P10</f>
        <v>0.75948541087133603</v>
      </c>
      <c r="AC11" s="22">
        <f>'Rateio Custos Fixos'!Q10</f>
        <v>0.81095320554805028</v>
      </c>
      <c r="AD11" s="22">
        <f>'Rateio Custos Fixos'!R10</f>
        <v>0.50632360724755743</v>
      </c>
      <c r="AE11" s="22">
        <f>'Rateio Custos Fixos'!S10</f>
        <v>11.392281163070042</v>
      </c>
      <c r="AF11" s="22">
        <f>'Rateio Custos Fixos'!T10</f>
        <v>21.020784040293215</v>
      </c>
      <c r="AG11" s="22">
        <f>'Rateio Custos Fixos'!U10</f>
        <v>3.2911034471091227</v>
      </c>
      <c r="AH11" s="22">
        <f t="shared" si="9"/>
        <v>74.154206171589351</v>
      </c>
      <c r="AI11" s="22">
        <f t="shared" si="10"/>
        <v>1562.0514448670431</v>
      </c>
      <c r="AJ11" s="22">
        <f t="shared" si="11"/>
        <v>78.102572243352157</v>
      </c>
    </row>
    <row r="12" spans="1:38" ht="14.4" x14ac:dyDescent="0.3">
      <c r="A12">
        <f>'Lista de Compra'!A10</f>
        <v>7</v>
      </c>
      <c r="B12" t="str">
        <f>'Lista de Compra'!B10</f>
        <v>CURVA SOLD RL 90° ASTM A-234 ASME B16.9 SCH 80 - 6"</v>
      </c>
      <c r="C12">
        <f>'Lista de Compra'!C10</f>
        <v>72121000</v>
      </c>
      <c r="D12" s="98">
        <f>'Lista de Compra'!I10</f>
        <v>50</v>
      </c>
      <c r="E12" s="142">
        <f>'Lista de Compra'!L10</f>
        <v>9.4180420381519084E-3</v>
      </c>
      <c r="F12" s="139">
        <f>'Lista de Compra'!J10</f>
        <v>12.47</v>
      </c>
      <c r="G12" s="139">
        <f t="shared" si="2"/>
        <v>623.5</v>
      </c>
      <c r="H12" s="22">
        <f t="shared" si="3"/>
        <v>3204.79</v>
      </c>
      <c r="I12" s="143">
        <f>'Rateio Custos Fixos'!E11</f>
        <v>909.02941752242225</v>
      </c>
      <c r="J12" s="22">
        <f t="shared" si="4"/>
        <v>4113.8194175224226</v>
      </c>
      <c r="K12" s="22">
        <f t="shared" si="5"/>
        <v>4574.5671922849342</v>
      </c>
      <c r="L12" s="22">
        <f t="shared" si="6"/>
        <v>460.74777476251131</v>
      </c>
      <c r="M12" s="22">
        <f t="shared" si="7"/>
        <v>148.67343374926037</v>
      </c>
      <c r="N12" s="22">
        <f t="shared" si="7"/>
        <v>96.065911037983625</v>
      </c>
      <c r="O12" s="22">
        <f t="shared" si="7"/>
        <v>441.44573405549619</v>
      </c>
      <c r="P12" s="22">
        <f t="shared" si="7"/>
        <v>274.47403153709604</v>
      </c>
      <c r="Q12" s="22">
        <f t="shared" si="8"/>
        <v>1421.4068851423476</v>
      </c>
      <c r="R12" s="22">
        <f>'Rateio Custos Fixos'!F11</f>
        <v>3.2963147133531678</v>
      </c>
      <c r="S12" s="22">
        <f>'Rateio Custos Fixos'!G11</f>
        <v>10.3598462419671</v>
      </c>
      <c r="T12" s="22">
        <f>'Rateio Custos Fixos'!H11</f>
        <v>14.127063057227863</v>
      </c>
      <c r="U12" s="22">
        <f>'Rateio Custos Fixos'!I11</f>
        <v>0.94180420381519081</v>
      </c>
      <c r="V12" s="22">
        <f>'Rateio Custos Fixos'!J11</f>
        <v>1.6952475668673435</v>
      </c>
      <c r="W12" s="22">
        <f>'Rateio Custos Fixos'!K11</f>
        <v>4.6148405986944354</v>
      </c>
      <c r="X12" s="22">
        <f>'Rateio Custos Fixos'!L11</f>
        <v>9.9831245604410235</v>
      </c>
      <c r="Y12" s="22">
        <f>'Rateio Custos Fixos'!M11</f>
        <v>3.4470033859635985</v>
      </c>
      <c r="Z12" s="22">
        <f>'Rateio Custos Fixos'!N11</f>
        <v>72.722353401793782</v>
      </c>
      <c r="AA12" s="22">
        <f>'Rateio Custos Fixos'!O11</f>
        <v>14.127063057227863</v>
      </c>
      <c r="AB12" s="22">
        <f>'Rateio Custos Fixos'!P11</f>
        <v>2.8254126114455724</v>
      </c>
      <c r="AC12" s="22">
        <f>'Rateio Custos Fixos'!Q11</f>
        <v>3.0168814060812008</v>
      </c>
      <c r="AD12" s="22">
        <f>'Rateio Custos Fixos'!R11</f>
        <v>1.8836084076303816</v>
      </c>
      <c r="AE12" s="22">
        <f>'Rateio Custos Fixos'!S11</f>
        <v>42.381189171683587</v>
      </c>
      <c r="AF12" s="22">
        <f>'Rateio Custos Fixos'!T11</f>
        <v>78.200828455386741</v>
      </c>
      <c r="AG12" s="22">
        <f>'Rateio Custos Fixos'!U11</f>
        <v>12.243454649597481</v>
      </c>
      <c r="AH12" s="22">
        <f t="shared" si="9"/>
        <v>275.8660354891764</v>
      </c>
      <c r="AI12" s="22">
        <f t="shared" si="10"/>
        <v>5811.0923381539469</v>
      </c>
      <c r="AJ12" s="22">
        <f t="shared" si="11"/>
        <v>116.22184676307894</v>
      </c>
    </row>
    <row r="13" spans="1:38" ht="14.4" x14ac:dyDescent="0.3">
      <c r="A13">
        <f>'Lista de Compra'!A11</f>
        <v>8</v>
      </c>
      <c r="B13" t="str">
        <f>'Lista de Compra'!B11</f>
        <v>CURVA SOLD RL 45° ASTM A-234 ASME B16.9 SCH 40 - 2"</v>
      </c>
      <c r="C13">
        <f>'Lista de Compra'!C11</f>
        <v>72121000</v>
      </c>
      <c r="D13" s="98">
        <f>'Lista de Compra'!I11</f>
        <v>200</v>
      </c>
      <c r="E13" s="142">
        <f>'Lista de Compra'!L11</f>
        <v>1.2688300420284849E-3</v>
      </c>
      <c r="F13" s="139">
        <f>'Lista de Compra'!J11</f>
        <v>0.42</v>
      </c>
      <c r="G13" s="139">
        <f t="shared" si="2"/>
        <v>84</v>
      </c>
      <c r="H13" s="22">
        <f t="shared" si="3"/>
        <v>431.76</v>
      </c>
      <c r="I13" s="143">
        <f>'Rateio Custos Fixos'!E12</f>
        <v>122.46747565658937</v>
      </c>
      <c r="J13" s="22">
        <f t="shared" si="4"/>
        <v>554.22747565658938</v>
      </c>
      <c r="K13" s="22">
        <f t="shared" si="5"/>
        <v>616.30095293012744</v>
      </c>
      <c r="L13" s="22">
        <f t="shared" si="6"/>
        <v>62.07347727353801</v>
      </c>
      <c r="M13" s="22">
        <f t="shared" si="7"/>
        <v>20.029780970229144</v>
      </c>
      <c r="N13" s="22">
        <f t="shared" si="7"/>
        <v>12.942320011532678</v>
      </c>
      <c r="O13" s="22">
        <f t="shared" si="7"/>
        <v>59.473041957757296</v>
      </c>
      <c r="P13" s="22">
        <f t="shared" si="7"/>
        <v>36.978057175807642</v>
      </c>
      <c r="Q13" s="22">
        <f t="shared" si="8"/>
        <v>191.49667738886475</v>
      </c>
      <c r="R13" s="22">
        <f>'Rateio Custos Fixos'!F12</f>
        <v>0.44409051470996974</v>
      </c>
      <c r="S13" s="22">
        <f>'Rateio Custos Fixos'!G12</f>
        <v>1.3957130462313334</v>
      </c>
      <c r="T13" s="22">
        <f>'Rateio Custos Fixos'!H12</f>
        <v>1.9032450630427273</v>
      </c>
      <c r="U13" s="22">
        <f>'Rateio Custos Fixos'!I12</f>
        <v>0.12688300420284848</v>
      </c>
      <c r="V13" s="22">
        <f>'Rateio Custos Fixos'!J12</f>
        <v>0.22838940756512729</v>
      </c>
      <c r="W13" s="22">
        <f>'Rateio Custos Fixos'!K12</f>
        <v>0.62172672059395762</v>
      </c>
      <c r="X13" s="22">
        <f>'Rateio Custos Fixos'!L12</f>
        <v>1.344959844550194</v>
      </c>
      <c r="Y13" s="22">
        <f>'Rateio Custos Fixos'!M12</f>
        <v>0.46439179538242548</v>
      </c>
      <c r="Z13" s="22">
        <f>'Rateio Custos Fixos'!N12</f>
        <v>9.79739805252715</v>
      </c>
      <c r="AA13" s="22">
        <f>'Rateio Custos Fixos'!O12</f>
        <v>1.9032450630427273</v>
      </c>
      <c r="AB13" s="22">
        <f>'Rateio Custos Fixos'!P12</f>
        <v>0.3806490126085455</v>
      </c>
      <c r="AC13" s="22">
        <f>'Rateio Custos Fixos'!Q12</f>
        <v>0.40644432736298458</v>
      </c>
      <c r="AD13" s="22">
        <f>'Rateio Custos Fixos'!R12</f>
        <v>0.25376600840569696</v>
      </c>
      <c r="AE13" s="22">
        <f>'Rateio Custos Fixos'!S12</f>
        <v>5.7097351891281827</v>
      </c>
      <c r="AF13" s="22">
        <f>'Rateio Custos Fixos'!T12</f>
        <v>10.535476487975117</v>
      </c>
      <c r="AG13" s="22">
        <f>'Rateio Custos Fixos'!U12</f>
        <v>1.6494790546370304</v>
      </c>
      <c r="AH13" s="22">
        <f t="shared" si="9"/>
        <v>37.165592591966018</v>
      </c>
      <c r="AI13" s="22">
        <f t="shared" si="10"/>
        <v>782.88974563742022</v>
      </c>
      <c r="AJ13" s="22">
        <f t="shared" si="11"/>
        <v>3.914448728187101</v>
      </c>
    </row>
    <row r="14" spans="1:38" ht="14.4" x14ac:dyDescent="0.3">
      <c r="A14">
        <f>'Lista de Compra'!A12</f>
        <v>9</v>
      </c>
      <c r="B14" t="str">
        <f>'Lista de Compra'!B12</f>
        <v>CURVA SOLD RL 45° ASTM A-234 ASME B16.9 SCH 40 - 4"</v>
      </c>
      <c r="C14">
        <f>'Lista de Compra'!C12</f>
        <v>72121000</v>
      </c>
      <c r="D14" s="98">
        <f>'Lista de Compra'!I12</f>
        <v>100</v>
      </c>
      <c r="E14" s="142">
        <f>'Lista de Compra'!L12</f>
        <v>2.7793419968243E-3</v>
      </c>
      <c r="F14" s="139">
        <f>'Lista de Compra'!J12</f>
        <v>1.84</v>
      </c>
      <c r="G14" s="139">
        <f t="shared" si="2"/>
        <v>184</v>
      </c>
      <c r="H14" s="22">
        <f t="shared" si="3"/>
        <v>945.76</v>
      </c>
      <c r="I14" s="143">
        <f>'Rateio Custos Fixos'!E13</f>
        <v>268.26208953348146</v>
      </c>
      <c r="J14" s="22">
        <f t="shared" si="4"/>
        <v>1214.0220895334814</v>
      </c>
      <c r="K14" s="22">
        <f t="shared" si="5"/>
        <v>1349.9925635612315</v>
      </c>
      <c r="L14" s="22">
        <f t="shared" si="6"/>
        <v>135.97047402774993</v>
      </c>
      <c r="M14" s="22">
        <f t="shared" si="7"/>
        <v>43.874758315740024</v>
      </c>
      <c r="N14" s="22">
        <f t="shared" si="7"/>
        <v>28.349843834785862</v>
      </c>
      <c r="O14" s="22">
        <f t="shared" si="7"/>
        <v>130.27428238365883</v>
      </c>
      <c r="P14" s="22">
        <f t="shared" si="7"/>
        <v>80.999553813673884</v>
      </c>
      <c r="Q14" s="22">
        <f t="shared" si="8"/>
        <v>419.46891237560851</v>
      </c>
      <c r="R14" s="22">
        <f>'Rateio Custos Fixos'!F13</f>
        <v>0.97276969888850506</v>
      </c>
      <c r="S14" s="22">
        <f>'Rateio Custos Fixos'!G13</f>
        <v>3.0572761965067299</v>
      </c>
      <c r="T14" s="22">
        <f>'Rateio Custos Fixos'!H13</f>
        <v>4.1690129952364501</v>
      </c>
      <c r="U14" s="22">
        <f>'Rateio Custos Fixos'!I13</f>
        <v>0.27793419968242999</v>
      </c>
      <c r="V14" s="22">
        <f>'Rateio Custos Fixos'!J13</f>
        <v>0.50028155942837405</v>
      </c>
      <c r="W14" s="22">
        <f>'Rateio Custos Fixos'!K13</f>
        <v>1.361877578443907</v>
      </c>
      <c r="X14" s="22">
        <f>'Rateio Custos Fixos'!L13</f>
        <v>2.9461025166337582</v>
      </c>
      <c r="Y14" s="22">
        <f>'Rateio Custos Fixos'!M13</f>
        <v>1.0172391708376938</v>
      </c>
      <c r="Z14" s="22">
        <f>'Rateio Custos Fixos'!N13</f>
        <v>21.460967162678518</v>
      </c>
      <c r="AA14" s="22">
        <f>'Rateio Custos Fixos'!O13</f>
        <v>4.1690129952364501</v>
      </c>
      <c r="AB14" s="22">
        <f>'Rateio Custos Fixos'!P13</f>
        <v>0.83380259904729004</v>
      </c>
      <c r="AC14" s="22">
        <f>'Rateio Custos Fixos'!Q13</f>
        <v>0.89030662184272802</v>
      </c>
      <c r="AD14" s="22">
        <f>'Rateio Custos Fixos'!R13</f>
        <v>0.55586839936485999</v>
      </c>
      <c r="AE14" s="22">
        <f>'Rateio Custos Fixos'!S13</f>
        <v>12.50703898570935</v>
      </c>
      <c r="AF14" s="22">
        <f>'Rateio Custos Fixos'!T13</f>
        <v>23.077710402231208</v>
      </c>
      <c r="AG14" s="22">
        <f>'Rateio Custos Fixos'!U13</f>
        <v>3.61314459587159</v>
      </c>
      <c r="AH14" s="22">
        <f t="shared" si="9"/>
        <v>81.410345677639839</v>
      </c>
      <c r="AI14" s="22">
        <f t="shared" si="10"/>
        <v>1714.9013475867296</v>
      </c>
      <c r="AJ14" s="22">
        <f t="shared" si="11"/>
        <v>17.149013475867296</v>
      </c>
    </row>
    <row r="15" spans="1:38" ht="14.4" x14ac:dyDescent="0.3">
      <c r="A15">
        <f>'Lista de Compra'!A13</f>
        <v>10</v>
      </c>
      <c r="B15" t="str">
        <f>'Lista de Compra'!B13</f>
        <v>CURVA SOLD RL 45° ASTM A-234 ASME B16.9 SCH 40 - 8''</v>
      </c>
      <c r="C15">
        <f>'Lista de Compra'!C13</f>
        <v>72121000</v>
      </c>
      <c r="D15" s="98">
        <f>'Lista de Compra'!I13</f>
        <v>80</v>
      </c>
      <c r="E15" s="142">
        <f>'Lista de Compra'!L13</f>
        <v>9.1476603982434575E-3</v>
      </c>
      <c r="F15" s="139">
        <f>'Lista de Compra'!J13</f>
        <v>7.57</v>
      </c>
      <c r="G15" s="139">
        <f t="shared" si="2"/>
        <v>605.6</v>
      </c>
      <c r="H15" s="22">
        <f t="shared" si="3"/>
        <v>3112.7840000000001</v>
      </c>
      <c r="I15" s="143">
        <f>'Rateio Custos Fixos'!E14</f>
        <v>882.93218163845847</v>
      </c>
      <c r="J15" s="22">
        <f t="shared" si="4"/>
        <v>3995.7161816384587</v>
      </c>
      <c r="K15" s="22">
        <f t="shared" si="5"/>
        <v>4443.2363939819661</v>
      </c>
      <c r="L15" s="22">
        <f t="shared" si="6"/>
        <v>447.52021234350741</v>
      </c>
      <c r="M15" s="22">
        <f t="shared" si="7"/>
        <v>144.4051828044139</v>
      </c>
      <c r="N15" s="22">
        <f t="shared" si="7"/>
        <v>93.307964273621295</v>
      </c>
      <c r="O15" s="22">
        <f t="shared" si="7"/>
        <v>428.77231201925974</v>
      </c>
      <c r="P15" s="22">
        <f t="shared" si="7"/>
        <v>266.59418363891797</v>
      </c>
      <c r="Q15" s="22">
        <f t="shared" si="8"/>
        <v>1380.5998550797203</v>
      </c>
      <c r="R15" s="22">
        <f>'Rateio Custos Fixos'!F14</f>
        <v>3.2016811393852103</v>
      </c>
      <c r="S15" s="22">
        <f>'Rateio Custos Fixos'!G14</f>
        <v>10.062426438067803</v>
      </c>
      <c r="T15" s="22">
        <f>'Rateio Custos Fixos'!H14</f>
        <v>13.721490597365186</v>
      </c>
      <c r="U15" s="22">
        <f>'Rateio Custos Fixos'!I14</f>
        <v>0.91476603982434579</v>
      </c>
      <c r="V15" s="22">
        <f>'Rateio Custos Fixos'!J14</f>
        <v>1.6465788716838223</v>
      </c>
      <c r="W15" s="22">
        <f>'Rateio Custos Fixos'!K14</f>
        <v>4.4823535951392941</v>
      </c>
      <c r="X15" s="22">
        <f>'Rateio Custos Fixos'!L14</f>
        <v>9.6965200221380652</v>
      </c>
      <c r="Y15" s="22">
        <f>'Rateio Custos Fixos'!M14</f>
        <v>3.3480437057571053</v>
      </c>
      <c r="Z15" s="22">
        <f>'Rateio Custos Fixos'!N14</f>
        <v>70.63457453107668</v>
      </c>
      <c r="AA15" s="22">
        <f>'Rateio Custos Fixos'!O14</f>
        <v>13.721490597365186</v>
      </c>
      <c r="AB15" s="22">
        <f>'Rateio Custos Fixos'!P14</f>
        <v>2.7442981194730374</v>
      </c>
      <c r="AC15" s="22">
        <f>'Rateio Custos Fixos'!Q14</f>
        <v>2.9302700553693266</v>
      </c>
      <c r="AD15" s="22">
        <f>'Rateio Custos Fixos'!R14</f>
        <v>1.8295320796486916</v>
      </c>
      <c r="AE15" s="22">
        <f>'Rateio Custos Fixos'!S14</f>
        <v>41.164471792095561</v>
      </c>
      <c r="AF15" s="22">
        <f>'Rateio Custos Fixos'!T14</f>
        <v>75.955768584734898</v>
      </c>
      <c r="AG15" s="22">
        <f>'Rateio Custos Fixos'!U14</f>
        <v>11.891958517716494</v>
      </c>
      <c r="AH15" s="22">
        <f t="shared" si="9"/>
        <v>267.94622468684065</v>
      </c>
      <c r="AI15" s="22">
        <f t="shared" si="10"/>
        <v>5644.2622614050197</v>
      </c>
      <c r="AJ15" s="22">
        <f t="shared" si="11"/>
        <v>70.553278267562746</v>
      </c>
    </row>
    <row r="16" spans="1:38" ht="14.4" x14ac:dyDescent="0.3">
      <c r="A16">
        <f>'Lista de Compra'!A14</f>
        <v>11</v>
      </c>
      <c r="B16" t="str">
        <f>'Lista de Compra'!B14</f>
        <v>CURVA SOLD RL 90° ASTM A-234 ASME B16.9 SCH 40 - 1"</v>
      </c>
      <c r="C16">
        <f>'Lista de Compra'!C14</f>
        <v>72121000</v>
      </c>
      <c r="D16" s="98">
        <f>'Lista de Compra'!I14</f>
        <v>250</v>
      </c>
      <c r="E16" s="142">
        <f>'Lista de Compra'!L14</f>
        <v>7.5525597739790765E-4</v>
      </c>
      <c r="F16" s="139">
        <f>'Lista de Compra'!J14</f>
        <v>0.2</v>
      </c>
      <c r="G16" s="139">
        <f t="shared" si="2"/>
        <v>50</v>
      </c>
      <c r="H16" s="22">
        <f t="shared" si="3"/>
        <v>257</v>
      </c>
      <c r="I16" s="143">
        <f>'Rateio Custos Fixos'!E15</f>
        <v>72.89730693844605</v>
      </c>
      <c r="J16" s="22">
        <f t="shared" si="4"/>
        <v>329.89730693844604</v>
      </c>
      <c r="K16" s="22">
        <f t="shared" si="5"/>
        <v>366.84580531555201</v>
      </c>
      <c r="L16" s="22">
        <f t="shared" si="6"/>
        <v>36.948498377105956</v>
      </c>
      <c r="M16" s="22">
        <f t="shared" si="7"/>
        <v>11.92248867275544</v>
      </c>
      <c r="N16" s="22">
        <f t="shared" si="7"/>
        <v>7.703761911626593</v>
      </c>
      <c r="O16" s="22">
        <f t="shared" si="7"/>
        <v>35.40062021295077</v>
      </c>
      <c r="P16" s="22">
        <f t="shared" si="7"/>
        <v>22.010748318933121</v>
      </c>
      <c r="Q16" s="22">
        <f t="shared" si="8"/>
        <v>113.98611749337188</v>
      </c>
      <c r="R16" s="22">
        <f>'Rateio Custos Fixos'!F15</f>
        <v>0.26433959208926766</v>
      </c>
      <c r="S16" s="22">
        <f>'Rateio Custos Fixos'!G15</f>
        <v>0.83078157513769846</v>
      </c>
      <c r="T16" s="22">
        <f>'Rateio Custos Fixos'!H15</f>
        <v>1.1328839660968615</v>
      </c>
      <c r="U16" s="22">
        <f>'Rateio Custos Fixos'!I15</f>
        <v>7.552559773979077E-2</v>
      </c>
      <c r="V16" s="22">
        <f>'Rateio Custos Fixos'!J15</f>
        <v>0.13594607593162339</v>
      </c>
      <c r="W16" s="22">
        <f>'Rateio Custos Fixos'!K15</f>
        <v>0.37007542892497475</v>
      </c>
      <c r="X16" s="22">
        <f>'Rateio Custos Fixos'!L15</f>
        <v>0.8005713360417821</v>
      </c>
      <c r="Y16" s="22">
        <f>'Rateio Custos Fixos'!M15</f>
        <v>0.2764236877276342</v>
      </c>
      <c r="Z16" s="22">
        <f>'Rateio Custos Fixos'!N15</f>
        <v>5.8317845550756839</v>
      </c>
      <c r="AA16" s="22">
        <f>'Rateio Custos Fixos'!O15</f>
        <v>1.1328839660968615</v>
      </c>
      <c r="AB16" s="22">
        <f>'Rateio Custos Fixos'!P15</f>
        <v>0.2265767932193723</v>
      </c>
      <c r="AC16" s="22">
        <f>'Rateio Custos Fixos'!Q15</f>
        <v>0.24193114723987175</v>
      </c>
      <c r="AD16" s="22">
        <f>'Rateio Custos Fixos'!R15</f>
        <v>0.15105119547958154</v>
      </c>
      <c r="AE16" s="22">
        <f>'Rateio Custos Fixos'!S15</f>
        <v>3.3986518982905842</v>
      </c>
      <c r="AF16" s="22">
        <f>'Rateio Custos Fixos'!T15</f>
        <v>6.2711169571280463</v>
      </c>
      <c r="AG16" s="22">
        <f>'Rateio Custos Fixos'!U15</f>
        <v>0.98183277061727992</v>
      </c>
      <c r="AH16" s="22">
        <f t="shared" si="9"/>
        <v>22.122376542836914</v>
      </c>
      <c r="AI16" s="22">
        <f t="shared" si="10"/>
        <v>466.00580097465479</v>
      </c>
      <c r="AJ16" s="22">
        <f t="shared" si="11"/>
        <v>1.8640232038986191</v>
      </c>
    </row>
    <row r="17" spans="1:36" ht="14.4" x14ac:dyDescent="0.3">
      <c r="A17">
        <f>'Lista de Compra'!A15</f>
        <v>12</v>
      </c>
      <c r="B17" t="str">
        <f>'Lista de Compra'!B15</f>
        <v>CURVA SOLD RL 90° ASTM A-234 ASME B16.9 SCH 40 - 1.1/2</v>
      </c>
      <c r="C17">
        <f>'Lista de Compra'!C15</f>
        <v>72121000</v>
      </c>
      <c r="D17" s="98">
        <f>'Lista de Compra'!I15</f>
        <v>500</v>
      </c>
      <c r="E17" s="142">
        <f>'Lista de Compra'!L15</f>
        <v>3.0210239095916306E-3</v>
      </c>
      <c r="F17" s="139">
        <f>'Lista de Compra'!J15</f>
        <v>0.4</v>
      </c>
      <c r="G17" s="139">
        <f t="shared" si="2"/>
        <v>200</v>
      </c>
      <c r="H17" s="22">
        <f t="shared" si="3"/>
        <v>1028</v>
      </c>
      <c r="I17" s="143">
        <f>'Rateio Custos Fixos'!E16</f>
        <v>291.5892277537842</v>
      </c>
      <c r="J17" s="22">
        <f t="shared" si="4"/>
        <v>1319.5892277537841</v>
      </c>
      <c r="K17" s="22">
        <f t="shared" si="5"/>
        <v>1467.3832212622081</v>
      </c>
      <c r="L17" s="22">
        <f t="shared" si="6"/>
        <v>147.79399350842382</v>
      </c>
      <c r="M17" s="22">
        <f t="shared" si="7"/>
        <v>47.689954691021761</v>
      </c>
      <c r="N17" s="22">
        <f t="shared" si="7"/>
        <v>30.815047646506372</v>
      </c>
      <c r="O17" s="22">
        <f t="shared" si="7"/>
        <v>141.60248085180308</v>
      </c>
      <c r="P17" s="22">
        <f t="shared" si="7"/>
        <v>88.042993275732485</v>
      </c>
      <c r="Q17" s="22">
        <f t="shared" si="8"/>
        <v>455.94446997348751</v>
      </c>
      <c r="R17" s="22">
        <f>'Rateio Custos Fixos'!F16</f>
        <v>1.0573583683570706</v>
      </c>
      <c r="S17" s="22">
        <f>'Rateio Custos Fixos'!G16</f>
        <v>3.3231263005507938</v>
      </c>
      <c r="T17" s="22">
        <f>'Rateio Custos Fixos'!H16</f>
        <v>4.5315358643874459</v>
      </c>
      <c r="U17" s="22">
        <f>'Rateio Custos Fixos'!I16</f>
        <v>0.30210239095916308</v>
      </c>
      <c r="V17" s="22">
        <f>'Rateio Custos Fixos'!J16</f>
        <v>0.54378430372649356</v>
      </c>
      <c r="W17" s="22">
        <f>'Rateio Custos Fixos'!K16</f>
        <v>1.480301715699899</v>
      </c>
      <c r="X17" s="22">
        <f>'Rateio Custos Fixos'!L16</f>
        <v>3.2022853441671284</v>
      </c>
      <c r="Y17" s="22">
        <f>'Rateio Custos Fixos'!M16</f>
        <v>1.1056947509105368</v>
      </c>
      <c r="Z17" s="22">
        <f>'Rateio Custos Fixos'!N16</f>
        <v>23.327138220302736</v>
      </c>
      <c r="AA17" s="22">
        <f>'Rateio Custos Fixos'!O16</f>
        <v>4.5315358643874459</v>
      </c>
      <c r="AB17" s="22">
        <f>'Rateio Custos Fixos'!P16</f>
        <v>0.90630717287748919</v>
      </c>
      <c r="AC17" s="22">
        <f>'Rateio Custos Fixos'!Q16</f>
        <v>0.96772458895948699</v>
      </c>
      <c r="AD17" s="22">
        <f>'Rateio Custos Fixos'!R16</f>
        <v>0.60420478191832616</v>
      </c>
      <c r="AE17" s="22">
        <f>'Rateio Custos Fixos'!S16</f>
        <v>13.594607593162337</v>
      </c>
      <c r="AF17" s="22">
        <f>'Rateio Custos Fixos'!T16</f>
        <v>25.084467828512185</v>
      </c>
      <c r="AG17" s="22">
        <f>'Rateio Custos Fixos'!U16</f>
        <v>3.9273310824691197</v>
      </c>
      <c r="AH17" s="22">
        <f t="shared" si="9"/>
        <v>88.489506171347657</v>
      </c>
      <c r="AI17" s="22">
        <f t="shared" si="10"/>
        <v>1864.0232038986192</v>
      </c>
      <c r="AJ17" s="22">
        <f t="shared" si="11"/>
        <v>3.7280464077972382</v>
      </c>
    </row>
    <row r="18" spans="1:36" ht="14.4" x14ac:dyDescent="0.3">
      <c r="A18">
        <f>'Lista de Compra'!A16</f>
        <v>13</v>
      </c>
      <c r="B18" t="str">
        <f>'Lista de Compra'!B16</f>
        <v>CURVA SOLD RL 90° ASTM A-234 ASME B16.9 SCH 40 - 2"</v>
      </c>
      <c r="C18">
        <f>'Lista de Compra'!C16</f>
        <v>72121000</v>
      </c>
      <c r="D18" s="98">
        <f>'Lista de Compra'!I16</f>
        <v>1000</v>
      </c>
      <c r="E18" s="142">
        <f>'Lista de Compra'!L16</f>
        <v>9.5162253152136361E-3</v>
      </c>
      <c r="F18" s="139">
        <f>'Lista de Compra'!J16</f>
        <v>0.63</v>
      </c>
      <c r="G18" s="139">
        <f t="shared" si="2"/>
        <v>630</v>
      </c>
      <c r="H18" s="22">
        <f t="shared" si="3"/>
        <v>3238.2</v>
      </c>
      <c r="I18" s="143">
        <f>'Rateio Custos Fixos'!E17</f>
        <v>918.50606742442017</v>
      </c>
      <c r="J18" s="22">
        <f t="shared" si="4"/>
        <v>4156.7060674244203</v>
      </c>
      <c r="K18" s="22">
        <f t="shared" si="5"/>
        <v>4622.257146975955</v>
      </c>
      <c r="L18" s="22">
        <f t="shared" si="6"/>
        <v>465.55107955153511</v>
      </c>
      <c r="M18" s="22">
        <f t="shared" si="7"/>
        <v>150.22335727671853</v>
      </c>
      <c r="N18" s="22">
        <f t="shared" si="7"/>
        <v>97.067400086495056</v>
      </c>
      <c r="O18" s="22">
        <f t="shared" si="7"/>
        <v>446.04781468317969</v>
      </c>
      <c r="P18" s="22">
        <f t="shared" si="7"/>
        <v>277.33542881855732</v>
      </c>
      <c r="Q18" s="22">
        <f t="shared" si="8"/>
        <v>1436.2250804164858</v>
      </c>
      <c r="R18" s="22">
        <f>'Rateio Custos Fixos'!F17</f>
        <v>3.3306788603247726</v>
      </c>
      <c r="S18" s="22">
        <f>'Rateio Custos Fixos'!G17</f>
        <v>10.467847846734999</v>
      </c>
      <c r="T18" s="22">
        <f>'Rateio Custos Fixos'!H17</f>
        <v>14.274337972820454</v>
      </c>
      <c r="U18" s="22">
        <f>'Rateio Custos Fixos'!I17</f>
        <v>0.95162253152136356</v>
      </c>
      <c r="V18" s="22">
        <f>'Rateio Custos Fixos'!J17</f>
        <v>1.7129205567384544</v>
      </c>
      <c r="W18" s="22">
        <f>'Rateio Custos Fixos'!K17</f>
        <v>4.6629504044546817</v>
      </c>
      <c r="X18" s="22">
        <f>'Rateio Custos Fixos'!L17</f>
        <v>10.087198834126454</v>
      </c>
      <c r="Y18" s="22">
        <f>'Rateio Custos Fixos'!M17</f>
        <v>3.482938465368191</v>
      </c>
      <c r="Z18" s="22">
        <f>'Rateio Custos Fixos'!N17</f>
        <v>73.480485393953614</v>
      </c>
      <c r="AA18" s="22">
        <f>'Rateio Custos Fixos'!O17</f>
        <v>14.274337972820454</v>
      </c>
      <c r="AB18" s="22">
        <f>'Rateio Custos Fixos'!P17</f>
        <v>2.8548675945640909</v>
      </c>
      <c r="AC18" s="22">
        <f>'Rateio Custos Fixos'!Q17</f>
        <v>3.0483324552223841</v>
      </c>
      <c r="AD18" s="22">
        <f>'Rateio Custos Fixos'!R17</f>
        <v>1.9032450630427271</v>
      </c>
      <c r="AE18" s="22">
        <f>'Rateio Custos Fixos'!S17</f>
        <v>42.823013918461363</v>
      </c>
      <c r="AF18" s="22">
        <f>'Rateio Custos Fixos'!T17</f>
        <v>79.016073659813372</v>
      </c>
      <c r="AG18" s="22">
        <f>'Rateio Custos Fixos'!U17</f>
        <v>12.371092909777728</v>
      </c>
      <c r="AH18" s="22">
        <f t="shared" si="9"/>
        <v>278.74194443974505</v>
      </c>
      <c r="AI18" s="22">
        <f t="shared" si="10"/>
        <v>5871.673092280651</v>
      </c>
      <c r="AJ18" s="22">
        <f t="shared" si="11"/>
        <v>5.871673092280651</v>
      </c>
    </row>
    <row r="19" spans="1:36" ht="14.4" x14ac:dyDescent="0.3">
      <c r="A19">
        <f>'Lista de Compra'!A17</f>
        <v>14</v>
      </c>
      <c r="B19" t="str">
        <f>'Lista de Compra'!B17</f>
        <v>CURVA SOLD RL 90° ASTM A-234 ASME B16.9 SCH 40 - 3"</v>
      </c>
      <c r="C19">
        <f>'Lista de Compra'!C17</f>
        <v>72121000</v>
      </c>
      <c r="D19" s="98">
        <f>'Lista de Compra'!I17</f>
        <v>300</v>
      </c>
      <c r="E19" s="142">
        <f>'Lista de Compra'!L17</f>
        <v>7.431718817595411E-3</v>
      </c>
      <c r="F19" s="139">
        <f>'Lista de Compra'!J17</f>
        <v>1.64</v>
      </c>
      <c r="G19" s="139">
        <f t="shared" si="2"/>
        <v>491.99999999999994</v>
      </c>
      <c r="H19" s="22">
        <f t="shared" si="3"/>
        <v>2528.8799999999997</v>
      </c>
      <c r="I19" s="143">
        <f>'Rateio Custos Fixos'!E18</f>
        <v>717.30950027430902</v>
      </c>
      <c r="J19" s="22">
        <f t="shared" si="4"/>
        <v>3246.1895002743086</v>
      </c>
      <c r="K19" s="22">
        <f t="shared" si="5"/>
        <v>3609.762724305031</v>
      </c>
      <c r="L19" s="22">
        <f t="shared" si="6"/>
        <v>363.57322403072254</v>
      </c>
      <c r="M19" s="22">
        <f t="shared" si="7"/>
        <v>117.31728853991352</v>
      </c>
      <c r="N19" s="22">
        <f t="shared" si="7"/>
        <v>75.805017210405651</v>
      </c>
      <c r="O19" s="22">
        <f t="shared" si="7"/>
        <v>348.34210289543552</v>
      </c>
      <c r="P19" s="22">
        <f t="shared" si="7"/>
        <v>216.58576345830184</v>
      </c>
      <c r="Q19" s="22">
        <f t="shared" si="8"/>
        <v>1121.6233961347791</v>
      </c>
      <c r="R19" s="22">
        <f>'Rateio Custos Fixos'!F18</f>
        <v>2.6011015861583937</v>
      </c>
      <c r="S19" s="22">
        <f>'Rateio Custos Fixos'!G18</f>
        <v>8.1748906993549522</v>
      </c>
      <c r="T19" s="22">
        <f>'Rateio Custos Fixos'!H18</f>
        <v>11.147578226393117</v>
      </c>
      <c r="U19" s="22">
        <f>'Rateio Custos Fixos'!I18</f>
        <v>0.74317188175954108</v>
      </c>
      <c r="V19" s="22">
        <f>'Rateio Custos Fixos'!J18</f>
        <v>1.3377093871671739</v>
      </c>
      <c r="W19" s="22">
        <f>'Rateio Custos Fixos'!K18</f>
        <v>3.6415422206217514</v>
      </c>
      <c r="X19" s="22">
        <f>'Rateio Custos Fixos'!L18</f>
        <v>7.8776219466511357</v>
      </c>
      <c r="Y19" s="22">
        <f>'Rateio Custos Fixos'!M18</f>
        <v>2.7200090872399203</v>
      </c>
      <c r="Z19" s="22">
        <f>'Rateio Custos Fixos'!N18</f>
        <v>57.384760021944722</v>
      </c>
      <c r="AA19" s="22">
        <f>'Rateio Custos Fixos'!O18</f>
        <v>11.147578226393117</v>
      </c>
      <c r="AB19" s="22">
        <f>'Rateio Custos Fixos'!P18</f>
        <v>2.2295156452786231</v>
      </c>
      <c r="AC19" s="22">
        <f>'Rateio Custos Fixos'!Q18</f>
        <v>2.3806024888403381</v>
      </c>
      <c r="AD19" s="22">
        <f>'Rateio Custos Fixos'!R18</f>
        <v>1.4863437635190822</v>
      </c>
      <c r="AE19" s="22">
        <f>'Rateio Custos Fixos'!S18</f>
        <v>33.442734679179352</v>
      </c>
      <c r="AF19" s="22">
        <f>'Rateio Custos Fixos'!T18</f>
        <v>61.707790858139973</v>
      </c>
      <c r="AG19" s="22">
        <f>'Rateio Custos Fixos'!U18</f>
        <v>9.6612344628740345</v>
      </c>
      <c r="AH19" s="22">
        <f t="shared" si="9"/>
        <v>217.68418518151523</v>
      </c>
      <c r="AI19" s="22">
        <f t="shared" si="10"/>
        <v>4585.4970815906026</v>
      </c>
      <c r="AJ19" s="22">
        <f t="shared" si="11"/>
        <v>15.284990271968676</v>
      </c>
    </row>
    <row r="20" spans="1:36" ht="14.4" x14ac:dyDescent="0.3">
      <c r="A20">
        <f>'Lista de Compra'!A18</f>
        <v>15</v>
      </c>
      <c r="B20" t="str">
        <f>'Lista de Compra'!B18</f>
        <v>CURVA SOLD RL 90° ASTM A-234 ASME B16.9 SCH 40 - 4"</v>
      </c>
      <c r="C20">
        <f>'Lista de Compra'!C18</f>
        <v>72121000</v>
      </c>
      <c r="D20" s="98">
        <f>'Lista de Compra'!I18</f>
        <v>75</v>
      </c>
      <c r="E20" s="142">
        <f>'Lista de Compra'!L18</f>
        <v>3.4326384172734901E-3</v>
      </c>
      <c r="F20" s="139">
        <f>'Lista de Compra'!J18</f>
        <v>3.03</v>
      </c>
      <c r="G20" s="139">
        <f t="shared" si="2"/>
        <v>227.24999999999997</v>
      </c>
      <c r="H20" s="22">
        <f t="shared" si="3"/>
        <v>1168.0649999999998</v>
      </c>
      <c r="I20" s="143">
        <f>'Rateio Custos Fixos'!E19</f>
        <v>331.31826003523724</v>
      </c>
      <c r="J20" s="22">
        <f t="shared" si="4"/>
        <v>1499.3832600352371</v>
      </c>
      <c r="K20" s="22">
        <f t="shared" si="5"/>
        <v>1667.3141851591836</v>
      </c>
      <c r="L20" s="22">
        <f t="shared" si="6"/>
        <v>167.93092512394657</v>
      </c>
      <c r="M20" s="22">
        <f t="shared" si="7"/>
        <v>54.187711017673472</v>
      </c>
      <c r="N20" s="22">
        <f t="shared" si="7"/>
        <v>35.013597888342858</v>
      </c>
      <c r="O20" s="22">
        <f t="shared" si="7"/>
        <v>160.89581886786121</v>
      </c>
      <c r="P20" s="22">
        <f t="shared" si="7"/>
        <v>100.038851109551</v>
      </c>
      <c r="Q20" s="22">
        <f t="shared" si="8"/>
        <v>518.06690400737511</v>
      </c>
      <c r="R20" s="22">
        <f>'Rateio Custos Fixos'!F19</f>
        <v>1.2014234460457216</v>
      </c>
      <c r="S20" s="22">
        <f>'Rateio Custos Fixos'!G19</f>
        <v>3.7759022590008389</v>
      </c>
      <c r="T20" s="22">
        <f>'Rateio Custos Fixos'!H19</f>
        <v>5.148957625910235</v>
      </c>
      <c r="U20" s="22">
        <f>'Rateio Custos Fixos'!I19</f>
        <v>0.34326384172734903</v>
      </c>
      <c r="V20" s="22">
        <f>'Rateio Custos Fixos'!J19</f>
        <v>0.61787491510922821</v>
      </c>
      <c r="W20" s="22">
        <f>'Rateio Custos Fixos'!K19</f>
        <v>1.6819928244640101</v>
      </c>
      <c r="X20" s="22">
        <f>'Rateio Custos Fixos'!L19</f>
        <v>3.6385967223098996</v>
      </c>
      <c r="Y20" s="22">
        <f>'Rateio Custos Fixos'!M19</f>
        <v>1.2563456607220973</v>
      </c>
      <c r="Z20" s="22">
        <f>'Rateio Custos Fixos'!N19</f>
        <v>26.50546080281898</v>
      </c>
      <c r="AA20" s="22">
        <f>'Rateio Custos Fixos'!O19</f>
        <v>5.148957625910235</v>
      </c>
      <c r="AB20" s="22">
        <f>'Rateio Custos Fixos'!P19</f>
        <v>1.0297915251820471</v>
      </c>
      <c r="AC20" s="22">
        <f>'Rateio Custos Fixos'!Q19</f>
        <v>1.0995770642052169</v>
      </c>
      <c r="AD20" s="22">
        <f>'Rateio Custos Fixos'!R19</f>
        <v>0.68652768345469806</v>
      </c>
      <c r="AE20" s="22">
        <f>'Rateio Custos Fixos'!S19</f>
        <v>15.446872877730705</v>
      </c>
      <c r="AF20" s="22">
        <f>'Rateio Custos Fixos'!T19</f>
        <v>28.502226570146966</v>
      </c>
      <c r="AG20" s="22">
        <f>'Rateio Custos Fixos'!U19</f>
        <v>4.4624299424555369</v>
      </c>
      <c r="AH20" s="22">
        <f t="shared" si="9"/>
        <v>100.54620138719378</v>
      </c>
      <c r="AI20" s="22">
        <f t="shared" si="10"/>
        <v>2117.9963654298058</v>
      </c>
      <c r="AJ20" s="22">
        <f t="shared" si="11"/>
        <v>28.239951539064077</v>
      </c>
    </row>
    <row r="21" spans="1:36" ht="14.4" x14ac:dyDescent="0.3">
      <c r="A21">
        <f>'Lista de Compra'!A19</f>
        <v>16</v>
      </c>
      <c r="B21" t="str">
        <f>'Lista de Compra'!B19</f>
        <v>CURVA SOLD RL 90° ASTM A-234 ASME B16.9 SCH 40 - 5"</v>
      </c>
      <c r="C21">
        <f>'Lista de Compra'!C19</f>
        <v>72121000</v>
      </c>
      <c r="D21" s="98">
        <f>'Lista de Compra'!I19</f>
        <v>150</v>
      </c>
      <c r="E21" s="142">
        <f>'Lista de Compra'!L19</f>
        <v>1.103428982978343E-2</v>
      </c>
      <c r="F21" s="139">
        <f>'Lista de Compra'!J19</f>
        <v>4.87</v>
      </c>
      <c r="G21" s="139">
        <f t="shared" si="2"/>
        <v>730.5</v>
      </c>
      <c r="H21" s="22">
        <f t="shared" si="3"/>
        <v>3754.77</v>
      </c>
      <c r="I21" s="143">
        <f>'Rateio Custos Fixos'!E20</f>
        <v>1065.0296543706968</v>
      </c>
      <c r="J21" s="22">
        <f t="shared" si="4"/>
        <v>4819.7996543706968</v>
      </c>
      <c r="K21" s="22">
        <f t="shared" si="5"/>
        <v>5359.6172156602152</v>
      </c>
      <c r="L21" s="22">
        <f t="shared" si="6"/>
        <v>539.81756128951804</v>
      </c>
      <c r="M21" s="22">
        <f t="shared" si="7"/>
        <v>174.18755950895701</v>
      </c>
      <c r="N21" s="22">
        <f t="shared" si="7"/>
        <v>112.55196152886452</v>
      </c>
      <c r="O21" s="22">
        <f t="shared" si="7"/>
        <v>517.20306131121083</v>
      </c>
      <c r="P21" s="22">
        <f t="shared" si="7"/>
        <v>321.57703293961288</v>
      </c>
      <c r="Q21" s="22">
        <f t="shared" si="8"/>
        <v>1665.3371765781631</v>
      </c>
      <c r="R21" s="22">
        <f>'Rateio Custos Fixos'!F20</f>
        <v>3.8620014404242005</v>
      </c>
      <c r="S21" s="22">
        <f>'Rateio Custos Fixos'!G20</f>
        <v>12.137718812761774</v>
      </c>
      <c r="T21" s="22">
        <f>'Rateio Custos Fixos'!H20</f>
        <v>16.551434744675145</v>
      </c>
      <c r="U21" s="22">
        <f>'Rateio Custos Fixos'!I20</f>
        <v>1.103428982978343</v>
      </c>
      <c r="V21" s="22">
        <f>'Rateio Custos Fixos'!J20</f>
        <v>1.9861721693610175</v>
      </c>
      <c r="W21" s="22">
        <f>'Rateio Custos Fixos'!K20</f>
        <v>5.4068020165938808</v>
      </c>
      <c r="X21" s="22">
        <f>'Rateio Custos Fixos'!L20</f>
        <v>11.696347219570436</v>
      </c>
      <c r="Y21" s="22">
        <f>'Rateio Custos Fixos'!M20</f>
        <v>4.0385500777007355</v>
      </c>
      <c r="Z21" s="22">
        <f>'Rateio Custos Fixos'!N20</f>
        <v>85.202372349655747</v>
      </c>
      <c r="AA21" s="22">
        <f>'Rateio Custos Fixos'!O20</f>
        <v>16.551434744675145</v>
      </c>
      <c r="AB21" s="22">
        <f>'Rateio Custos Fixos'!P20</f>
        <v>3.3102869489350293</v>
      </c>
      <c r="AC21" s="22">
        <f>'Rateio Custos Fixos'!Q20</f>
        <v>3.5346140611745263</v>
      </c>
      <c r="AD21" s="22">
        <f>'Rateio Custos Fixos'!R20</f>
        <v>2.206857965956686</v>
      </c>
      <c r="AE21" s="22">
        <f>'Rateio Custos Fixos'!S20</f>
        <v>49.654304234025439</v>
      </c>
      <c r="AF21" s="22">
        <f>'Rateio Custos Fixos'!T20</f>
        <v>91.621018743640747</v>
      </c>
      <c r="AG21" s="22">
        <f>'Rateio Custos Fixos'!U20</f>
        <v>14.34457677871846</v>
      </c>
      <c r="AH21" s="22">
        <f t="shared" si="9"/>
        <v>323.20792129084731</v>
      </c>
      <c r="AI21" s="22">
        <f t="shared" si="10"/>
        <v>6808.3447522397073</v>
      </c>
      <c r="AJ21" s="22">
        <f t="shared" si="11"/>
        <v>45.388965014931379</v>
      </c>
    </row>
    <row r="22" spans="1:36" ht="14.4" x14ac:dyDescent="0.3">
      <c r="A22">
        <f>'Lista de Compra'!A20</f>
        <v>17</v>
      </c>
      <c r="B22" t="str">
        <f>'Lista de Compra'!B20</f>
        <v>CURVA SOLD RL 90° ASTM A-234 ASME B16.9 SCH 40 - 6"</v>
      </c>
      <c r="C22">
        <f>'Lista de Compra'!C20</f>
        <v>72121000</v>
      </c>
      <c r="D22" s="98">
        <f>'Lista de Compra'!I20</f>
        <v>200</v>
      </c>
      <c r="E22" s="142">
        <f>'Lista de Compra'!L20</f>
        <v>2.2113895018210736E-2</v>
      </c>
      <c r="F22" s="139">
        <f>'Lista de Compra'!J20</f>
        <v>7.32</v>
      </c>
      <c r="G22" s="139">
        <f t="shared" si="2"/>
        <v>1464</v>
      </c>
      <c r="H22" s="22">
        <f t="shared" si="3"/>
        <v>7524.9599999999991</v>
      </c>
      <c r="I22" s="143">
        <f>'Rateio Custos Fixos'!E21</f>
        <v>2134.4331471577002</v>
      </c>
      <c r="J22" s="22">
        <f t="shared" si="4"/>
        <v>9659.3931471576998</v>
      </c>
      <c r="K22" s="22">
        <f t="shared" si="5"/>
        <v>10741.245179639362</v>
      </c>
      <c r="L22" s="22">
        <f t="shared" si="6"/>
        <v>1081.8520324816625</v>
      </c>
      <c r="M22" s="22">
        <f t="shared" si="7"/>
        <v>349.09046833827927</v>
      </c>
      <c r="N22" s="22">
        <f t="shared" si="7"/>
        <v>225.5661487724266</v>
      </c>
      <c r="O22" s="22">
        <f t="shared" si="7"/>
        <v>1036.5301598351984</v>
      </c>
      <c r="P22" s="22">
        <f t="shared" si="7"/>
        <v>644.47471077836167</v>
      </c>
      <c r="Q22" s="22">
        <f t="shared" si="8"/>
        <v>3337.5135202059282</v>
      </c>
      <c r="R22" s="22">
        <f>'Rateio Custos Fixos'!F21</f>
        <v>7.7398632563737575</v>
      </c>
      <c r="S22" s="22">
        <f>'Rateio Custos Fixos'!G21</f>
        <v>24.325284520031811</v>
      </c>
      <c r="T22" s="22">
        <f>'Rateio Custos Fixos'!H21</f>
        <v>33.170842527316104</v>
      </c>
      <c r="U22" s="22">
        <f>'Rateio Custos Fixos'!I21</f>
        <v>2.2113895018210736</v>
      </c>
      <c r="V22" s="22">
        <f>'Rateio Custos Fixos'!J21</f>
        <v>3.9805011032779327</v>
      </c>
      <c r="W22" s="22">
        <f>'Rateio Custos Fixos'!K21</f>
        <v>10.835808558923262</v>
      </c>
      <c r="X22" s="22">
        <f>'Rateio Custos Fixos'!L21</f>
        <v>23.44072871930338</v>
      </c>
      <c r="Y22" s="22">
        <f>'Rateio Custos Fixos'!M21</f>
        <v>8.0936855766651288</v>
      </c>
      <c r="Z22" s="22">
        <f>'Rateio Custos Fixos'!N21</f>
        <v>170.75465177261603</v>
      </c>
      <c r="AA22" s="22">
        <f>'Rateio Custos Fixos'!O21</f>
        <v>33.170842527316104</v>
      </c>
      <c r="AB22" s="22">
        <f>'Rateio Custos Fixos'!P21</f>
        <v>6.6341685054632213</v>
      </c>
      <c r="AC22" s="22">
        <f>'Rateio Custos Fixos'!Q21</f>
        <v>7.0837439911834448</v>
      </c>
      <c r="AD22" s="22">
        <f>'Rateio Custos Fixos'!R21</f>
        <v>4.4227790036421473</v>
      </c>
      <c r="AE22" s="22">
        <f>'Rateio Custos Fixos'!S21</f>
        <v>99.512527581948319</v>
      </c>
      <c r="AF22" s="22">
        <f>'Rateio Custos Fixos'!T21</f>
        <v>183.61830450470919</v>
      </c>
      <c r="AG22" s="22">
        <f>'Rateio Custos Fixos'!U21</f>
        <v>28.748063523673956</v>
      </c>
      <c r="AH22" s="22">
        <f t="shared" si="9"/>
        <v>647.7431851742648</v>
      </c>
      <c r="AI22" s="22">
        <f t="shared" si="10"/>
        <v>13644.649852537892</v>
      </c>
      <c r="AJ22" s="22">
        <f t="shared" si="11"/>
        <v>68.223249262689464</v>
      </c>
    </row>
    <row r="23" spans="1:36" ht="14.4" x14ac:dyDescent="0.3">
      <c r="A23">
        <f>'Lista de Compra'!A21</f>
        <v>18</v>
      </c>
      <c r="B23" t="str">
        <f>'Lista de Compra'!B21</f>
        <v>CURVA SOLD RL 90° ASTM A-234 ASME B16.9 SCH 40 - 8"</v>
      </c>
      <c r="C23">
        <f>'Lista de Compra'!C21</f>
        <v>72121000</v>
      </c>
      <c r="D23" s="98">
        <f>'Lista de Compra'!I21</f>
        <v>50</v>
      </c>
      <c r="E23" s="142">
        <f>'Lista de Compra'!L21</f>
        <v>1.0498058085830916E-2</v>
      </c>
      <c r="F23" s="139">
        <f>'Lista de Compra'!J21</f>
        <v>13.9</v>
      </c>
      <c r="G23" s="139">
        <f t="shared" si="2"/>
        <v>695</v>
      </c>
      <c r="H23" s="22">
        <f t="shared" si="3"/>
        <v>3572.2999999999997</v>
      </c>
      <c r="I23" s="143">
        <f>'Rateio Custos Fixos'!E22</f>
        <v>1013.2725664444</v>
      </c>
      <c r="J23" s="22">
        <f t="shared" si="4"/>
        <v>4585.5725664443999</v>
      </c>
      <c r="K23" s="22">
        <f t="shared" si="5"/>
        <v>5099.1566938861724</v>
      </c>
      <c r="L23" s="22">
        <f t="shared" si="6"/>
        <v>513.58412744177281</v>
      </c>
      <c r="M23" s="22">
        <f t="shared" si="7"/>
        <v>165.72259255130061</v>
      </c>
      <c r="N23" s="22">
        <f t="shared" si="7"/>
        <v>107.08229057160963</v>
      </c>
      <c r="O23" s="22">
        <f t="shared" si="7"/>
        <v>492.06862096001566</v>
      </c>
      <c r="P23" s="22">
        <f t="shared" si="7"/>
        <v>305.94940163317034</v>
      </c>
      <c r="Q23" s="22">
        <f t="shared" si="8"/>
        <v>1584.4070331578689</v>
      </c>
      <c r="R23" s="22">
        <f>'Rateio Custos Fixos'!F22</f>
        <v>3.6743203300408207</v>
      </c>
      <c r="S23" s="22">
        <f>'Rateio Custos Fixos'!G22</f>
        <v>11.547863894414007</v>
      </c>
      <c r="T23" s="22">
        <f>'Rateio Custos Fixos'!H22</f>
        <v>15.747087128746374</v>
      </c>
      <c r="U23" s="22">
        <f>'Rateio Custos Fixos'!I22</f>
        <v>1.0498058085830917</v>
      </c>
      <c r="V23" s="22">
        <f>'Rateio Custos Fixos'!J22</f>
        <v>1.889650455449565</v>
      </c>
      <c r="W23" s="22">
        <f>'Rateio Custos Fixos'!K22</f>
        <v>5.1440484620571487</v>
      </c>
      <c r="X23" s="22">
        <f>'Rateio Custos Fixos'!L22</f>
        <v>11.127941570980772</v>
      </c>
      <c r="Y23" s="22">
        <f>'Rateio Custos Fixos'!M22</f>
        <v>3.8422892594141156</v>
      </c>
      <c r="Z23" s="22">
        <f>'Rateio Custos Fixos'!N22</f>
        <v>81.061805315552007</v>
      </c>
      <c r="AA23" s="22">
        <f>'Rateio Custos Fixos'!O22</f>
        <v>15.747087128746374</v>
      </c>
      <c r="AB23" s="22">
        <f>'Rateio Custos Fixos'!P22</f>
        <v>3.1494174257492751</v>
      </c>
      <c r="AC23" s="22">
        <f>'Rateio Custos Fixos'!Q22</f>
        <v>3.3628429466342173</v>
      </c>
      <c r="AD23" s="22">
        <f>'Rateio Custos Fixos'!R22</f>
        <v>2.0996116171661834</v>
      </c>
      <c r="AE23" s="22">
        <f>'Rateio Custos Fixos'!S22</f>
        <v>47.241261386239124</v>
      </c>
      <c r="AF23" s="22">
        <f>'Rateio Custos Fixos'!T22</f>
        <v>87.16852570407984</v>
      </c>
      <c r="AG23" s="22">
        <f>'Rateio Custos Fixos'!U22</f>
        <v>13.647475511580192</v>
      </c>
      <c r="AH23" s="22">
        <f t="shared" si="9"/>
        <v>307.50103394543311</v>
      </c>
      <c r="AI23" s="22">
        <f t="shared" si="10"/>
        <v>6477.4806335477015</v>
      </c>
      <c r="AJ23" s="22">
        <f t="shared" si="11"/>
        <v>129.54961267095402</v>
      </c>
    </row>
    <row r="24" spans="1:36" ht="14.4" x14ac:dyDescent="0.3">
      <c r="A24">
        <f>'Lista de Compra'!A22</f>
        <v>19</v>
      </c>
      <c r="B24" t="str">
        <f>'Lista de Compra'!B22</f>
        <v>REDUÇÃO CONCENTRICA ASTM A-234 ASME B16.9 SCH 40 8" X 6"</v>
      </c>
      <c r="C24">
        <f>'Lista de Compra'!C22</f>
        <v>72121000</v>
      </c>
      <c r="D24" s="98">
        <f>'Lista de Compra'!I22</f>
        <v>60</v>
      </c>
      <c r="E24" s="142">
        <f>'Lista de Compra'!L22</f>
        <v>4.54059893611622E-3</v>
      </c>
      <c r="F24" s="139">
        <f>'Lista de Compra'!J22</f>
        <v>5.01</v>
      </c>
      <c r="G24" s="139">
        <f t="shared" si="2"/>
        <v>300.59999999999997</v>
      </c>
      <c r="H24" s="22">
        <f t="shared" si="3"/>
        <v>1545.0839999999998</v>
      </c>
      <c r="I24" s="143">
        <f>'Rateio Custos Fixos'!E23</f>
        <v>438.25860931393754</v>
      </c>
      <c r="J24" s="22">
        <f t="shared" si="4"/>
        <v>1983.3426093139374</v>
      </c>
      <c r="K24" s="22">
        <f t="shared" si="5"/>
        <v>2205.4769815570985</v>
      </c>
      <c r="L24" s="22">
        <f t="shared" si="6"/>
        <v>222.13437224316098</v>
      </c>
      <c r="M24" s="22">
        <f t="shared" si="7"/>
        <v>71.678001900605707</v>
      </c>
      <c r="N24" s="22">
        <f t="shared" si="7"/>
        <v>46.315016612699068</v>
      </c>
      <c r="O24" s="22">
        <f t="shared" si="7"/>
        <v>212.82852872026001</v>
      </c>
      <c r="P24" s="22">
        <f t="shared" si="7"/>
        <v>132.3286188934259</v>
      </c>
      <c r="Q24" s="22">
        <f t="shared" si="8"/>
        <v>685.28453837015161</v>
      </c>
      <c r="R24" s="22">
        <f>'Rateio Custos Fixos'!F23</f>
        <v>1.5892096276406771</v>
      </c>
      <c r="S24" s="22">
        <f>'Rateio Custos Fixos'!G23</f>
        <v>4.9946588297278423</v>
      </c>
      <c r="T24" s="22">
        <f>'Rateio Custos Fixos'!H23</f>
        <v>6.8108984041743303</v>
      </c>
      <c r="U24" s="22">
        <f>'Rateio Custos Fixos'!I23</f>
        <v>0.45405989361162202</v>
      </c>
      <c r="V24" s="22">
        <f>'Rateio Custos Fixos'!J23</f>
        <v>0.81730780850091955</v>
      </c>
      <c r="W24" s="22">
        <f>'Rateio Custos Fixos'!K23</f>
        <v>2.2248934786969476</v>
      </c>
      <c r="X24" s="22">
        <f>'Rateio Custos Fixos'!L23</f>
        <v>4.8130348722831933</v>
      </c>
      <c r="Y24" s="22">
        <f>'Rateio Custos Fixos'!M23</f>
        <v>1.6618592106185366</v>
      </c>
      <c r="Z24" s="22">
        <f>'Rateio Custos Fixos'!N23</f>
        <v>35.060688745115002</v>
      </c>
      <c r="AA24" s="22">
        <f>'Rateio Custos Fixos'!O23</f>
        <v>6.8108984041743303</v>
      </c>
      <c r="AB24" s="22">
        <f>'Rateio Custos Fixos'!P23</f>
        <v>1.3621796808348661</v>
      </c>
      <c r="AC24" s="22">
        <f>'Rateio Custos Fixos'!Q23</f>
        <v>1.4544900572061086</v>
      </c>
      <c r="AD24" s="22">
        <f>'Rateio Custos Fixos'!R23</f>
        <v>0.90811978722324405</v>
      </c>
      <c r="AE24" s="22">
        <f>'Rateio Custos Fixos'!S23</f>
        <v>20.43269521252299</v>
      </c>
      <c r="AF24" s="22">
        <f>'Rateio Custos Fixos'!T23</f>
        <v>37.701955146253809</v>
      </c>
      <c r="AG24" s="22">
        <f>'Rateio Custos Fixos'!U23</f>
        <v>5.9027786169510863</v>
      </c>
      <c r="AH24" s="22">
        <f t="shared" si="9"/>
        <v>132.99972777553552</v>
      </c>
      <c r="AI24" s="22">
        <f t="shared" si="10"/>
        <v>2801.6268754596244</v>
      </c>
      <c r="AJ24" s="22">
        <f t="shared" si="11"/>
        <v>46.693781257660405</v>
      </c>
    </row>
    <row r="25" spans="1:36" ht="14.4" x14ac:dyDescent="0.3">
      <c r="A25">
        <f>'Lista de Compra'!A23</f>
        <v>20</v>
      </c>
      <c r="B25" t="str">
        <f>'Lista de Compra'!B23</f>
        <v>REDUÇÃO CONCENTRICA ASTM A-234 ASME B16.9 SCH 40 3" X 2"</v>
      </c>
      <c r="C25">
        <f>'Lista de Compra'!C23</f>
        <v>72121000</v>
      </c>
      <c r="D25" s="98">
        <f>'Lista de Compra'!I23</f>
        <v>30</v>
      </c>
      <c r="E25" s="142">
        <f>'Lista de Compra'!L23</f>
        <v>4.531535864387446E-4</v>
      </c>
      <c r="F25" s="139">
        <f>'Lista de Compra'!J23</f>
        <v>1</v>
      </c>
      <c r="G25" s="139">
        <f t="shared" si="2"/>
        <v>30</v>
      </c>
      <c r="H25" s="22">
        <f t="shared" si="3"/>
        <v>154.19999999999999</v>
      </c>
      <c r="I25" s="143">
        <f>'Rateio Custos Fixos'!E24</f>
        <v>43.738384163067629</v>
      </c>
      <c r="J25" s="22">
        <f t="shared" si="4"/>
        <v>197.93838416306761</v>
      </c>
      <c r="K25" s="22">
        <f t="shared" si="5"/>
        <v>220.10748318933119</v>
      </c>
      <c r="L25" s="22">
        <f t="shared" si="6"/>
        <v>22.169099026263574</v>
      </c>
      <c r="M25" s="22">
        <f t="shared" si="7"/>
        <v>7.1534932036532641</v>
      </c>
      <c r="N25" s="22">
        <f t="shared" si="7"/>
        <v>4.6222571469759552</v>
      </c>
      <c r="O25" s="22">
        <f t="shared" si="7"/>
        <v>21.24037212777046</v>
      </c>
      <c r="P25" s="22">
        <f t="shared" si="7"/>
        <v>13.206448991359871</v>
      </c>
      <c r="Q25" s="22">
        <f t="shared" si="8"/>
        <v>68.391670496023124</v>
      </c>
      <c r="R25" s="22">
        <f>'Rateio Custos Fixos'!F24</f>
        <v>0.1586037552535606</v>
      </c>
      <c r="S25" s="22">
        <f>'Rateio Custos Fixos'!G24</f>
        <v>0.49846894508261907</v>
      </c>
      <c r="T25" s="22">
        <f>'Rateio Custos Fixos'!H24</f>
        <v>0.67973037965811689</v>
      </c>
      <c r="U25" s="22">
        <f>'Rateio Custos Fixos'!I24</f>
        <v>4.5315358643874461E-2</v>
      </c>
      <c r="V25" s="22">
        <f>'Rateio Custos Fixos'!J24</f>
        <v>8.1567645558974028E-2</v>
      </c>
      <c r="W25" s="22">
        <f>'Rateio Custos Fixos'!K24</f>
        <v>0.22204525735498484</v>
      </c>
      <c r="X25" s="22">
        <f>'Rateio Custos Fixos'!L24</f>
        <v>0.48034280162506926</v>
      </c>
      <c r="Y25" s="22">
        <f>'Rateio Custos Fixos'!M24</f>
        <v>0.16585421263658051</v>
      </c>
      <c r="Z25" s="22">
        <f>'Rateio Custos Fixos'!N24</f>
        <v>3.4990707330454103</v>
      </c>
      <c r="AA25" s="22">
        <f>'Rateio Custos Fixos'!O24</f>
        <v>0.67973037965811689</v>
      </c>
      <c r="AB25" s="22">
        <f>'Rateio Custos Fixos'!P24</f>
        <v>0.13594607593162339</v>
      </c>
      <c r="AC25" s="22">
        <f>'Rateio Custos Fixos'!Q24</f>
        <v>0.14515868834392304</v>
      </c>
      <c r="AD25" s="22">
        <f>'Rateio Custos Fixos'!R24</f>
        <v>9.0630717287748921E-2</v>
      </c>
      <c r="AE25" s="22">
        <f>'Rateio Custos Fixos'!S24</f>
        <v>2.0391911389743509</v>
      </c>
      <c r="AF25" s="22">
        <f>'Rateio Custos Fixos'!T24</f>
        <v>3.7626701742768276</v>
      </c>
      <c r="AG25" s="22">
        <f>'Rateio Custos Fixos'!U24</f>
        <v>0.58909966237036793</v>
      </c>
      <c r="AH25" s="22">
        <f t="shared" si="9"/>
        <v>13.273425925702147</v>
      </c>
      <c r="AI25" s="22">
        <f t="shared" si="10"/>
        <v>279.60348058479286</v>
      </c>
      <c r="AJ25" s="22">
        <f t="shared" si="11"/>
        <v>9.3201160194930956</v>
      </c>
    </row>
    <row r="26" spans="1:36" ht="14.4" x14ac:dyDescent="0.3">
      <c r="A26">
        <f>'Lista de Compra'!A24</f>
        <v>21</v>
      </c>
      <c r="B26" t="str">
        <f>'Lista de Compra'!B24</f>
        <v>REDUÇÃO CONCENTRICA ASTM A-234 ASME B16.9 SCH 40 2" X 1.1/2"</v>
      </c>
      <c r="C26">
        <f>'Lista de Compra'!C24</f>
        <v>72121000</v>
      </c>
      <c r="D26" s="98">
        <f>'Lista de Compra'!I24</f>
        <v>120</v>
      </c>
      <c r="E26" s="142">
        <f>'Lista de Compra'!L24</f>
        <v>8.5192874250483979E-4</v>
      </c>
      <c r="F26" s="139">
        <f>'Lista de Compra'!J24</f>
        <v>0.47</v>
      </c>
      <c r="G26" s="139">
        <f t="shared" si="2"/>
        <v>56.4</v>
      </c>
      <c r="H26" s="22">
        <f t="shared" si="3"/>
        <v>289.89599999999996</v>
      </c>
      <c r="I26" s="143">
        <f>'Rateio Custos Fixos'!E25</f>
        <v>82.228162226567136</v>
      </c>
      <c r="J26" s="22">
        <f t="shared" si="4"/>
        <v>372.12416222656708</v>
      </c>
      <c r="K26" s="22">
        <f t="shared" si="5"/>
        <v>413.80206839594257</v>
      </c>
      <c r="L26" s="22">
        <f t="shared" si="6"/>
        <v>41.677906169375511</v>
      </c>
      <c r="M26" s="22">
        <f t="shared" ref="M26:P45" si="12">M$5*$K26</f>
        <v>13.448567222868133</v>
      </c>
      <c r="N26" s="22">
        <f t="shared" si="12"/>
        <v>8.6898434363147938</v>
      </c>
      <c r="O26" s="22">
        <f t="shared" si="12"/>
        <v>39.93189960020846</v>
      </c>
      <c r="P26" s="22">
        <f t="shared" si="12"/>
        <v>24.828124103756554</v>
      </c>
      <c r="Q26" s="22">
        <f t="shared" si="8"/>
        <v>128.57634053252346</v>
      </c>
      <c r="R26" s="22">
        <f>'Rateio Custos Fixos'!F25</f>
        <v>0.2981750598766939</v>
      </c>
      <c r="S26" s="22">
        <f>'Rateio Custos Fixos'!G25</f>
        <v>0.93712161675532379</v>
      </c>
      <c r="T26" s="22">
        <f>'Rateio Custos Fixos'!H25</f>
        <v>1.2778931137572598</v>
      </c>
      <c r="U26" s="22">
        <f>'Rateio Custos Fixos'!I25</f>
        <v>8.5192874250483983E-2</v>
      </c>
      <c r="V26" s="22">
        <f>'Rateio Custos Fixos'!J25</f>
        <v>0.15334717365087117</v>
      </c>
      <c r="W26" s="22">
        <f>'Rateio Custos Fixos'!K25</f>
        <v>0.4174450838273715</v>
      </c>
      <c r="X26" s="22">
        <f>'Rateio Custos Fixos'!L25</f>
        <v>0.9030444670551302</v>
      </c>
      <c r="Y26" s="22">
        <f>'Rateio Custos Fixos'!M25</f>
        <v>0.31180591975677135</v>
      </c>
      <c r="Z26" s="22">
        <f>'Rateio Custos Fixos'!N25</f>
        <v>6.5782529781253709</v>
      </c>
      <c r="AA26" s="22">
        <f>'Rateio Custos Fixos'!O25</f>
        <v>1.2778931137572598</v>
      </c>
      <c r="AB26" s="22">
        <f>'Rateio Custos Fixos'!P25</f>
        <v>0.25557862275145193</v>
      </c>
      <c r="AC26" s="22">
        <f>'Rateio Custos Fixos'!Q25</f>
        <v>0.27289833408657532</v>
      </c>
      <c r="AD26" s="22">
        <f>'Rateio Custos Fixos'!R25</f>
        <v>0.17038574850096797</v>
      </c>
      <c r="AE26" s="22">
        <f>'Rateio Custos Fixos'!S25</f>
        <v>3.8336793412717789</v>
      </c>
      <c r="AF26" s="22">
        <f>'Rateio Custos Fixos'!T25</f>
        <v>7.0738199276404359</v>
      </c>
      <c r="AG26" s="22">
        <f>'Rateio Custos Fixos'!U25</f>
        <v>1.1075073652562917</v>
      </c>
      <c r="AH26" s="22">
        <f t="shared" si="9"/>
        <v>24.954040740320039</v>
      </c>
      <c r="AI26" s="22">
        <f t="shared" si="10"/>
        <v>525.65454349941058</v>
      </c>
      <c r="AJ26" s="22">
        <f t="shared" si="11"/>
        <v>4.3804545291617547</v>
      </c>
    </row>
    <row r="27" spans="1:36" ht="14.4" x14ac:dyDescent="0.3">
      <c r="A27">
        <f>'Lista de Compra'!A25</f>
        <v>22</v>
      </c>
      <c r="B27" t="str">
        <f>'Lista de Compra'!B25</f>
        <v>FLANGE CEGO ASTM A105 GR WPB B16.5 150 LBS 1</v>
      </c>
      <c r="C27">
        <f>'Lista de Compra'!C25</f>
        <v>72121000</v>
      </c>
      <c r="D27" s="98">
        <f>'Lista de Compra'!I25</f>
        <v>50</v>
      </c>
      <c r="E27" s="142">
        <f>'Lista de Compra'!L25</f>
        <v>7.6280853717188674E-4</v>
      </c>
      <c r="F27" s="139">
        <f>'Lista de Compra'!J25</f>
        <v>1.01</v>
      </c>
      <c r="G27" s="139">
        <f t="shared" si="2"/>
        <v>50.5</v>
      </c>
      <c r="H27" s="22">
        <f t="shared" si="3"/>
        <v>259.57</v>
      </c>
      <c r="I27" s="143">
        <f>'Rateio Custos Fixos'!E26</f>
        <v>73.626280007830502</v>
      </c>
      <c r="J27" s="22">
        <f t="shared" si="4"/>
        <v>333.19628000783052</v>
      </c>
      <c r="K27" s="22">
        <f t="shared" si="5"/>
        <v>370.51426336870753</v>
      </c>
      <c r="L27" s="22">
        <f t="shared" si="6"/>
        <v>37.317983360877022</v>
      </c>
      <c r="M27" s="22">
        <f t="shared" si="12"/>
        <v>12.041713559482995</v>
      </c>
      <c r="N27" s="22">
        <f t="shared" si="12"/>
        <v>7.7807995307428586</v>
      </c>
      <c r="O27" s="22">
        <f t="shared" si="12"/>
        <v>35.754626415080274</v>
      </c>
      <c r="P27" s="22">
        <f t="shared" si="12"/>
        <v>22.230855802122452</v>
      </c>
      <c r="Q27" s="22">
        <f t="shared" si="8"/>
        <v>115.12597866830561</v>
      </c>
      <c r="R27" s="22">
        <f>'Rateio Custos Fixos'!F26</f>
        <v>0.26698298801016035</v>
      </c>
      <c r="S27" s="22">
        <f>'Rateio Custos Fixos'!G26</f>
        <v>0.83908939088907541</v>
      </c>
      <c r="T27" s="22">
        <f>'Rateio Custos Fixos'!H26</f>
        <v>1.14421280575783</v>
      </c>
      <c r="U27" s="22">
        <f>'Rateio Custos Fixos'!I26</f>
        <v>7.6280853717188679E-2</v>
      </c>
      <c r="V27" s="22">
        <f>'Rateio Custos Fixos'!J26</f>
        <v>0.13730553669093962</v>
      </c>
      <c r="W27" s="22">
        <f>'Rateio Custos Fixos'!K26</f>
        <v>0.37377618321422451</v>
      </c>
      <c r="X27" s="22">
        <f>'Rateio Custos Fixos'!L26</f>
        <v>0.80857704940219999</v>
      </c>
      <c r="Y27" s="22">
        <f>'Rateio Custos Fixos'!M26</f>
        <v>0.27918792460491054</v>
      </c>
      <c r="Z27" s="22">
        <f>'Rateio Custos Fixos'!N26</f>
        <v>5.8901024006264402</v>
      </c>
      <c r="AA27" s="22">
        <f>'Rateio Custos Fixos'!O26</f>
        <v>1.14421280575783</v>
      </c>
      <c r="AB27" s="22">
        <f>'Rateio Custos Fixos'!P26</f>
        <v>0.22884256115156601</v>
      </c>
      <c r="AC27" s="22">
        <f>'Rateio Custos Fixos'!Q26</f>
        <v>0.24435045871227046</v>
      </c>
      <c r="AD27" s="22">
        <f>'Rateio Custos Fixos'!R26</f>
        <v>0.15256170743437736</v>
      </c>
      <c r="AE27" s="22">
        <f>'Rateio Custos Fixos'!S26</f>
        <v>3.4326384172734903</v>
      </c>
      <c r="AF27" s="22">
        <f>'Rateio Custos Fixos'!T26</f>
        <v>6.333828126699327</v>
      </c>
      <c r="AG27" s="22">
        <f>'Rateio Custos Fixos'!U26</f>
        <v>0.99165109832345277</v>
      </c>
      <c r="AH27" s="22">
        <f t="shared" si="9"/>
        <v>22.343600308265284</v>
      </c>
      <c r="AI27" s="22">
        <f t="shared" si="10"/>
        <v>470.66585898440144</v>
      </c>
      <c r="AJ27" s="22">
        <f t="shared" si="11"/>
        <v>9.4133171796880291</v>
      </c>
    </row>
    <row r="28" spans="1:36" ht="14.4" x14ac:dyDescent="0.3">
      <c r="A28">
        <f>'Lista de Compra'!A26</f>
        <v>23</v>
      </c>
      <c r="B28" t="str">
        <f>'Lista de Compra'!B26</f>
        <v>FLANGE CEGO ASTM A105 GR WPB B16.5 150 LBS 2"</v>
      </c>
      <c r="C28">
        <f>'Lista de Compra'!C26</f>
        <v>72121000</v>
      </c>
      <c r="D28" s="98">
        <f>'Lista de Compra'!I26</f>
        <v>15</v>
      </c>
      <c r="E28" s="142">
        <f>'Lista de Compra'!L26</f>
        <v>4.8260856955726299E-4</v>
      </c>
      <c r="F28" s="139">
        <f>'Lista de Compra'!J26</f>
        <v>2.13</v>
      </c>
      <c r="G28" s="139">
        <f t="shared" si="2"/>
        <v>31.95</v>
      </c>
      <c r="H28" s="22">
        <f t="shared" si="3"/>
        <v>164.22299999999998</v>
      </c>
      <c r="I28" s="143">
        <f>'Rateio Custos Fixos'!E27</f>
        <v>46.581379133667021</v>
      </c>
      <c r="J28" s="22">
        <f t="shared" si="4"/>
        <v>210.804379133667</v>
      </c>
      <c r="K28" s="22">
        <f t="shared" si="5"/>
        <v>234.4144695966377</v>
      </c>
      <c r="L28" s="22">
        <f t="shared" si="6"/>
        <v>23.610090462970703</v>
      </c>
      <c r="M28" s="22">
        <f t="shared" si="12"/>
        <v>7.6184702618907254</v>
      </c>
      <c r="N28" s="22">
        <f t="shared" si="12"/>
        <v>4.9227038615293921</v>
      </c>
      <c r="O28" s="22">
        <f t="shared" si="12"/>
        <v>22.620996316075537</v>
      </c>
      <c r="P28" s="22">
        <f t="shared" si="12"/>
        <v>14.064868175798262</v>
      </c>
      <c r="Q28" s="22">
        <f t="shared" si="8"/>
        <v>72.837129078264624</v>
      </c>
      <c r="R28" s="22">
        <f>'Rateio Custos Fixos'!F27</f>
        <v>0.16891299934504206</v>
      </c>
      <c r="S28" s="22">
        <f>'Rateio Custos Fixos'!G27</f>
        <v>0.5308694265129893</v>
      </c>
      <c r="T28" s="22">
        <f>'Rateio Custos Fixos'!H27</f>
        <v>0.72391285433589447</v>
      </c>
      <c r="U28" s="22">
        <f>'Rateio Custos Fixos'!I27</f>
        <v>4.8260856955726301E-2</v>
      </c>
      <c r="V28" s="22">
        <f>'Rateio Custos Fixos'!J27</f>
        <v>8.6869542520307333E-2</v>
      </c>
      <c r="W28" s="22">
        <f>'Rateio Custos Fixos'!K27</f>
        <v>0.23647819908305887</v>
      </c>
      <c r="X28" s="22">
        <f>'Rateio Custos Fixos'!L27</f>
        <v>0.51156508373069876</v>
      </c>
      <c r="Y28" s="22">
        <f>'Rateio Custos Fixos'!M27</f>
        <v>0.17663473645795824</v>
      </c>
      <c r="Z28" s="22">
        <f>'Rateio Custos Fixos'!N27</f>
        <v>3.7265103306933618</v>
      </c>
      <c r="AA28" s="22">
        <f>'Rateio Custos Fixos'!O27</f>
        <v>0.72391285433589447</v>
      </c>
      <c r="AB28" s="22">
        <f>'Rateio Custos Fixos'!P27</f>
        <v>0.14478257086717888</v>
      </c>
      <c r="AC28" s="22">
        <f>'Rateio Custos Fixos'!Q27</f>
        <v>0.15459400308627805</v>
      </c>
      <c r="AD28" s="22">
        <f>'Rateio Custos Fixos'!R27</f>
        <v>9.6521713911452603E-2</v>
      </c>
      <c r="AE28" s="22">
        <f>'Rateio Custos Fixos'!S27</f>
        <v>2.1717385630076835</v>
      </c>
      <c r="AF28" s="22">
        <f>'Rateio Custos Fixos'!T27</f>
        <v>4.0072437356048214</v>
      </c>
      <c r="AG28" s="22">
        <f>'Rateio Custos Fixos'!U27</f>
        <v>0.62739114042444188</v>
      </c>
      <c r="AH28" s="22">
        <f t="shared" si="9"/>
        <v>14.136198610872787</v>
      </c>
      <c r="AI28" s="22">
        <f t="shared" si="10"/>
        <v>297.77770682280442</v>
      </c>
      <c r="AJ28" s="22">
        <f t="shared" si="11"/>
        <v>19.851847121520294</v>
      </c>
    </row>
    <row r="29" spans="1:36" ht="14.4" x14ac:dyDescent="0.3">
      <c r="A29">
        <f>'Lista de Compra'!A27</f>
        <v>24</v>
      </c>
      <c r="B29" t="str">
        <f>'Lista de Compra'!B27</f>
        <v>FLANGE CEGO ASTM A105 GR WPB B16.5 150 LBS 3"</v>
      </c>
      <c r="C29">
        <f>'Lista de Compra'!C27</f>
        <v>72121000</v>
      </c>
      <c r="D29" s="98">
        <f>'Lista de Compra'!I27</f>
        <v>50</v>
      </c>
      <c r="E29" s="142">
        <f>'Lista de Compra'!L27</f>
        <v>2.9152880727559235E-3</v>
      </c>
      <c r="F29" s="139">
        <f>'Lista de Compra'!J27</f>
        <v>3.86</v>
      </c>
      <c r="G29" s="139">
        <f t="shared" si="2"/>
        <v>193</v>
      </c>
      <c r="H29" s="22">
        <f t="shared" si="3"/>
        <v>992.02</v>
      </c>
      <c r="I29" s="143">
        <f>'Rateio Custos Fixos'!E28</f>
        <v>281.38360478240173</v>
      </c>
      <c r="J29" s="22">
        <f t="shared" si="4"/>
        <v>1273.4036047824018</v>
      </c>
      <c r="K29" s="22">
        <f t="shared" si="5"/>
        <v>1416.0248085180308</v>
      </c>
      <c r="L29" s="22">
        <f t="shared" si="6"/>
        <v>142.621203735629</v>
      </c>
      <c r="M29" s="22">
        <f t="shared" si="12"/>
        <v>46.020806276836005</v>
      </c>
      <c r="N29" s="22">
        <f t="shared" si="12"/>
        <v>29.736520978878648</v>
      </c>
      <c r="O29" s="22">
        <f t="shared" si="12"/>
        <v>136.64639402198998</v>
      </c>
      <c r="P29" s="22">
        <f t="shared" si="12"/>
        <v>84.961488511081839</v>
      </c>
      <c r="Q29" s="22">
        <f t="shared" si="8"/>
        <v>439.98641352441541</v>
      </c>
      <c r="R29" s="22">
        <f>'Rateio Custos Fixos'!F28</f>
        <v>1.0203508254645732</v>
      </c>
      <c r="S29" s="22">
        <f>'Rateio Custos Fixos'!G28</f>
        <v>3.206816880031516</v>
      </c>
      <c r="T29" s="22">
        <f>'Rateio Custos Fixos'!H28</f>
        <v>4.3729321091338855</v>
      </c>
      <c r="U29" s="22">
        <f>'Rateio Custos Fixos'!I28</f>
        <v>0.29152880727559233</v>
      </c>
      <c r="V29" s="22">
        <f>'Rateio Custos Fixos'!J28</f>
        <v>0.5247518530960662</v>
      </c>
      <c r="W29" s="22">
        <f>'Rateio Custos Fixos'!K28</f>
        <v>1.4284911556504025</v>
      </c>
      <c r="X29" s="22">
        <f>'Rateio Custos Fixos'!L28</f>
        <v>3.0902053571212789</v>
      </c>
      <c r="Y29" s="22">
        <f>'Rateio Custos Fixos'!M28</f>
        <v>1.0669954346286681</v>
      </c>
      <c r="Z29" s="22">
        <f>'Rateio Custos Fixos'!N28</f>
        <v>22.510688382592139</v>
      </c>
      <c r="AA29" s="22">
        <f>'Rateio Custos Fixos'!O28</f>
        <v>4.3729321091338855</v>
      </c>
      <c r="AB29" s="22">
        <f>'Rateio Custos Fixos'!P28</f>
        <v>0.87458642182677704</v>
      </c>
      <c r="AC29" s="22">
        <f>'Rateio Custos Fixos'!Q28</f>
        <v>0.93385422834590492</v>
      </c>
      <c r="AD29" s="22">
        <f>'Rateio Custos Fixos'!R28</f>
        <v>0.58305761455118466</v>
      </c>
      <c r="AE29" s="22">
        <f>'Rateio Custos Fixos'!S28</f>
        <v>13.118796327401656</v>
      </c>
      <c r="AF29" s="22">
        <f>'Rateio Custos Fixos'!T28</f>
        <v>24.206511454514256</v>
      </c>
      <c r="AG29" s="22">
        <f>'Rateio Custos Fixos'!U28</f>
        <v>3.7898744945827008</v>
      </c>
      <c r="AH29" s="22">
        <f t="shared" si="9"/>
        <v>85.392373455350494</v>
      </c>
      <c r="AI29" s="22">
        <f t="shared" si="10"/>
        <v>1798.7823917621677</v>
      </c>
      <c r="AJ29" s="22">
        <f t="shared" si="11"/>
        <v>35.97564783524335</v>
      </c>
    </row>
    <row r="30" spans="1:36" ht="14.4" x14ac:dyDescent="0.3">
      <c r="A30">
        <f>'Lista de Compra'!A28</f>
        <v>25</v>
      </c>
      <c r="B30" t="str">
        <f>'Lista de Compra'!B28</f>
        <v>FLANGE CEGO ASTM A105 GR WPB B16.5 150 LBS 5"</v>
      </c>
      <c r="C30">
        <f>'Lista de Compra'!C28</f>
        <v>72121000</v>
      </c>
      <c r="D30" s="98">
        <f>'Lista de Compra'!I28</f>
        <v>100</v>
      </c>
      <c r="E30" s="142">
        <f>'Lista de Compra'!L28</f>
        <v>1.0724634879050289E-2</v>
      </c>
      <c r="F30" s="139">
        <f>'Lista de Compra'!J28</f>
        <v>7.1</v>
      </c>
      <c r="G30" s="139">
        <f t="shared" si="2"/>
        <v>710</v>
      </c>
      <c r="H30" s="22">
        <f t="shared" si="3"/>
        <v>3649.3999999999996</v>
      </c>
      <c r="I30" s="143">
        <f>'Rateio Custos Fixos'!E29</f>
        <v>1035.1417585259339</v>
      </c>
      <c r="J30" s="22">
        <f t="shared" si="4"/>
        <v>4684.5417585259338</v>
      </c>
      <c r="K30" s="22">
        <f t="shared" si="5"/>
        <v>5209.210435480838</v>
      </c>
      <c r="L30" s="22">
        <f t="shared" si="6"/>
        <v>524.66867695490464</v>
      </c>
      <c r="M30" s="22">
        <f t="shared" si="12"/>
        <v>169.29933915312725</v>
      </c>
      <c r="N30" s="22">
        <f t="shared" si="12"/>
        <v>109.39341914509761</v>
      </c>
      <c r="O30" s="22">
        <f t="shared" si="12"/>
        <v>502.68880702390089</v>
      </c>
      <c r="P30" s="22">
        <f t="shared" si="12"/>
        <v>312.55262612885025</v>
      </c>
      <c r="Q30" s="22">
        <f t="shared" si="8"/>
        <v>1618.6028684058806</v>
      </c>
      <c r="R30" s="22">
        <f>'Rateio Custos Fixos'!F29</f>
        <v>3.7536222076676014</v>
      </c>
      <c r="S30" s="22">
        <f>'Rateio Custos Fixos'!G29</f>
        <v>11.797098366955318</v>
      </c>
      <c r="T30" s="22">
        <f>'Rateio Custos Fixos'!H29</f>
        <v>16.086952318575435</v>
      </c>
      <c r="U30" s="22">
        <f>'Rateio Custos Fixos'!I29</f>
        <v>1.072463487905029</v>
      </c>
      <c r="V30" s="22">
        <f>'Rateio Custos Fixos'!J29</f>
        <v>1.930434278229052</v>
      </c>
      <c r="W30" s="22">
        <f>'Rateio Custos Fixos'!K29</f>
        <v>5.2550710907346421</v>
      </c>
      <c r="X30" s="22">
        <f>'Rateio Custos Fixos'!L29</f>
        <v>11.368112971793307</v>
      </c>
      <c r="Y30" s="22">
        <f>'Rateio Custos Fixos'!M29</f>
        <v>3.925216365732406</v>
      </c>
      <c r="Z30" s="22">
        <f>'Rateio Custos Fixos'!N29</f>
        <v>82.811340682074714</v>
      </c>
      <c r="AA30" s="22">
        <f>'Rateio Custos Fixos'!O29</f>
        <v>16.086952318575435</v>
      </c>
      <c r="AB30" s="22">
        <f>'Rateio Custos Fixos'!P29</f>
        <v>3.2173904637150867</v>
      </c>
      <c r="AC30" s="22">
        <f>'Rateio Custos Fixos'!Q29</f>
        <v>3.4354222908061791</v>
      </c>
      <c r="AD30" s="22">
        <f>'Rateio Custos Fixos'!R29</f>
        <v>2.144926975810058</v>
      </c>
      <c r="AE30" s="22">
        <f>'Rateio Custos Fixos'!S29</f>
        <v>48.260856955726304</v>
      </c>
      <c r="AF30" s="22">
        <f>'Rateio Custos Fixos'!T29</f>
        <v>89.049860791218265</v>
      </c>
      <c r="AG30" s="22">
        <f>'Rateio Custos Fixos'!U29</f>
        <v>13.942025342765376</v>
      </c>
      <c r="AH30" s="22">
        <f t="shared" si="9"/>
        <v>314.13774690828416</v>
      </c>
      <c r="AI30" s="22">
        <f t="shared" si="10"/>
        <v>6617.2823738400994</v>
      </c>
      <c r="AJ30" s="22">
        <f t="shared" si="11"/>
        <v>66.172823738400993</v>
      </c>
    </row>
    <row r="31" spans="1:36" ht="14.4" x14ac:dyDescent="0.3">
      <c r="A31">
        <f>'Lista de Compra'!A29</f>
        <v>26</v>
      </c>
      <c r="B31" t="str">
        <f>'Lista de Compra'!B29</f>
        <v>FLANGE CEGO ASTM A105 GR WPB B16.5 150 LBS 6"</v>
      </c>
      <c r="C31">
        <f>'Lista de Compra'!C29</f>
        <v>72121000</v>
      </c>
      <c r="D31" s="98">
        <f>'Lista de Compra'!I29</f>
        <v>200</v>
      </c>
      <c r="E31" s="142">
        <f>'Lista de Compra'!L29</f>
        <v>2.8820568097504152E-2</v>
      </c>
      <c r="F31" s="139">
        <f>'Lista de Compra'!J29</f>
        <v>9.5399999999999991</v>
      </c>
      <c r="G31" s="139">
        <f t="shared" si="2"/>
        <v>1907.9999999999998</v>
      </c>
      <c r="H31" s="22">
        <f t="shared" si="3"/>
        <v>9807.119999999999</v>
      </c>
      <c r="I31" s="143">
        <f>'Rateio Custos Fixos'!E30</f>
        <v>2781.7612327711008</v>
      </c>
      <c r="J31" s="22">
        <f t="shared" si="4"/>
        <v>12588.8812327711</v>
      </c>
      <c r="K31" s="22">
        <f t="shared" si="5"/>
        <v>13998.835930841464</v>
      </c>
      <c r="L31" s="22">
        <f t="shared" si="6"/>
        <v>1409.9546980703633</v>
      </c>
      <c r="M31" s="22">
        <f t="shared" si="12"/>
        <v>454.96216775234757</v>
      </c>
      <c r="N31" s="22">
        <f t="shared" si="12"/>
        <v>293.97555454767075</v>
      </c>
      <c r="O31" s="22">
        <f t="shared" si="12"/>
        <v>1350.8876673262014</v>
      </c>
      <c r="P31" s="22">
        <f t="shared" si="12"/>
        <v>839.93015585048784</v>
      </c>
      <c r="Q31" s="22">
        <f t="shared" si="8"/>
        <v>4349.7102435470706</v>
      </c>
      <c r="R31" s="22">
        <f>'Rateio Custos Fixos'!F30</f>
        <v>10.087198834126454</v>
      </c>
      <c r="S31" s="22">
        <f>'Rateio Custos Fixos'!G30</f>
        <v>31.702624907254567</v>
      </c>
      <c r="T31" s="22">
        <f>'Rateio Custos Fixos'!H30</f>
        <v>43.230852146256225</v>
      </c>
      <c r="U31" s="22">
        <f>'Rateio Custos Fixos'!I30</f>
        <v>2.8820568097504151</v>
      </c>
      <c r="V31" s="22">
        <f>'Rateio Custos Fixos'!J30</f>
        <v>5.1877022575507477</v>
      </c>
      <c r="W31" s="22">
        <f>'Rateio Custos Fixos'!K30</f>
        <v>14.122078367777034</v>
      </c>
      <c r="X31" s="22">
        <f>'Rateio Custos Fixos'!L30</f>
        <v>30.549802183354402</v>
      </c>
      <c r="Y31" s="22">
        <f>'Rateio Custos Fixos'!M30</f>
        <v>10.54832792368652</v>
      </c>
      <c r="Z31" s="22">
        <f>'Rateio Custos Fixos'!N30</f>
        <v>222.54089862168806</v>
      </c>
      <c r="AA31" s="22">
        <f>'Rateio Custos Fixos'!O30</f>
        <v>43.230852146256225</v>
      </c>
      <c r="AB31" s="22">
        <f>'Rateio Custos Fixos'!P30</f>
        <v>8.6461704292512458</v>
      </c>
      <c r="AC31" s="22">
        <f>'Rateio Custos Fixos'!Q30</f>
        <v>9.2320925786735053</v>
      </c>
      <c r="AD31" s="22">
        <f>'Rateio Custos Fixos'!R30</f>
        <v>5.7641136195008302</v>
      </c>
      <c r="AE31" s="22">
        <f>'Rateio Custos Fixos'!S30</f>
        <v>129.69255643876869</v>
      </c>
      <c r="AF31" s="22">
        <f>'Rateio Custos Fixos'!T30</f>
        <v>239.30582308400619</v>
      </c>
      <c r="AG31" s="22">
        <f>'Rateio Custos Fixos'!U30</f>
        <v>37.4667385267554</v>
      </c>
      <c r="AH31" s="22">
        <f t="shared" si="9"/>
        <v>844.18988887465662</v>
      </c>
      <c r="AI31" s="22">
        <f t="shared" si="10"/>
        <v>17782.78136519283</v>
      </c>
      <c r="AJ31" s="22">
        <f t="shared" si="11"/>
        <v>88.913906825964148</v>
      </c>
    </row>
    <row r="32" spans="1:36" ht="14.4" x14ac:dyDescent="0.3">
      <c r="A32">
        <f>'Lista de Compra'!A30</f>
        <v>27</v>
      </c>
      <c r="B32" t="str">
        <f>'Lista de Compra'!B30</f>
        <v>FLANGE CEGO ASTM A105 GR WPB B16.5 150 LBS 8"</v>
      </c>
      <c r="C32">
        <f>'Lista de Compra'!C30</f>
        <v>72121000</v>
      </c>
      <c r="D32" s="98">
        <f>'Lista de Compra'!I30</f>
        <v>30</v>
      </c>
      <c r="E32" s="142">
        <f>'Lista de Compra'!L30</f>
        <v>7.0827905560375782E-3</v>
      </c>
      <c r="F32" s="139">
        <f>'Lista de Compra'!J30</f>
        <v>15.63</v>
      </c>
      <c r="G32" s="139">
        <f t="shared" si="2"/>
        <v>468.90000000000003</v>
      </c>
      <c r="H32" s="22">
        <f t="shared" si="3"/>
        <v>2410.1460000000002</v>
      </c>
      <c r="I32" s="143">
        <f>'Rateio Custos Fixos'!E31</f>
        <v>683.63094446874709</v>
      </c>
      <c r="J32" s="22">
        <f t="shared" si="4"/>
        <v>3093.7769444687474</v>
      </c>
      <c r="K32" s="22">
        <f t="shared" si="5"/>
        <v>3440.2799622492471</v>
      </c>
      <c r="L32" s="22">
        <f t="shared" si="6"/>
        <v>346.5030177804997</v>
      </c>
      <c r="M32" s="22">
        <f t="shared" si="12"/>
        <v>111.80909877310053</v>
      </c>
      <c r="N32" s="22">
        <f t="shared" si="12"/>
        <v>72.245879207234196</v>
      </c>
      <c r="O32" s="22">
        <f t="shared" si="12"/>
        <v>331.98701635705237</v>
      </c>
      <c r="P32" s="22">
        <f t="shared" si="12"/>
        <v>206.41679773495483</v>
      </c>
      <c r="Q32" s="22">
        <f t="shared" si="8"/>
        <v>1068.9618098528415</v>
      </c>
      <c r="R32" s="22">
        <f>'Rateio Custos Fixos'!F31</f>
        <v>2.4789766946131522</v>
      </c>
      <c r="S32" s="22">
        <f>'Rateio Custos Fixos'!G31</f>
        <v>7.791069611641336</v>
      </c>
      <c r="T32" s="22">
        <f>'Rateio Custos Fixos'!H31</f>
        <v>10.624185834056368</v>
      </c>
      <c r="U32" s="22">
        <f>'Rateio Custos Fixos'!I31</f>
        <v>0.70827905560375781</v>
      </c>
      <c r="V32" s="22">
        <f>'Rateio Custos Fixos'!J31</f>
        <v>1.2749023000867641</v>
      </c>
      <c r="W32" s="22">
        <f>'Rateio Custos Fixos'!K31</f>
        <v>3.4705673724584134</v>
      </c>
      <c r="X32" s="22">
        <f>'Rateio Custos Fixos'!L31</f>
        <v>7.507757989399833</v>
      </c>
      <c r="Y32" s="22">
        <f>'Rateio Custos Fixos'!M31</f>
        <v>2.5923013435097535</v>
      </c>
      <c r="Z32" s="22">
        <f>'Rateio Custos Fixos'!N31</f>
        <v>54.690475557499767</v>
      </c>
      <c r="AA32" s="22">
        <f>'Rateio Custos Fixos'!O31</f>
        <v>10.624185834056368</v>
      </c>
      <c r="AB32" s="22">
        <f>'Rateio Custos Fixos'!P31</f>
        <v>2.1248371668112735</v>
      </c>
      <c r="AC32" s="22">
        <f>'Rateio Custos Fixos'!Q31</f>
        <v>2.2688302988155171</v>
      </c>
      <c r="AD32" s="22">
        <f>'Rateio Custos Fixos'!R31</f>
        <v>1.4165581112075156</v>
      </c>
      <c r="AE32" s="22">
        <f>'Rateio Custos Fixos'!S31</f>
        <v>31.872557502169101</v>
      </c>
      <c r="AF32" s="22">
        <f>'Rateio Custos Fixos'!T31</f>
        <v>58.810534823946817</v>
      </c>
      <c r="AG32" s="22">
        <f>'Rateio Custos Fixos'!U31</f>
        <v>9.2076277228488514</v>
      </c>
      <c r="AH32" s="22">
        <f t="shared" si="9"/>
        <v>207.46364721872459</v>
      </c>
      <c r="AI32" s="22">
        <f t="shared" si="10"/>
        <v>4370.202401540314</v>
      </c>
      <c r="AJ32" s="22">
        <f t="shared" si="11"/>
        <v>145.67341338467713</v>
      </c>
    </row>
    <row r="33" spans="1:36" ht="14.4" x14ac:dyDescent="0.3">
      <c r="A33">
        <f>'Lista de Compra'!A31</f>
        <v>28</v>
      </c>
      <c r="B33" t="str">
        <f>'Lista de Compra'!B31</f>
        <v>FLANGE LISO ASTM A105 GR WPB B16.5 150 LBS 1/2" PLATE</v>
      </c>
      <c r="C33">
        <f>'Lista de Compra'!C31</f>
        <v>72121000</v>
      </c>
      <c r="D33" s="98">
        <f>'Lista de Compra'!I31</f>
        <v>25</v>
      </c>
      <c r="E33" s="142">
        <f>'Lista de Compra'!L31</f>
        <v>2.8322099152421537E-4</v>
      </c>
      <c r="F33" s="139">
        <f>'Lista de Compra'!J31</f>
        <v>0.75</v>
      </c>
      <c r="G33" s="139">
        <f t="shared" si="2"/>
        <v>18.75</v>
      </c>
      <c r="H33" s="22">
        <f t="shared" si="3"/>
        <v>96.375</v>
      </c>
      <c r="I33" s="143">
        <f>'Rateio Custos Fixos'!E32</f>
        <v>27.336490101917267</v>
      </c>
      <c r="J33" s="22">
        <f t="shared" si="4"/>
        <v>123.71149010191726</v>
      </c>
      <c r="K33" s="22">
        <f t="shared" si="5"/>
        <v>137.567176993332</v>
      </c>
      <c r="L33" s="22">
        <f t="shared" si="6"/>
        <v>13.855686891414734</v>
      </c>
      <c r="M33" s="22">
        <f t="shared" si="12"/>
        <v>4.4709332522832899</v>
      </c>
      <c r="N33" s="22">
        <f t="shared" si="12"/>
        <v>2.8889107168599719</v>
      </c>
      <c r="O33" s="22">
        <f t="shared" si="12"/>
        <v>13.275232579856539</v>
      </c>
      <c r="P33" s="22">
        <f t="shared" si="12"/>
        <v>8.25403061959992</v>
      </c>
      <c r="Q33" s="22">
        <f t="shared" si="8"/>
        <v>42.744794060014456</v>
      </c>
      <c r="R33" s="22">
        <f>'Rateio Custos Fixos'!F32</f>
        <v>9.912734703347538E-2</v>
      </c>
      <c r="S33" s="22">
        <f>'Rateio Custos Fixos'!G32</f>
        <v>0.31154309067663688</v>
      </c>
      <c r="T33" s="22">
        <f>'Rateio Custos Fixos'!H32</f>
        <v>0.42483148728632303</v>
      </c>
      <c r="U33" s="22">
        <f>'Rateio Custos Fixos'!I32</f>
        <v>2.8322099152421537E-2</v>
      </c>
      <c r="V33" s="22">
        <f>'Rateio Custos Fixos'!J32</f>
        <v>5.0979778474358764E-2</v>
      </c>
      <c r="W33" s="22">
        <f>'Rateio Custos Fixos'!K32</f>
        <v>0.13877828584686552</v>
      </c>
      <c r="X33" s="22">
        <f>'Rateio Custos Fixos'!L32</f>
        <v>0.30021425101566829</v>
      </c>
      <c r="Y33" s="22">
        <f>'Rateio Custos Fixos'!M32</f>
        <v>0.10365888289786282</v>
      </c>
      <c r="Z33" s="22">
        <f>'Rateio Custos Fixos'!N32</f>
        <v>2.1869192081533813</v>
      </c>
      <c r="AA33" s="22">
        <f>'Rateio Custos Fixos'!O32</f>
        <v>0.42483148728632303</v>
      </c>
      <c r="AB33" s="22">
        <f>'Rateio Custos Fixos'!P32</f>
        <v>8.4966297457264611E-2</v>
      </c>
      <c r="AC33" s="22">
        <f>'Rateio Custos Fixos'!Q32</f>
        <v>9.0724180214951905E-2</v>
      </c>
      <c r="AD33" s="22">
        <f>'Rateio Custos Fixos'!R32</f>
        <v>5.6644198304843074E-2</v>
      </c>
      <c r="AE33" s="22">
        <f>'Rateio Custos Fixos'!S32</f>
        <v>1.2744944618589691</v>
      </c>
      <c r="AF33" s="22">
        <f>'Rateio Custos Fixos'!T32</f>
        <v>2.3516688589230172</v>
      </c>
      <c r="AG33" s="22">
        <f>'Rateio Custos Fixos'!U32</f>
        <v>0.36818728898147995</v>
      </c>
      <c r="AH33" s="22">
        <f t="shared" si="9"/>
        <v>8.2958912035638424</v>
      </c>
      <c r="AI33" s="22">
        <f t="shared" si="10"/>
        <v>174.75217536549556</v>
      </c>
      <c r="AJ33" s="22">
        <f t="shared" si="11"/>
        <v>6.9900870146198226</v>
      </c>
    </row>
    <row r="34" spans="1:36" ht="14.4" x14ac:dyDescent="0.3">
      <c r="A34">
        <f>'Lista de Compra'!A32</f>
        <v>29</v>
      </c>
      <c r="B34" t="str">
        <f>'Lista de Compra'!B32</f>
        <v>FLANGE LISO ASTM A105 GR WPB B16.5 150 LBS 3/4"</v>
      </c>
      <c r="C34">
        <f>'Lista de Compra'!C32</f>
        <v>72121000</v>
      </c>
      <c r="D34" s="98">
        <f>'Lista de Compra'!I32</f>
        <v>50</v>
      </c>
      <c r="E34" s="142">
        <f>'Lista de Compra'!L32</f>
        <v>6.7217781988413783E-4</v>
      </c>
      <c r="F34" s="139">
        <f>'Lista de Compra'!J32</f>
        <v>0.89</v>
      </c>
      <c r="G34" s="139">
        <f t="shared" si="2"/>
        <v>44.5</v>
      </c>
      <c r="H34" s="22">
        <f t="shared" si="3"/>
        <v>228.73</v>
      </c>
      <c r="I34" s="143">
        <f>'Rateio Custos Fixos'!E33</f>
        <v>64.878603175216981</v>
      </c>
      <c r="J34" s="22">
        <f t="shared" si="4"/>
        <v>293.60860317521696</v>
      </c>
      <c r="K34" s="22">
        <f t="shared" si="5"/>
        <v>326.49276673084125</v>
      </c>
      <c r="L34" s="22">
        <f t="shared" si="6"/>
        <v>32.884163555624298</v>
      </c>
      <c r="M34" s="22">
        <f t="shared" si="12"/>
        <v>10.611014918752341</v>
      </c>
      <c r="N34" s="22">
        <f t="shared" si="12"/>
        <v>6.8563481013476668</v>
      </c>
      <c r="O34" s="22">
        <f t="shared" si="12"/>
        <v>31.50655198952618</v>
      </c>
      <c r="P34" s="22">
        <f t="shared" si="12"/>
        <v>19.589566003850475</v>
      </c>
      <c r="Q34" s="22">
        <f t="shared" si="8"/>
        <v>101.44764456910096</v>
      </c>
      <c r="R34" s="22">
        <f>'Rateio Custos Fixos'!F33</f>
        <v>0.23526223695944823</v>
      </c>
      <c r="S34" s="22">
        <f>'Rateio Custos Fixos'!G33</f>
        <v>0.7393956018725516</v>
      </c>
      <c r="T34" s="22">
        <f>'Rateio Custos Fixos'!H33</f>
        <v>1.0082667298262067</v>
      </c>
      <c r="U34" s="22">
        <f>'Rateio Custos Fixos'!I33</f>
        <v>6.7217781988413786E-2</v>
      </c>
      <c r="V34" s="22">
        <f>'Rateio Custos Fixos'!J33</f>
        <v>0.12099200757914481</v>
      </c>
      <c r="W34" s="22">
        <f>'Rateio Custos Fixos'!K33</f>
        <v>0.32936713174322751</v>
      </c>
      <c r="X34" s="22">
        <f>'Rateio Custos Fixos'!L33</f>
        <v>0.71250848907718611</v>
      </c>
      <c r="Y34" s="22">
        <f>'Rateio Custos Fixos'!M33</f>
        <v>0.24601708207759446</v>
      </c>
      <c r="Z34" s="22">
        <f>'Rateio Custos Fixos'!N33</f>
        <v>5.1902882540173589</v>
      </c>
      <c r="AA34" s="22">
        <f>'Rateio Custos Fixos'!O33</f>
        <v>1.0082667298262067</v>
      </c>
      <c r="AB34" s="22">
        <f>'Rateio Custos Fixos'!P33</f>
        <v>0.20165334596524134</v>
      </c>
      <c r="AC34" s="22">
        <f>'Rateio Custos Fixos'!Q33</f>
        <v>0.21531872104348587</v>
      </c>
      <c r="AD34" s="22">
        <f>'Rateio Custos Fixos'!R33</f>
        <v>0.13443556397682757</v>
      </c>
      <c r="AE34" s="22">
        <f>'Rateio Custos Fixos'!S33</f>
        <v>3.0248001894786203</v>
      </c>
      <c r="AF34" s="22">
        <f>'Rateio Custos Fixos'!T33</f>
        <v>5.5812940918439615</v>
      </c>
      <c r="AG34" s="22">
        <f>'Rateio Custos Fixos'!U33</f>
        <v>0.87383116584937914</v>
      </c>
      <c r="AH34" s="22">
        <f t="shared" si="9"/>
        <v>19.688915123124854</v>
      </c>
      <c r="AI34" s="22">
        <f t="shared" si="10"/>
        <v>414.74516286744279</v>
      </c>
      <c r="AJ34" s="22">
        <f t="shared" si="11"/>
        <v>8.2949032573488566</v>
      </c>
    </row>
    <row r="35" spans="1:36" ht="14.4" x14ac:dyDescent="0.3">
      <c r="A35">
        <f>'Lista de Compra'!A33</f>
        <v>30</v>
      </c>
      <c r="B35" t="str">
        <f>'Lista de Compra'!B33</f>
        <v>FLANGE LISO ASTM A105 GR WPB B16.5 150 LBS 1"</v>
      </c>
      <c r="C35">
        <f>'Lista de Compra'!C33</f>
        <v>72121000</v>
      </c>
      <c r="D35" s="98">
        <f>'Lista de Compra'!I33</f>
        <v>200</v>
      </c>
      <c r="E35" s="142">
        <f>'Lista de Compra'!L33</f>
        <v>2.9908136704957142E-3</v>
      </c>
      <c r="F35" s="139">
        <f>'Lista de Compra'!J33</f>
        <v>0.99</v>
      </c>
      <c r="G35" s="139">
        <f t="shared" si="2"/>
        <v>198</v>
      </c>
      <c r="H35" s="22">
        <f t="shared" si="3"/>
        <v>1017.7199999999999</v>
      </c>
      <c r="I35" s="143">
        <f>'Rateio Custos Fixos'!E34</f>
        <v>288.67333547624634</v>
      </c>
      <c r="J35" s="22">
        <f t="shared" si="4"/>
        <v>1306.3933354762462</v>
      </c>
      <c r="K35" s="22">
        <f t="shared" si="5"/>
        <v>1452.7093890495858</v>
      </c>
      <c r="L35" s="22">
        <f t="shared" si="6"/>
        <v>146.31605357333959</v>
      </c>
      <c r="M35" s="22">
        <f t="shared" si="12"/>
        <v>47.213055144111536</v>
      </c>
      <c r="N35" s="22">
        <f t="shared" si="12"/>
        <v>30.506897170041302</v>
      </c>
      <c r="O35" s="22">
        <f t="shared" si="12"/>
        <v>140.18645604328503</v>
      </c>
      <c r="P35" s="22">
        <f t="shared" si="12"/>
        <v>87.162563342975147</v>
      </c>
      <c r="Q35" s="22">
        <f t="shared" si="8"/>
        <v>451.3850252737526</v>
      </c>
      <c r="R35" s="22">
        <f>'Rateio Custos Fixos'!F34</f>
        <v>1.0467847846734999</v>
      </c>
      <c r="S35" s="22">
        <f>'Rateio Custos Fixos'!G34</f>
        <v>3.2898950375452856</v>
      </c>
      <c r="T35" s="22">
        <f>'Rateio Custos Fixos'!H34</f>
        <v>4.4862205057435709</v>
      </c>
      <c r="U35" s="22">
        <f>'Rateio Custos Fixos'!I34</f>
        <v>0.29908136704957144</v>
      </c>
      <c r="V35" s="22">
        <f>'Rateio Custos Fixos'!J34</f>
        <v>0.53834646068922853</v>
      </c>
      <c r="W35" s="22">
        <f>'Rateio Custos Fixos'!K34</f>
        <v>1.4654986985428999</v>
      </c>
      <c r="X35" s="22">
        <f>'Rateio Custos Fixos'!L34</f>
        <v>3.1702624907254573</v>
      </c>
      <c r="Y35" s="22">
        <f>'Rateio Custos Fixos'!M34</f>
        <v>1.0946378034014315</v>
      </c>
      <c r="Z35" s="22">
        <f>'Rateio Custos Fixos'!N34</f>
        <v>23.093866838099707</v>
      </c>
      <c r="AA35" s="22">
        <f>'Rateio Custos Fixos'!O34</f>
        <v>4.4862205057435709</v>
      </c>
      <c r="AB35" s="22">
        <f>'Rateio Custos Fixos'!P34</f>
        <v>0.89724410114871422</v>
      </c>
      <c r="AC35" s="22">
        <f>'Rateio Custos Fixos'!Q34</f>
        <v>0.95804734306989214</v>
      </c>
      <c r="AD35" s="22">
        <f>'Rateio Custos Fixos'!R34</f>
        <v>0.59816273409914289</v>
      </c>
      <c r="AE35" s="22">
        <f>'Rateio Custos Fixos'!S34</f>
        <v>13.458661517230714</v>
      </c>
      <c r="AF35" s="22">
        <f>'Rateio Custos Fixos'!T34</f>
        <v>24.833623150227062</v>
      </c>
      <c r="AG35" s="22">
        <f>'Rateio Custos Fixos'!U34</f>
        <v>3.8880577716444287</v>
      </c>
      <c r="AH35" s="22">
        <f t="shared" si="9"/>
        <v>87.604611109634178</v>
      </c>
      <c r="AI35" s="22">
        <f t="shared" si="10"/>
        <v>1845.3829718596328</v>
      </c>
      <c r="AJ35" s="22">
        <f t="shared" si="11"/>
        <v>9.226914859298164</v>
      </c>
    </row>
    <row r="36" spans="1:36" ht="14.4" x14ac:dyDescent="0.3">
      <c r="A36">
        <f>'Lista de Compra'!A34</f>
        <v>31</v>
      </c>
      <c r="B36" t="str">
        <f>'Lista de Compra'!B34</f>
        <v>FLANGE LISO ASTM A105 GR WPB B16.5 150 LBS 1.1/2"</v>
      </c>
      <c r="C36">
        <f>'Lista de Compra'!C34</f>
        <v>72121000</v>
      </c>
      <c r="D36" s="98">
        <f>'Lista de Compra'!I34</f>
        <v>300</v>
      </c>
      <c r="E36" s="142">
        <f>'Lista de Compra'!L34</f>
        <v>6.7066730792934197E-3</v>
      </c>
      <c r="F36" s="139">
        <f>'Lista de Compra'!J34</f>
        <v>1.48</v>
      </c>
      <c r="G36" s="139">
        <f t="shared" si="2"/>
        <v>444</v>
      </c>
      <c r="H36" s="22">
        <f t="shared" si="3"/>
        <v>2282.16</v>
      </c>
      <c r="I36" s="143">
        <f>'Rateio Custos Fixos'!E35</f>
        <v>647.32808561340084</v>
      </c>
      <c r="J36" s="22">
        <f t="shared" si="4"/>
        <v>2929.4880856134005</v>
      </c>
      <c r="K36" s="22">
        <f t="shared" si="5"/>
        <v>3257.5907512021013</v>
      </c>
      <c r="L36" s="22">
        <f t="shared" si="6"/>
        <v>328.10266558870086</v>
      </c>
      <c r="M36" s="22">
        <f t="shared" si="12"/>
        <v>105.87169941406829</v>
      </c>
      <c r="N36" s="22">
        <f t="shared" si="12"/>
        <v>68.409405775244124</v>
      </c>
      <c r="O36" s="22">
        <f t="shared" si="12"/>
        <v>314.35750749100276</v>
      </c>
      <c r="P36" s="22">
        <f t="shared" si="12"/>
        <v>195.45544507212608</v>
      </c>
      <c r="Q36" s="22">
        <f t="shared" si="8"/>
        <v>1012.196723341142</v>
      </c>
      <c r="R36" s="22">
        <f>'Rateio Custos Fixos'!F35</f>
        <v>2.347335577752697</v>
      </c>
      <c r="S36" s="22">
        <f>'Rateio Custos Fixos'!G35</f>
        <v>7.3773403872227616</v>
      </c>
      <c r="T36" s="22">
        <f>'Rateio Custos Fixos'!H35</f>
        <v>10.06000961894013</v>
      </c>
      <c r="U36" s="22">
        <f>'Rateio Custos Fixos'!I35</f>
        <v>0.67066730792934193</v>
      </c>
      <c r="V36" s="22">
        <f>'Rateio Custos Fixos'!J35</f>
        <v>1.2072011542728156</v>
      </c>
      <c r="W36" s="22">
        <f>'Rateio Custos Fixos'!K35</f>
        <v>3.2862698088537758</v>
      </c>
      <c r="X36" s="22">
        <f>'Rateio Custos Fixos'!L35</f>
        <v>7.1090734640510247</v>
      </c>
      <c r="Y36" s="22">
        <f>'Rateio Custos Fixos'!M35</f>
        <v>2.4546423470213918</v>
      </c>
      <c r="Z36" s="22">
        <f>'Rateio Custos Fixos'!N35</f>
        <v>51.786246849072072</v>
      </c>
      <c r="AA36" s="22">
        <f>'Rateio Custos Fixos'!O35</f>
        <v>10.06000961894013</v>
      </c>
      <c r="AB36" s="22">
        <f>'Rateio Custos Fixos'!P35</f>
        <v>2.0120019237880258</v>
      </c>
      <c r="AC36" s="22">
        <f>'Rateio Custos Fixos'!Q35</f>
        <v>2.148348587490061</v>
      </c>
      <c r="AD36" s="22">
        <f>'Rateio Custos Fixos'!R35</f>
        <v>1.3413346158586839</v>
      </c>
      <c r="AE36" s="22">
        <f>'Rateio Custos Fixos'!S35</f>
        <v>30.180028856820389</v>
      </c>
      <c r="AF36" s="22">
        <f>'Rateio Custos Fixos'!T35</f>
        <v>55.687518579297048</v>
      </c>
      <c r="AG36" s="22">
        <f>'Rateio Custos Fixos'!U35</f>
        <v>8.7186750030814455</v>
      </c>
      <c r="AH36" s="22">
        <f t="shared" si="9"/>
        <v>196.44670370039177</v>
      </c>
      <c r="AI36" s="22">
        <f t="shared" si="10"/>
        <v>4138.1315126549343</v>
      </c>
      <c r="AJ36" s="22">
        <f t="shared" si="11"/>
        <v>13.793771708849782</v>
      </c>
    </row>
    <row r="37" spans="1:36" ht="14.4" x14ac:dyDescent="0.3">
      <c r="A37">
        <f>'Lista de Compra'!A35</f>
        <v>32</v>
      </c>
      <c r="B37" t="str">
        <f>'Lista de Compra'!B35</f>
        <v>FLANGE LISO ASTM A105 GR WPB B16.5 150 LBS 2"</v>
      </c>
      <c r="C37">
        <f>'Lista de Compra'!C35</f>
        <v>72121000</v>
      </c>
      <c r="D37" s="98">
        <f>'Lista de Compra'!I35</f>
        <v>800</v>
      </c>
      <c r="E37" s="142">
        <f>'Lista de Compra'!L35</f>
        <v>2.380566840758205E-2</v>
      </c>
      <c r="F37" s="139">
        <f>'Lista de Compra'!J35</f>
        <v>1.97</v>
      </c>
      <c r="G37" s="139">
        <f t="shared" si="2"/>
        <v>1576</v>
      </c>
      <c r="H37" s="22">
        <f t="shared" si="3"/>
        <v>8100.6399999999994</v>
      </c>
      <c r="I37" s="143">
        <f>'Rateio Custos Fixos'!E36</f>
        <v>2297.7231146998197</v>
      </c>
      <c r="J37" s="22">
        <f t="shared" si="4"/>
        <v>10398.36311469982</v>
      </c>
      <c r="K37" s="22">
        <f t="shared" si="5"/>
        <v>11562.9797835462</v>
      </c>
      <c r="L37" s="22">
        <f t="shared" si="6"/>
        <v>1164.6166688463798</v>
      </c>
      <c r="M37" s="22">
        <f t="shared" si="12"/>
        <v>375.79684296525147</v>
      </c>
      <c r="N37" s="22">
        <f t="shared" si="12"/>
        <v>242.82257545447021</v>
      </c>
      <c r="O37" s="22">
        <f t="shared" si="12"/>
        <v>1115.8275491122083</v>
      </c>
      <c r="P37" s="22">
        <f t="shared" si="12"/>
        <v>693.778787012772</v>
      </c>
      <c r="Q37" s="22">
        <f t="shared" si="8"/>
        <v>3592.8424233910819</v>
      </c>
      <c r="R37" s="22">
        <f>'Rateio Custos Fixos'!F36</f>
        <v>8.3319839426537179</v>
      </c>
      <c r="S37" s="22">
        <f>'Rateio Custos Fixos'!G36</f>
        <v>26.186235248340257</v>
      </c>
      <c r="T37" s="22">
        <f>'Rateio Custos Fixos'!H36</f>
        <v>35.708502611373078</v>
      </c>
      <c r="U37" s="22">
        <f>'Rateio Custos Fixos'!I36</f>
        <v>2.3805668407582048</v>
      </c>
      <c r="V37" s="22">
        <f>'Rateio Custos Fixos'!J36</f>
        <v>4.2850203133647691</v>
      </c>
      <c r="W37" s="22">
        <f>'Rateio Custos Fixos'!K36</f>
        <v>11.664777519715205</v>
      </c>
      <c r="X37" s="22">
        <f>'Rateio Custos Fixos'!L36</f>
        <v>25.234008512036972</v>
      </c>
      <c r="Y37" s="22">
        <f>'Rateio Custos Fixos'!M36</f>
        <v>8.7128746371750303</v>
      </c>
      <c r="Z37" s="22">
        <f>'Rateio Custos Fixos'!N36</f>
        <v>183.81784917598557</v>
      </c>
      <c r="AA37" s="22">
        <f>'Rateio Custos Fixos'!O36</f>
        <v>35.708502611373078</v>
      </c>
      <c r="AB37" s="22">
        <f>'Rateio Custos Fixos'!P36</f>
        <v>7.1417005222746148</v>
      </c>
      <c r="AC37" s="22">
        <f>'Rateio Custos Fixos'!Q36</f>
        <v>7.6256697610007578</v>
      </c>
      <c r="AD37" s="22">
        <f>'Rateio Custos Fixos'!R36</f>
        <v>4.7611336815164096</v>
      </c>
      <c r="AE37" s="22">
        <f>'Rateio Custos Fixos'!S36</f>
        <v>107.12550783411922</v>
      </c>
      <c r="AF37" s="22">
        <f>'Rateio Custos Fixos'!T36</f>
        <v>197.66560648867602</v>
      </c>
      <c r="AG37" s="22">
        <f>'Rateio Custos Fixos'!U36</f>
        <v>30.947368929856665</v>
      </c>
      <c r="AH37" s="22">
        <f t="shared" si="9"/>
        <v>697.29730863021962</v>
      </c>
      <c r="AI37" s="22">
        <f t="shared" si="10"/>
        <v>14688.50284672112</v>
      </c>
      <c r="AJ37" s="22">
        <f t="shared" si="11"/>
        <v>18.360628558401398</v>
      </c>
    </row>
    <row r="38" spans="1:36" ht="14.4" x14ac:dyDescent="0.3">
      <c r="A38">
        <f>'Lista de Compra'!A36</f>
        <v>33</v>
      </c>
      <c r="B38" t="str">
        <f>'Lista de Compra'!B36</f>
        <v>FLANGE LISO ASTM A105 GR WPB B16.5 150 LBS 2.1/2"</v>
      </c>
      <c r="C38">
        <f>'Lista de Compra'!C36</f>
        <v>72121000</v>
      </c>
      <c r="D38" s="98">
        <f>'Lista de Compra'!I36</f>
        <v>60</v>
      </c>
      <c r="E38" s="142">
        <f>'Lista de Compra'!L36</f>
        <v>2.8548675945640912E-3</v>
      </c>
      <c r="F38" s="139">
        <f>'Lista de Compra'!J36</f>
        <v>3.15</v>
      </c>
      <c r="G38" s="139">
        <f t="shared" ref="G38:G69" si="13">D38*F38</f>
        <v>189</v>
      </c>
      <c r="H38" s="22">
        <f t="shared" ref="H38:H69" si="14">G38*$H$4</f>
        <v>971.45999999999992</v>
      </c>
      <c r="I38" s="143">
        <f>'Rateio Custos Fixos'!E37</f>
        <v>275.55182022732606</v>
      </c>
      <c r="J38" s="22">
        <f t="shared" ref="J38:J69" si="15">SUM(H38:I38)</f>
        <v>1247.0118202273261</v>
      </c>
      <c r="K38" s="22">
        <f t="shared" ref="K38:K69" si="16">J38+L38</f>
        <v>1386.6771440927866</v>
      </c>
      <c r="L38" s="22">
        <f t="shared" ref="L38:L69" si="17">L$5*$J38</f>
        <v>139.66532386546052</v>
      </c>
      <c r="M38" s="22">
        <f t="shared" si="12"/>
        <v>45.067007183015569</v>
      </c>
      <c r="N38" s="22">
        <f t="shared" si="12"/>
        <v>29.120220025948523</v>
      </c>
      <c r="O38" s="22">
        <f t="shared" si="12"/>
        <v>133.81434440495391</v>
      </c>
      <c r="P38" s="22">
        <f t="shared" si="12"/>
        <v>83.200628645567193</v>
      </c>
      <c r="Q38" s="22">
        <f t="shared" ref="Q38:Q69" si="18">SUM(L38:P38)</f>
        <v>430.8675241249457</v>
      </c>
      <c r="R38" s="22">
        <f>'Rateio Custos Fixos'!F37</f>
        <v>0.99920365809743195</v>
      </c>
      <c r="S38" s="22">
        <f>'Rateio Custos Fixos'!G37</f>
        <v>3.1403543540205003</v>
      </c>
      <c r="T38" s="22">
        <f>'Rateio Custos Fixos'!H37</f>
        <v>4.2823013918461363</v>
      </c>
      <c r="U38" s="22">
        <f>'Rateio Custos Fixos'!I37</f>
        <v>0.28548675945640911</v>
      </c>
      <c r="V38" s="22">
        <f>'Rateio Custos Fixos'!J37</f>
        <v>0.51387616702153638</v>
      </c>
      <c r="W38" s="22">
        <f>'Rateio Custos Fixos'!K37</f>
        <v>1.3988851213364046</v>
      </c>
      <c r="X38" s="22">
        <f>'Rateio Custos Fixos'!L37</f>
        <v>3.0261596502379366</v>
      </c>
      <c r="Y38" s="22">
        <f>'Rateio Custos Fixos'!M37</f>
        <v>1.0448815396104574</v>
      </c>
      <c r="Z38" s="22">
        <f>'Rateio Custos Fixos'!N37</f>
        <v>22.044145618186086</v>
      </c>
      <c r="AA38" s="22">
        <f>'Rateio Custos Fixos'!O37</f>
        <v>4.2823013918461363</v>
      </c>
      <c r="AB38" s="22">
        <f>'Rateio Custos Fixos'!P37</f>
        <v>0.85646027836922733</v>
      </c>
      <c r="AC38" s="22">
        <f>'Rateio Custos Fixos'!Q37</f>
        <v>0.91449973656671524</v>
      </c>
      <c r="AD38" s="22">
        <f>'Rateio Custos Fixos'!R37</f>
        <v>0.57097351891281822</v>
      </c>
      <c r="AE38" s="22">
        <f>'Rateio Custos Fixos'!S37</f>
        <v>12.846904175538411</v>
      </c>
      <c r="AF38" s="22">
        <f>'Rateio Custos Fixos'!T37</f>
        <v>23.704822097944017</v>
      </c>
      <c r="AG38" s="22">
        <f>'Rateio Custos Fixos'!U37</f>
        <v>3.7113278729333183</v>
      </c>
      <c r="AH38" s="22">
        <f t="shared" ref="AH38:AH69" si="19">SUM(R38:AG38)</f>
        <v>83.622583331923551</v>
      </c>
      <c r="AI38" s="22">
        <f t="shared" ref="AI38:AI69" si="20">J38+Q38+AH38</f>
        <v>1761.5019276841954</v>
      </c>
      <c r="AJ38" s="22">
        <f t="shared" ref="AJ38:AJ69" si="21">AI38/D38</f>
        <v>29.358365461403256</v>
      </c>
    </row>
    <row r="39" spans="1:36" ht="14.4" x14ac:dyDescent="0.3">
      <c r="A39">
        <f>'Lista de Compra'!A37</f>
        <v>34</v>
      </c>
      <c r="B39" t="str">
        <f>'Lista de Compra'!B37</f>
        <v>FLANGE LISO ASTM A105 GR WPB B16.5 150 LBS 3"</v>
      </c>
      <c r="C39">
        <f>'Lista de Compra'!C37</f>
        <v>72121000</v>
      </c>
      <c r="D39" s="98">
        <f>'Lista de Compra'!I37</f>
        <v>50</v>
      </c>
      <c r="E39" s="142">
        <f>'Lista de Compra'!L37</f>
        <v>2.6811587197625724E-3</v>
      </c>
      <c r="F39" s="139">
        <f>'Lista de Compra'!J37</f>
        <v>3.55</v>
      </c>
      <c r="G39" s="139">
        <f t="shared" si="13"/>
        <v>177.5</v>
      </c>
      <c r="H39" s="22">
        <f t="shared" si="14"/>
        <v>912.34999999999991</v>
      </c>
      <c r="I39" s="143">
        <f>'Rateio Custos Fixos'!E38</f>
        <v>258.78543963148348</v>
      </c>
      <c r="J39" s="22">
        <f t="shared" si="15"/>
        <v>1171.1354396314835</v>
      </c>
      <c r="K39" s="22">
        <f t="shared" si="16"/>
        <v>1302.3026088702095</v>
      </c>
      <c r="L39" s="22">
        <f t="shared" si="17"/>
        <v>131.16716923872616</v>
      </c>
      <c r="M39" s="22">
        <f t="shared" si="12"/>
        <v>42.324834788281812</v>
      </c>
      <c r="N39" s="22">
        <f t="shared" si="12"/>
        <v>27.348354786274403</v>
      </c>
      <c r="O39" s="22">
        <f t="shared" si="12"/>
        <v>125.67220175597522</v>
      </c>
      <c r="P39" s="22">
        <f t="shared" si="12"/>
        <v>78.138156532212562</v>
      </c>
      <c r="Q39" s="22">
        <f t="shared" si="18"/>
        <v>404.65071710147015</v>
      </c>
      <c r="R39" s="22">
        <f>'Rateio Custos Fixos'!F38</f>
        <v>0.93840555191690034</v>
      </c>
      <c r="S39" s="22">
        <f>'Rateio Custos Fixos'!G38</f>
        <v>2.9492745917388294</v>
      </c>
      <c r="T39" s="22">
        <f>'Rateio Custos Fixos'!H38</f>
        <v>4.0217380796438587</v>
      </c>
      <c r="U39" s="22">
        <f>'Rateio Custos Fixos'!I38</f>
        <v>0.26811587197625725</v>
      </c>
      <c r="V39" s="22">
        <f>'Rateio Custos Fixos'!J38</f>
        <v>0.482608569557263</v>
      </c>
      <c r="W39" s="22">
        <f>'Rateio Custos Fixos'!K38</f>
        <v>1.3137677726836605</v>
      </c>
      <c r="X39" s="22">
        <f>'Rateio Custos Fixos'!L38</f>
        <v>2.8420282429483268</v>
      </c>
      <c r="Y39" s="22">
        <f>'Rateio Custos Fixos'!M38</f>
        <v>0.98130409143310149</v>
      </c>
      <c r="Z39" s="22">
        <f>'Rateio Custos Fixos'!N38</f>
        <v>20.702835170518679</v>
      </c>
      <c r="AA39" s="22">
        <f>'Rateio Custos Fixos'!O38</f>
        <v>4.0217380796438587</v>
      </c>
      <c r="AB39" s="22">
        <f>'Rateio Custos Fixos'!P38</f>
        <v>0.80434761592877169</v>
      </c>
      <c r="AC39" s="22">
        <f>'Rateio Custos Fixos'!Q38</f>
        <v>0.85885557270154478</v>
      </c>
      <c r="AD39" s="22">
        <f>'Rateio Custos Fixos'!R38</f>
        <v>0.53623174395251449</v>
      </c>
      <c r="AE39" s="22">
        <f>'Rateio Custos Fixos'!S38</f>
        <v>12.065214238931576</v>
      </c>
      <c r="AF39" s="22">
        <f>'Rateio Custos Fixos'!T38</f>
        <v>22.262465197804566</v>
      </c>
      <c r="AG39" s="22">
        <f>'Rateio Custos Fixos'!U38</f>
        <v>3.485506335691344</v>
      </c>
      <c r="AH39" s="22">
        <f t="shared" si="19"/>
        <v>78.534436727071039</v>
      </c>
      <c r="AI39" s="22">
        <f t="shared" si="20"/>
        <v>1654.3205934600248</v>
      </c>
      <c r="AJ39" s="22">
        <f t="shared" si="21"/>
        <v>33.086411869200496</v>
      </c>
    </row>
    <row r="40" spans="1:36" ht="14.4" x14ac:dyDescent="0.3">
      <c r="A40">
        <f>'Lista de Compra'!A38</f>
        <v>35</v>
      </c>
      <c r="B40" t="str">
        <f>'Lista de Compra'!B38</f>
        <v>FLANGE LISO ASTM A105 GR WPB B16.5 150 LBS 4"</v>
      </c>
      <c r="C40">
        <f>'Lista de Compra'!C38</f>
        <v>72121000</v>
      </c>
      <c r="D40" s="98">
        <f>'Lista de Compra'!I38</f>
        <v>60</v>
      </c>
      <c r="E40" s="142">
        <f>'Lista de Compra'!L38</f>
        <v>4.4680943622860212E-3</v>
      </c>
      <c r="F40" s="139">
        <f>'Lista de Compra'!J38</f>
        <v>4.93</v>
      </c>
      <c r="G40" s="139">
        <f t="shared" si="13"/>
        <v>295.79999999999995</v>
      </c>
      <c r="H40" s="22">
        <f t="shared" si="14"/>
        <v>1520.4119999999996</v>
      </c>
      <c r="I40" s="143">
        <f>'Rateio Custos Fixos'!E39</f>
        <v>431.26046784784677</v>
      </c>
      <c r="J40" s="22">
        <f t="shared" si="15"/>
        <v>1951.6724678478463</v>
      </c>
      <c r="K40" s="22">
        <f t="shared" si="16"/>
        <v>2170.2597842468049</v>
      </c>
      <c r="L40" s="22">
        <f t="shared" si="17"/>
        <v>218.58731639895879</v>
      </c>
      <c r="M40" s="22">
        <f t="shared" si="12"/>
        <v>70.533442988021164</v>
      </c>
      <c r="N40" s="22">
        <f t="shared" si="12"/>
        <v>45.575455469182906</v>
      </c>
      <c r="O40" s="22">
        <f t="shared" si="12"/>
        <v>209.43006917981668</v>
      </c>
      <c r="P40" s="22">
        <f t="shared" si="12"/>
        <v>130.21558705480828</v>
      </c>
      <c r="Q40" s="22">
        <f t="shared" si="18"/>
        <v>674.34187109078789</v>
      </c>
      <c r="R40" s="22">
        <f>'Rateio Custos Fixos'!F39</f>
        <v>1.5638330268001075</v>
      </c>
      <c r="S40" s="22">
        <f>'Rateio Custos Fixos'!G39</f>
        <v>4.9149037985146231</v>
      </c>
      <c r="T40" s="22">
        <f>'Rateio Custos Fixos'!H39</f>
        <v>6.7021415434290317</v>
      </c>
      <c r="U40" s="22">
        <f>'Rateio Custos Fixos'!I39</f>
        <v>0.44680943622860214</v>
      </c>
      <c r="V40" s="22">
        <f>'Rateio Custos Fixos'!J39</f>
        <v>0.80425698521148381</v>
      </c>
      <c r="W40" s="22">
        <f>'Rateio Custos Fixos'!K39</f>
        <v>2.1893662375201504</v>
      </c>
      <c r="X40" s="22">
        <f>'Rateio Custos Fixos'!L39</f>
        <v>4.7361800240231826</v>
      </c>
      <c r="Y40" s="22">
        <f>'Rateio Custos Fixos'!M39</f>
        <v>1.6353225365966837</v>
      </c>
      <c r="Z40" s="22">
        <f>'Rateio Custos Fixos'!N39</f>
        <v>34.50083742782774</v>
      </c>
      <c r="AA40" s="22">
        <f>'Rateio Custos Fixos'!O39</f>
        <v>6.7021415434290317</v>
      </c>
      <c r="AB40" s="22">
        <f>'Rateio Custos Fixos'!P39</f>
        <v>1.3404283086858064</v>
      </c>
      <c r="AC40" s="22">
        <f>'Rateio Custos Fixos'!Q39</f>
        <v>1.4312646670710811</v>
      </c>
      <c r="AD40" s="22">
        <f>'Rateio Custos Fixos'!R39</f>
        <v>0.89361887245720428</v>
      </c>
      <c r="AE40" s="22">
        <f>'Rateio Custos Fixos'!S39</f>
        <v>20.106424630287094</v>
      </c>
      <c r="AF40" s="22">
        <f>'Rateio Custos Fixos'!T39</f>
        <v>37.099927918369517</v>
      </c>
      <c r="AG40" s="22">
        <f>'Rateio Custos Fixos'!U39</f>
        <v>5.8085226709718274</v>
      </c>
      <c r="AH40" s="22">
        <f t="shared" si="19"/>
        <v>130.87597962742316</v>
      </c>
      <c r="AI40" s="22">
        <f t="shared" si="20"/>
        <v>2756.890318566057</v>
      </c>
      <c r="AJ40" s="22">
        <f t="shared" si="21"/>
        <v>45.948171976100951</v>
      </c>
    </row>
    <row r="41" spans="1:36" ht="14.4" x14ac:dyDescent="0.3">
      <c r="A41">
        <f>'Lista de Compra'!A39</f>
        <v>36</v>
      </c>
      <c r="B41" t="str">
        <f>'Lista de Compra'!B39</f>
        <v>FLANGE LISO ASTM A105 GR WPB B16.5 150 LBS 5"</v>
      </c>
      <c r="C41">
        <f>'Lista de Compra'!C39</f>
        <v>72121000</v>
      </c>
      <c r="D41" s="98">
        <f>'Lista de Compra'!I39</f>
        <v>80</v>
      </c>
      <c r="E41" s="142">
        <f>'Lista de Compra'!L39</f>
        <v>7.141700522274615E-3</v>
      </c>
      <c r="F41" s="139">
        <f>'Lista de Compra'!J39</f>
        <v>5.91</v>
      </c>
      <c r="G41" s="139">
        <f t="shared" si="13"/>
        <v>472.8</v>
      </c>
      <c r="H41" s="22">
        <f t="shared" si="14"/>
        <v>2430.192</v>
      </c>
      <c r="I41" s="143">
        <f>'Rateio Custos Fixos'!E40</f>
        <v>689.31693440994582</v>
      </c>
      <c r="J41" s="22">
        <f t="shared" si="15"/>
        <v>3119.5089344099461</v>
      </c>
      <c r="K41" s="22">
        <f t="shared" si="16"/>
        <v>3468.8939350638602</v>
      </c>
      <c r="L41" s="22">
        <f t="shared" si="17"/>
        <v>349.38500065391395</v>
      </c>
      <c r="M41" s="22">
        <f t="shared" si="12"/>
        <v>112.73905288957546</v>
      </c>
      <c r="N41" s="22">
        <f t="shared" si="12"/>
        <v>72.846772636341072</v>
      </c>
      <c r="O41" s="22">
        <f t="shared" si="12"/>
        <v>334.7482647336625</v>
      </c>
      <c r="P41" s="22">
        <f t="shared" si="12"/>
        <v>208.13363610383161</v>
      </c>
      <c r="Q41" s="22">
        <f t="shared" si="18"/>
        <v>1077.8527270173247</v>
      </c>
      <c r="R41" s="22">
        <f>'Rateio Custos Fixos'!F40</f>
        <v>2.4995951827961154</v>
      </c>
      <c r="S41" s="22">
        <f>'Rateio Custos Fixos'!G40</f>
        <v>7.8558705745020765</v>
      </c>
      <c r="T41" s="22">
        <f>'Rateio Custos Fixos'!H40</f>
        <v>10.712550783411922</v>
      </c>
      <c r="U41" s="22">
        <f>'Rateio Custos Fixos'!I40</f>
        <v>0.71417005222746155</v>
      </c>
      <c r="V41" s="22">
        <f>'Rateio Custos Fixos'!J40</f>
        <v>1.2855060940094307</v>
      </c>
      <c r="W41" s="22">
        <f>'Rateio Custos Fixos'!K40</f>
        <v>3.4994332559145613</v>
      </c>
      <c r="X41" s="22">
        <f>'Rateio Custos Fixos'!L40</f>
        <v>7.5702025536110922</v>
      </c>
      <c r="Y41" s="22">
        <f>'Rateio Custos Fixos'!M40</f>
        <v>2.6138623911525092</v>
      </c>
      <c r="Z41" s="22">
        <f>'Rateio Custos Fixos'!N40</f>
        <v>55.145354752795669</v>
      </c>
      <c r="AA41" s="22">
        <f>'Rateio Custos Fixos'!O40</f>
        <v>10.712550783411922</v>
      </c>
      <c r="AB41" s="22">
        <f>'Rateio Custos Fixos'!P40</f>
        <v>2.1425101566823845</v>
      </c>
      <c r="AC41" s="22">
        <f>'Rateio Custos Fixos'!Q40</f>
        <v>2.2877009283002274</v>
      </c>
      <c r="AD41" s="22">
        <f>'Rateio Custos Fixos'!R40</f>
        <v>1.4283401044549231</v>
      </c>
      <c r="AE41" s="22">
        <f>'Rateio Custos Fixos'!S40</f>
        <v>32.137652350235768</v>
      </c>
      <c r="AF41" s="22">
        <f>'Rateio Custos Fixos'!T40</f>
        <v>59.299681946602803</v>
      </c>
      <c r="AG41" s="22">
        <f>'Rateio Custos Fixos'!U40</f>
        <v>9.2842106789569989</v>
      </c>
      <c r="AH41" s="22">
        <f t="shared" si="19"/>
        <v>209.18919258906587</v>
      </c>
      <c r="AI41" s="22">
        <f t="shared" si="20"/>
        <v>4406.5508540163364</v>
      </c>
      <c r="AJ41" s="22">
        <f t="shared" si="21"/>
        <v>55.081885675204205</v>
      </c>
    </row>
    <row r="42" spans="1:36" ht="14.4" x14ac:dyDescent="0.3">
      <c r="A42">
        <f>'Lista de Compra'!A40</f>
        <v>37</v>
      </c>
      <c r="B42" t="str">
        <f>'Lista de Compra'!B40</f>
        <v>FLANGE LISO ASTM A105 GR WPB B16.5 150 LBS 6"</v>
      </c>
      <c r="C42">
        <f>'Lista de Compra'!C40</f>
        <v>72121000</v>
      </c>
      <c r="D42" s="98">
        <f>'Lista de Compra'!I40</f>
        <v>100</v>
      </c>
      <c r="E42" s="142">
        <f>'Lista de Compra'!L40</f>
        <v>1.0422532488091127E-2</v>
      </c>
      <c r="F42" s="139">
        <f>'Lista de Compra'!J40</f>
        <v>6.9</v>
      </c>
      <c r="G42" s="139">
        <f t="shared" si="13"/>
        <v>690</v>
      </c>
      <c r="H42" s="22">
        <f t="shared" si="14"/>
        <v>3546.6</v>
      </c>
      <c r="I42" s="143">
        <f>'Rateio Custos Fixos'!E41</f>
        <v>1005.9828357505555</v>
      </c>
      <c r="J42" s="22">
        <f t="shared" si="15"/>
        <v>4552.5828357505552</v>
      </c>
      <c r="K42" s="22">
        <f t="shared" si="16"/>
        <v>5062.4721133546172</v>
      </c>
      <c r="L42" s="22">
        <f t="shared" si="17"/>
        <v>509.88927760406222</v>
      </c>
      <c r="M42" s="22">
        <f t="shared" si="12"/>
        <v>164.53034368402507</v>
      </c>
      <c r="N42" s="22">
        <f t="shared" si="12"/>
        <v>106.31191438044696</v>
      </c>
      <c r="O42" s="22">
        <f t="shared" si="12"/>
        <v>488.52855893872055</v>
      </c>
      <c r="P42" s="22">
        <f t="shared" si="12"/>
        <v>303.74832680127702</v>
      </c>
      <c r="Q42" s="22">
        <f t="shared" si="18"/>
        <v>1573.0084214085318</v>
      </c>
      <c r="R42" s="22">
        <f>'Rateio Custos Fixos'!F41</f>
        <v>3.6478863708318943</v>
      </c>
      <c r="S42" s="22">
        <f>'Rateio Custos Fixos'!G41</f>
        <v>11.464785736900239</v>
      </c>
      <c r="T42" s="22">
        <f>'Rateio Custos Fixos'!H41</f>
        <v>15.63379873213669</v>
      </c>
      <c r="U42" s="22">
        <f>'Rateio Custos Fixos'!I41</f>
        <v>1.0422532488091127</v>
      </c>
      <c r="V42" s="22">
        <f>'Rateio Custos Fixos'!J41</f>
        <v>1.8760558478564027</v>
      </c>
      <c r="W42" s="22">
        <f>'Rateio Custos Fixos'!K41</f>
        <v>5.1070409191646524</v>
      </c>
      <c r="X42" s="22">
        <f>'Rateio Custos Fixos'!L41</f>
        <v>11.047884437376593</v>
      </c>
      <c r="Y42" s="22">
        <f>'Rateio Custos Fixos'!M41</f>
        <v>3.8146468906413524</v>
      </c>
      <c r="Z42" s="22">
        <f>'Rateio Custos Fixos'!N41</f>
        <v>80.478626860044443</v>
      </c>
      <c r="AA42" s="22">
        <f>'Rateio Custos Fixos'!O41</f>
        <v>15.63379873213669</v>
      </c>
      <c r="AB42" s="22">
        <f>'Rateio Custos Fixos'!P41</f>
        <v>3.126759746427338</v>
      </c>
      <c r="AC42" s="22">
        <f>'Rateio Custos Fixos'!Q41</f>
        <v>3.3386498319102302</v>
      </c>
      <c r="AD42" s="22">
        <f>'Rateio Custos Fixos'!R41</f>
        <v>2.0845064976182255</v>
      </c>
      <c r="AE42" s="22">
        <f>'Rateio Custos Fixos'!S41</f>
        <v>46.901396196410069</v>
      </c>
      <c r="AF42" s="22">
        <f>'Rateio Custos Fixos'!T41</f>
        <v>86.541414008367042</v>
      </c>
      <c r="AG42" s="22">
        <f>'Rateio Custos Fixos'!U41</f>
        <v>13.549292234518465</v>
      </c>
      <c r="AH42" s="22">
        <f t="shared" si="19"/>
        <v>305.28879629114942</v>
      </c>
      <c r="AI42" s="22">
        <f t="shared" si="20"/>
        <v>6430.8800534502361</v>
      </c>
      <c r="AJ42" s="22">
        <f t="shared" si="21"/>
        <v>64.308800534502367</v>
      </c>
    </row>
    <row r="43" spans="1:36" ht="14.4" x14ac:dyDescent="0.3">
      <c r="A43">
        <f>'Lista de Compra'!A41</f>
        <v>38</v>
      </c>
      <c r="B43" t="str">
        <f>'Lista de Compra'!B41</f>
        <v>FLANGE LISO ASTM A105 GR WPB B16.5 150 LBS 8"</v>
      </c>
      <c r="C43">
        <f>'Lista de Compra'!C41</f>
        <v>72121000</v>
      </c>
      <c r="D43" s="98">
        <f>'Lista de Compra'!I41</f>
        <v>50</v>
      </c>
      <c r="E43" s="142">
        <f>'Lista de Compra'!L41</f>
        <v>7.8848724040341562E-3</v>
      </c>
      <c r="F43" s="139">
        <f>'Lista de Compra'!J41</f>
        <v>10.44</v>
      </c>
      <c r="G43" s="139">
        <f t="shared" si="13"/>
        <v>522</v>
      </c>
      <c r="H43" s="22">
        <f t="shared" si="14"/>
        <v>2683.08</v>
      </c>
      <c r="I43" s="143">
        <f>'Rateio Custos Fixos'!E42</f>
        <v>761.04788443737675</v>
      </c>
      <c r="J43" s="22">
        <f t="shared" si="15"/>
        <v>3444.1278844373765</v>
      </c>
      <c r="K43" s="22">
        <f t="shared" si="16"/>
        <v>3829.8702074943626</v>
      </c>
      <c r="L43" s="22">
        <f t="shared" si="17"/>
        <v>385.74232305698615</v>
      </c>
      <c r="M43" s="22">
        <f t="shared" si="12"/>
        <v>124.47078174356679</v>
      </c>
      <c r="N43" s="22">
        <f t="shared" si="12"/>
        <v>80.42727435738162</v>
      </c>
      <c r="O43" s="22">
        <f t="shared" si="12"/>
        <v>369.58247502320597</v>
      </c>
      <c r="P43" s="22">
        <f t="shared" si="12"/>
        <v>229.79221244966175</v>
      </c>
      <c r="Q43" s="22">
        <f t="shared" si="18"/>
        <v>1190.0150666308023</v>
      </c>
      <c r="R43" s="22">
        <f>'Rateio Custos Fixos'!F42</f>
        <v>2.7597053414119546</v>
      </c>
      <c r="S43" s="22">
        <f>'Rateio Custos Fixos'!G42</f>
        <v>8.6733596444375713</v>
      </c>
      <c r="T43" s="22">
        <f>'Rateio Custos Fixos'!H42</f>
        <v>11.827308606051234</v>
      </c>
      <c r="U43" s="22">
        <f>'Rateio Custos Fixos'!I42</f>
        <v>0.78848724040341567</v>
      </c>
      <c r="V43" s="22">
        <f>'Rateio Custos Fixos'!J42</f>
        <v>1.4192770327261481</v>
      </c>
      <c r="W43" s="22">
        <f>'Rateio Custos Fixos'!K42</f>
        <v>3.8635874779767367</v>
      </c>
      <c r="X43" s="22">
        <f>'Rateio Custos Fixos'!L42</f>
        <v>8.3579647482762063</v>
      </c>
      <c r="Y43" s="22">
        <f>'Rateio Custos Fixos'!M42</f>
        <v>2.885863299876501</v>
      </c>
      <c r="Z43" s="22">
        <f>'Rateio Custos Fixos'!N42</f>
        <v>60.883830754990143</v>
      </c>
      <c r="AA43" s="22">
        <f>'Rateio Custos Fixos'!O42</f>
        <v>11.827308606051234</v>
      </c>
      <c r="AB43" s="22">
        <f>'Rateio Custos Fixos'!P42</f>
        <v>2.3654617212102469</v>
      </c>
      <c r="AC43" s="22">
        <f>'Rateio Custos Fixos'!Q42</f>
        <v>2.5257611771842612</v>
      </c>
      <c r="AD43" s="22">
        <f>'Rateio Custos Fixos'!R42</f>
        <v>1.5769744808068313</v>
      </c>
      <c r="AE43" s="22">
        <f>'Rateio Custos Fixos'!S42</f>
        <v>35.481925818153705</v>
      </c>
      <c r="AF43" s="22">
        <f>'Rateio Custos Fixos'!T42</f>
        <v>65.470461032416807</v>
      </c>
      <c r="AG43" s="22">
        <f>'Rateio Custos Fixos'!U42</f>
        <v>10.250334125244404</v>
      </c>
      <c r="AH43" s="22">
        <f t="shared" si="19"/>
        <v>230.95761110721739</v>
      </c>
      <c r="AI43" s="22">
        <f t="shared" si="20"/>
        <v>4865.1005621753966</v>
      </c>
      <c r="AJ43" s="22">
        <f t="shared" si="21"/>
        <v>97.302011243507934</v>
      </c>
    </row>
    <row r="44" spans="1:36" ht="14.4" x14ac:dyDescent="0.3">
      <c r="A44">
        <f>'Lista de Compra'!A42</f>
        <v>39</v>
      </c>
      <c r="B44" t="str">
        <f>'Lista de Compra'!B42</f>
        <v>FLANGE CEGO ASTM A105 GR WPB B16.5 300 LBS 1/2"</v>
      </c>
      <c r="C44">
        <f>'Lista de Compra'!C42</f>
        <v>72121000</v>
      </c>
      <c r="D44" s="98">
        <f>'Lista de Compra'!I42</f>
        <v>30</v>
      </c>
      <c r="E44" s="142">
        <f>'Lista de Compra'!L42</f>
        <v>6.4347809274301721E-4</v>
      </c>
      <c r="F44" s="139">
        <f>'Lista de Compra'!J42</f>
        <v>1.42</v>
      </c>
      <c r="G44" s="139">
        <f t="shared" si="13"/>
        <v>42.599999999999994</v>
      </c>
      <c r="H44" s="22">
        <f t="shared" si="14"/>
        <v>218.96399999999997</v>
      </c>
      <c r="I44" s="143">
        <f>'Rateio Custos Fixos'!E43</f>
        <v>62.108505511556018</v>
      </c>
      <c r="J44" s="22">
        <f t="shared" si="15"/>
        <v>281.07250551155596</v>
      </c>
      <c r="K44" s="22">
        <f t="shared" si="16"/>
        <v>312.55262612885025</v>
      </c>
      <c r="L44" s="22">
        <f t="shared" si="17"/>
        <v>31.480120617294268</v>
      </c>
      <c r="M44" s="22">
        <f t="shared" si="12"/>
        <v>10.157960349187633</v>
      </c>
      <c r="N44" s="22">
        <f t="shared" si="12"/>
        <v>6.5636051487058555</v>
      </c>
      <c r="O44" s="22">
        <f t="shared" si="12"/>
        <v>30.16132842143405</v>
      </c>
      <c r="P44" s="22">
        <f t="shared" si="12"/>
        <v>18.753157567731016</v>
      </c>
      <c r="Q44" s="22">
        <f t="shared" si="18"/>
        <v>97.116172104352813</v>
      </c>
      <c r="R44" s="22">
        <f>'Rateio Custos Fixos'!F43</f>
        <v>0.22521733246005601</v>
      </c>
      <c r="S44" s="22">
        <f>'Rateio Custos Fixos'!G43</f>
        <v>0.70782590201731899</v>
      </c>
      <c r="T44" s="22">
        <f>'Rateio Custos Fixos'!H43</f>
        <v>0.96521713911452578</v>
      </c>
      <c r="U44" s="22">
        <f>'Rateio Custos Fixos'!I43</f>
        <v>6.4347809274301726E-2</v>
      </c>
      <c r="V44" s="22">
        <f>'Rateio Custos Fixos'!J43</f>
        <v>0.1158260566937431</v>
      </c>
      <c r="W44" s="22">
        <f>'Rateio Custos Fixos'!K43</f>
        <v>0.31530426544407841</v>
      </c>
      <c r="X44" s="22">
        <f>'Rateio Custos Fixos'!L43</f>
        <v>0.68208677830759823</v>
      </c>
      <c r="Y44" s="22">
        <f>'Rateio Custos Fixos'!M43</f>
        <v>0.23551298194394429</v>
      </c>
      <c r="Z44" s="22">
        <f>'Rateio Custos Fixos'!N43</f>
        <v>4.9686804409244818</v>
      </c>
      <c r="AA44" s="22">
        <f>'Rateio Custos Fixos'!O43</f>
        <v>0.96521713911452578</v>
      </c>
      <c r="AB44" s="22">
        <f>'Rateio Custos Fixos'!P43</f>
        <v>0.19304342782290515</v>
      </c>
      <c r="AC44" s="22">
        <f>'Rateio Custos Fixos'!Q43</f>
        <v>0.20612533744837069</v>
      </c>
      <c r="AD44" s="22">
        <f>'Rateio Custos Fixos'!R43</f>
        <v>0.12869561854860345</v>
      </c>
      <c r="AE44" s="22">
        <f>'Rateio Custos Fixos'!S43</f>
        <v>2.8956514173435774</v>
      </c>
      <c r="AF44" s="22">
        <f>'Rateio Custos Fixos'!T43</f>
        <v>5.3429916474730943</v>
      </c>
      <c r="AG44" s="22">
        <f>'Rateio Custos Fixos'!U43</f>
        <v>0.83652152056592233</v>
      </c>
      <c r="AH44" s="22">
        <f t="shared" si="19"/>
        <v>18.84826481449705</v>
      </c>
      <c r="AI44" s="22">
        <f t="shared" si="20"/>
        <v>397.03694243040582</v>
      </c>
      <c r="AJ44" s="22">
        <f t="shared" si="21"/>
        <v>13.234564747680194</v>
      </c>
    </row>
    <row r="45" spans="1:36" ht="14.4" x14ac:dyDescent="0.3">
      <c r="A45">
        <f>'Lista de Compra'!A43</f>
        <v>40</v>
      </c>
      <c r="B45" t="str">
        <f>'Lista de Compra'!B43</f>
        <v>FLANGE CEGO ASTM A105 GR WPB B16.5 300 LBS 4"</v>
      </c>
      <c r="C45">
        <f>'Lista de Compra'!C43</f>
        <v>72121000</v>
      </c>
      <c r="D45" s="98">
        <f>'Lista de Compra'!I43</f>
        <v>30</v>
      </c>
      <c r="E45" s="142">
        <f>'Lista de Compra'!L43</f>
        <v>4.504346649201121E-3</v>
      </c>
      <c r="F45" s="139">
        <f>'Lista de Compra'!J43</f>
        <v>9.94</v>
      </c>
      <c r="G45" s="139">
        <f t="shared" si="13"/>
        <v>298.2</v>
      </c>
      <c r="H45" s="22">
        <f t="shared" si="14"/>
        <v>1532.7479999999998</v>
      </c>
      <c r="I45" s="143">
        <f>'Rateio Custos Fixos'!E44</f>
        <v>434.75953858089218</v>
      </c>
      <c r="J45" s="22">
        <f t="shared" si="15"/>
        <v>1967.5075385808921</v>
      </c>
      <c r="K45" s="22">
        <f t="shared" si="16"/>
        <v>2187.8683829019519</v>
      </c>
      <c r="L45" s="22">
        <f t="shared" si="17"/>
        <v>220.36084432105991</v>
      </c>
      <c r="M45" s="22">
        <f t="shared" si="12"/>
        <v>71.105722444313443</v>
      </c>
      <c r="N45" s="22">
        <f t="shared" si="12"/>
        <v>45.945236040940991</v>
      </c>
      <c r="O45" s="22">
        <f t="shared" si="12"/>
        <v>211.12929895003836</v>
      </c>
      <c r="P45" s="22">
        <f t="shared" si="12"/>
        <v>131.2721029741171</v>
      </c>
      <c r="Q45" s="22">
        <f t="shared" si="18"/>
        <v>679.81320473046981</v>
      </c>
      <c r="R45" s="22">
        <f>'Rateio Custos Fixos'!F44</f>
        <v>1.5765213272203924</v>
      </c>
      <c r="S45" s="22">
        <f>'Rateio Custos Fixos'!G44</f>
        <v>4.9547813141212336</v>
      </c>
      <c r="T45" s="22">
        <f>'Rateio Custos Fixos'!H44</f>
        <v>6.7565199738016819</v>
      </c>
      <c r="U45" s="22">
        <f>'Rateio Custos Fixos'!I44</f>
        <v>0.45043466492011208</v>
      </c>
      <c r="V45" s="22">
        <f>'Rateio Custos Fixos'!J44</f>
        <v>0.81078239685620179</v>
      </c>
      <c r="W45" s="22">
        <f>'Rateio Custos Fixos'!K44</f>
        <v>2.2071298581085492</v>
      </c>
      <c r="X45" s="22">
        <f>'Rateio Custos Fixos'!L44</f>
        <v>4.7746074481531879</v>
      </c>
      <c r="Y45" s="22">
        <f>'Rateio Custos Fixos'!M44</f>
        <v>1.6485908736076103</v>
      </c>
      <c r="Z45" s="22">
        <f>'Rateio Custos Fixos'!N44</f>
        <v>34.780763086471374</v>
      </c>
      <c r="AA45" s="22">
        <f>'Rateio Custos Fixos'!O44</f>
        <v>6.7565199738016819</v>
      </c>
      <c r="AB45" s="22">
        <f>'Rateio Custos Fixos'!P44</f>
        <v>1.3513039947603362</v>
      </c>
      <c r="AC45" s="22">
        <f>'Rateio Custos Fixos'!Q44</f>
        <v>1.4428773621385951</v>
      </c>
      <c r="AD45" s="22">
        <f>'Rateio Custos Fixos'!R44</f>
        <v>0.90086932984022416</v>
      </c>
      <c r="AE45" s="22">
        <f>'Rateio Custos Fixos'!S44</f>
        <v>20.269559921405044</v>
      </c>
      <c r="AF45" s="22">
        <f>'Rateio Custos Fixos'!T44</f>
        <v>37.400941532311663</v>
      </c>
      <c r="AG45" s="22">
        <f>'Rateio Custos Fixos'!U44</f>
        <v>5.8556506439614573</v>
      </c>
      <c r="AH45" s="22">
        <f t="shared" si="19"/>
        <v>131.93785370147936</v>
      </c>
      <c r="AI45" s="22">
        <f t="shared" si="20"/>
        <v>2779.2585970128416</v>
      </c>
      <c r="AJ45" s="22">
        <f t="shared" si="21"/>
        <v>92.641953233761384</v>
      </c>
    </row>
    <row r="46" spans="1:36" ht="14.4" x14ac:dyDescent="0.3">
      <c r="A46">
        <f>'Lista de Compra'!A44</f>
        <v>41</v>
      </c>
      <c r="B46" t="str">
        <f>'Lista de Compra'!B44</f>
        <v>FLANGE CEGO ASTM A105 GR WPB B16.5 300 LBS 6"</v>
      </c>
      <c r="C46">
        <f>'Lista de Compra'!C44</f>
        <v>72121000</v>
      </c>
      <c r="D46" s="98">
        <f>'Lista de Compra'!I44</f>
        <v>35</v>
      </c>
      <c r="E46" s="142">
        <f>'Lista de Compra'!L44</f>
        <v>9.4422102294286422E-3</v>
      </c>
      <c r="F46" s="139">
        <f>'Lista de Compra'!J44</f>
        <v>17.86</v>
      </c>
      <c r="G46" s="139">
        <f t="shared" si="13"/>
        <v>625.1</v>
      </c>
      <c r="H46" s="22">
        <f t="shared" si="14"/>
        <v>3213.0140000000001</v>
      </c>
      <c r="I46" s="143">
        <f>'Rateio Custos Fixos'!E45</f>
        <v>911.36213134445256</v>
      </c>
      <c r="J46" s="22">
        <f t="shared" si="15"/>
        <v>4124.3761313444529</v>
      </c>
      <c r="K46" s="22">
        <f t="shared" si="16"/>
        <v>4586.3062580550313</v>
      </c>
      <c r="L46" s="22">
        <f t="shared" si="17"/>
        <v>461.93012671057875</v>
      </c>
      <c r="M46" s="22">
        <f t="shared" ref="M46:P65" si="22">M$5*$K46</f>
        <v>149.05495338678853</v>
      </c>
      <c r="N46" s="22">
        <f t="shared" si="22"/>
        <v>96.312431419155658</v>
      </c>
      <c r="O46" s="22">
        <f t="shared" si="22"/>
        <v>442.57855390231055</v>
      </c>
      <c r="P46" s="22">
        <f t="shared" si="22"/>
        <v>275.17837548330186</v>
      </c>
      <c r="Q46" s="22">
        <f t="shared" si="18"/>
        <v>1425.0544409021354</v>
      </c>
      <c r="R46" s="22">
        <f>'Rateio Custos Fixos'!F45</f>
        <v>3.3047735803000249</v>
      </c>
      <c r="S46" s="22">
        <f>'Rateio Custos Fixos'!G45</f>
        <v>10.386431252371507</v>
      </c>
      <c r="T46" s="22">
        <f>'Rateio Custos Fixos'!H45</f>
        <v>14.163315344142964</v>
      </c>
      <c r="U46" s="22">
        <f>'Rateio Custos Fixos'!I45</f>
        <v>0.94422102294286425</v>
      </c>
      <c r="V46" s="22">
        <f>'Rateio Custos Fixos'!J45</f>
        <v>1.6995978412971555</v>
      </c>
      <c r="W46" s="22">
        <f>'Rateio Custos Fixos'!K45</f>
        <v>4.6266830124200347</v>
      </c>
      <c r="X46" s="22">
        <f>'Rateio Custos Fixos'!L45</f>
        <v>10.00874284319436</v>
      </c>
      <c r="Y46" s="22">
        <f>'Rateio Custos Fixos'!M45</f>
        <v>3.4558489439708833</v>
      </c>
      <c r="Z46" s="22">
        <f>'Rateio Custos Fixos'!N45</f>
        <v>72.908970507556205</v>
      </c>
      <c r="AA46" s="22">
        <f>'Rateio Custos Fixos'!O45</f>
        <v>14.163315344142964</v>
      </c>
      <c r="AB46" s="22">
        <f>'Rateio Custos Fixos'!P45</f>
        <v>2.8326630688285928</v>
      </c>
      <c r="AC46" s="22">
        <f>'Rateio Custos Fixos'!Q45</f>
        <v>3.0246232027928768</v>
      </c>
      <c r="AD46" s="22">
        <f>'Rateio Custos Fixos'!R45</f>
        <v>1.8884420458857285</v>
      </c>
      <c r="AE46" s="22">
        <f>'Rateio Custos Fixos'!S45</f>
        <v>42.48994603242889</v>
      </c>
      <c r="AF46" s="22">
        <f>'Rateio Custos Fixos'!T45</f>
        <v>78.401504198014834</v>
      </c>
      <c r="AG46" s="22">
        <f>'Rateio Custos Fixos'!U45</f>
        <v>12.274873298257235</v>
      </c>
      <c r="AH46" s="22">
        <f t="shared" si="19"/>
        <v>276.57395153854713</v>
      </c>
      <c r="AI46" s="22">
        <f t="shared" si="20"/>
        <v>5826.0045237851355</v>
      </c>
      <c r="AJ46" s="22">
        <f t="shared" si="21"/>
        <v>166.45727210814673</v>
      </c>
    </row>
    <row r="47" spans="1:36" ht="14.4" x14ac:dyDescent="0.3">
      <c r="A47">
        <f>'Lista de Compra'!A45</f>
        <v>42</v>
      </c>
      <c r="B47" t="str">
        <f>'Lista de Compra'!B45</f>
        <v>FLANGE CEGO ASTM A105 GR WPB B16.5 300 LBS 8"</v>
      </c>
      <c r="C47">
        <f>'Lista de Compra'!C45</f>
        <v>72121000</v>
      </c>
      <c r="D47" s="98">
        <f>'Lista de Compra'!I45</f>
        <v>45</v>
      </c>
      <c r="E47" s="142">
        <f>'Lista de Compra'!L45</f>
        <v>1.9997667769541802E-2</v>
      </c>
      <c r="F47" s="139">
        <f>'Lista de Compra'!J45</f>
        <v>29.42</v>
      </c>
      <c r="G47" s="139">
        <f t="shared" si="13"/>
        <v>1323.9</v>
      </c>
      <c r="H47" s="22">
        <f t="shared" si="14"/>
        <v>6804.8460000000005</v>
      </c>
      <c r="I47" s="143">
        <f>'Rateio Custos Fixos'!E46</f>
        <v>1930.1748931161746</v>
      </c>
      <c r="J47" s="22">
        <f t="shared" si="15"/>
        <v>8735.020893116176</v>
      </c>
      <c r="K47" s="22">
        <f t="shared" si="16"/>
        <v>9713.3432331451877</v>
      </c>
      <c r="L47" s="22">
        <f t="shared" si="17"/>
        <v>978.32234002901168</v>
      </c>
      <c r="M47" s="22">
        <f t="shared" si="22"/>
        <v>315.68365507721859</v>
      </c>
      <c r="N47" s="22">
        <f t="shared" si="22"/>
        <v>203.98020789604897</v>
      </c>
      <c r="O47" s="22">
        <f t="shared" si="22"/>
        <v>937.3376219985106</v>
      </c>
      <c r="P47" s="22">
        <f t="shared" si="22"/>
        <v>582.80059398871128</v>
      </c>
      <c r="Q47" s="22">
        <f t="shared" si="18"/>
        <v>3018.124418989501</v>
      </c>
      <c r="R47" s="22">
        <f>'Rateio Custos Fixos'!F46</f>
        <v>6.9991837193396309</v>
      </c>
      <c r="S47" s="22">
        <f>'Rateio Custos Fixos'!G46</f>
        <v>21.997434546495981</v>
      </c>
      <c r="T47" s="22">
        <f>'Rateio Custos Fixos'!H46</f>
        <v>29.996501654312702</v>
      </c>
      <c r="U47" s="22">
        <f>'Rateio Custos Fixos'!I46</f>
        <v>1.9997667769541803</v>
      </c>
      <c r="V47" s="22">
        <f>'Rateio Custos Fixos'!J46</f>
        <v>3.5995801985175242</v>
      </c>
      <c r="W47" s="22">
        <f>'Rateio Custos Fixos'!K46</f>
        <v>9.7988572070754838</v>
      </c>
      <c r="X47" s="22">
        <f>'Rateio Custos Fixos'!L46</f>
        <v>21.197527835714311</v>
      </c>
      <c r="Y47" s="22">
        <f>'Rateio Custos Fixos'!M46</f>
        <v>7.3191464036523</v>
      </c>
      <c r="Z47" s="22">
        <f>'Rateio Custos Fixos'!N46</f>
        <v>154.41399144929397</v>
      </c>
      <c r="AA47" s="22">
        <f>'Rateio Custos Fixos'!O46</f>
        <v>29.996501654312702</v>
      </c>
      <c r="AB47" s="22">
        <f>'Rateio Custos Fixos'!P46</f>
        <v>5.9993003308625408</v>
      </c>
      <c r="AC47" s="22">
        <f>'Rateio Custos Fixos'!Q46</f>
        <v>6.4058529166173255</v>
      </c>
      <c r="AD47" s="22">
        <f>'Rateio Custos Fixos'!R46</f>
        <v>3.9995335539083605</v>
      </c>
      <c r="AE47" s="22">
        <f>'Rateio Custos Fixos'!S46</f>
        <v>89.989504962938113</v>
      </c>
      <c r="AF47" s="22">
        <f>'Rateio Custos Fixos'!T46</f>
        <v>166.04663479083644</v>
      </c>
      <c r="AG47" s="22">
        <f>'Rateio Custos Fixos'!U46</f>
        <v>25.996968100404342</v>
      </c>
      <c r="AH47" s="22">
        <f t="shared" si="19"/>
        <v>585.7562861012359</v>
      </c>
      <c r="AI47" s="22">
        <f t="shared" si="20"/>
        <v>12338.901598206912</v>
      </c>
      <c r="AJ47" s="22">
        <f t="shared" si="21"/>
        <v>274.19781329348694</v>
      </c>
    </row>
    <row r="48" spans="1:36" ht="14.4" x14ac:dyDescent="0.3">
      <c r="A48">
        <f>'Lista de Compra'!A46</f>
        <v>43</v>
      </c>
      <c r="B48" t="str">
        <f>'Lista de Compra'!B46</f>
        <v>FLANGE LISO ASTM A105 GR WPB B16.5 300 LBS 3/4""</v>
      </c>
      <c r="C48">
        <f>'Lista de Compra'!C46</f>
        <v>72121000</v>
      </c>
      <c r="D48" s="98">
        <f>'Lista de Compra'!I46</f>
        <v>20</v>
      </c>
      <c r="E48" s="142">
        <f>'Lista de Compra'!L46</f>
        <v>4.4711153861956137E-4</v>
      </c>
      <c r="F48" s="139">
        <f>'Lista de Compra'!J46</f>
        <v>1.48</v>
      </c>
      <c r="G48" s="139">
        <f t="shared" si="13"/>
        <v>29.6</v>
      </c>
      <c r="H48" s="22">
        <f t="shared" si="14"/>
        <v>152.14400000000001</v>
      </c>
      <c r="I48" s="143">
        <f>'Rateio Custos Fixos'!E47</f>
        <v>43.155205707560064</v>
      </c>
      <c r="J48" s="22">
        <f t="shared" si="15"/>
        <v>195.29920570756008</v>
      </c>
      <c r="K48" s="22">
        <f t="shared" si="16"/>
        <v>217.1727167468068</v>
      </c>
      <c r="L48" s="22">
        <f t="shared" si="17"/>
        <v>21.873511039246729</v>
      </c>
      <c r="M48" s="22">
        <f t="shared" si="22"/>
        <v>7.0581132942712212</v>
      </c>
      <c r="N48" s="22">
        <f t="shared" si="22"/>
        <v>4.5606270516829435</v>
      </c>
      <c r="O48" s="22">
        <f t="shared" si="22"/>
        <v>20.957167166066856</v>
      </c>
      <c r="P48" s="22">
        <f t="shared" si="22"/>
        <v>13.030363004808407</v>
      </c>
      <c r="Q48" s="22">
        <f t="shared" si="18"/>
        <v>67.479781556076162</v>
      </c>
      <c r="R48" s="22">
        <f>'Rateio Custos Fixos'!F47</f>
        <v>0.15648903851684648</v>
      </c>
      <c r="S48" s="22">
        <f>'Rateio Custos Fixos'!G47</f>
        <v>0.4918226924815175</v>
      </c>
      <c r="T48" s="22">
        <f>'Rateio Custos Fixos'!H47</f>
        <v>0.67066730792934204</v>
      </c>
      <c r="U48" s="22">
        <f>'Rateio Custos Fixos'!I47</f>
        <v>4.4711153861956135E-2</v>
      </c>
      <c r="V48" s="22">
        <f>'Rateio Custos Fixos'!J47</f>
        <v>8.048007695152104E-2</v>
      </c>
      <c r="W48" s="22">
        <f>'Rateio Custos Fixos'!K47</f>
        <v>0.21908465392358506</v>
      </c>
      <c r="X48" s="22">
        <f>'Rateio Custos Fixos'!L47</f>
        <v>0.47393823093673504</v>
      </c>
      <c r="Y48" s="22">
        <f>'Rateio Custos Fixos'!M47</f>
        <v>0.16364282313475947</v>
      </c>
      <c r="Z48" s="22">
        <f>'Rateio Custos Fixos'!N47</f>
        <v>3.452416456604805</v>
      </c>
      <c r="AA48" s="22">
        <f>'Rateio Custos Fixos'!O47</f>
        <v>0.67066730792934204</v>
      </c>
      <c r="AB48" s="22">
        <f>'Rateio Custos Fixos'!P47</f>
        <v>0.13413346158586842</v>
      </c>
      <c r="AC48" s="22">
        <f>'Rateio Custos Fixos'!Q47</f>
        <v>0.14322323916600407</v>
      </c>
      <c r="AD48" s="22">
        <f>'Rateio Custos Fixos'!R47</f>
        <v>8.942230772391227E-2</v>
      </c>
      <c r="AE48" s="22">
        <f>'Rateio Custos Fixos'!S47</f>
        <v>2.0120019237880262</v>
      </c>
      <c r="AF48" s="22">
        <f>'Rateio Custos Fixos'!T47</f>
        <v>3.7125012386198035</v>
      </c>
      <c r="AG48" s="22">
        <f>'Rateio Custos Fixos'!U47</f>
        <v>0.5812450002054298</v>
      </c>
      <c r="AH48" s="22">
        <f t="shared" si="19"/>
        <v>13.096446913359456</v>
      </c>
      <c r="AI48" s="22">
        <f t="shared" si="20"/>
        <v>275.87543417699567</v>
      </c>
      <c r="AJ48" s="22">
        <f t="shared" si="21"/>
        <v>13.793771708849784</v>
      </c>
    </row>
    <row r="49" spans="1:36" ht="14.4" x14ac:dyDescent="0.3">
      <c r="A49">
        <f>'Lista de Compra'!A47</f>
        <v>44</v>
      </c>
      <c r="B49" t="str">
        <f>'Lista de Compra'!B47</f>
        <v>FLANGE LISO ASTM A105 GR WPB B16.5 300 LBS 1.1/2"</v>
      </c>
      <c r="C49">
        <f>'Lista de Compra'!C47</f>
        <v>72121000</v>
      </c>
      <c r="D49" s="98">
        <f>'Lista de Compra'!I47</f>
        <v>20</v>
      </c>
      <c r="E49" s="142">
        <f>'Lista de Compra'!L47</f>
        <v>8.3380259904728999E-4</v>
      </c>
      <c r="F49" s="139">
        <f>'Lista de Compra'!J47</f>
        <v>2.76</v>
      </c>
      <c r="G49" s="139">
        <f t="shared" si="13"/>
        <v>55.199999999999996</v>
      </c>
      <c r="H49" s="22">
        <f t="shared" si="14"/>
        <v>283.72799999999995</v>
      </c>
      <c r="I49" s="143">
        <f>'Rateio Custos Fixos'!E48</f>
        <v>80.478626860044429</v>
      </c>
      <c r="J49" s="22">
        <f t="shared" si="15"/>
        <v>364.20662686004437</v>
      </c>
      <c r="K49" s="22">
        <f t="shared" si="16"/>
        <v>404.99776906836934</v>
      </c>
      <c r="L49" s="22">
        <f t="shared" si="17"/>
        <v>40.79114220832497</v>
      </c>
      <c r="M49" s="22">
        <f t="shared" si="22"/>
        <v>13.162427494722003</v>
      </c>
      <c r="N49" s="22">
        <f t="shared" si="22"/>
        <v>8.5049531504357567</v>
      </c>
      <c r="O49" s="22">
        <f t="shared" si="22"/>
        <v>39.082284715097643</v>
      </c>
      <c r="P49" s="22">
        <f t="shared" si="22"/>
        <v>24.299866144102161</v>
      </c>
      <c r="Q49" s="22">
        <f t="shared" si="18"/>
        <v>125.84067371268253</v>
      </c>
      <c r="R49" s="22">
        <f>'Rateio Custos Fixos'!F48</f>
        <v>0.29183090966655151</v>
      </c>
      <c r="S49" s="22">
        <f>'Rateio Custos Fixos'!G48</f>
        <v>0.91718285895201901</v>
      </c>
      <c r="T49" s="22">
        <f>'Rateio Custos Fixos'!H48</f>
        <v>1.2507038985709349</v>
      </c>
      <c r="U49" s="22">
        <f>'Rateio Custos Fixos'!I48</f>
        <v>8.3380259904728998E-2</v>
      </c>
      <c r="V49" s="22">
        <f>'Rateio Custos Fixos'!J48</f>
        <v>0.1500844678285122</v>
      </c>
      <c r="W49" s="22">
        <f>'Rateio Custos Fixos'!K48</f>
        <v>0.40856327353317207</v>
      </c>
      <c r="X49" s="22">
        <f>'Rateio Custos Fixos'!L48</f>
        <v>0.88383075499012742</v>
      </c>
      <c r="Y49" s="22">
        <f>'Rateio Custos Fixos'!M48</f>
        <v>0.30517175125130813</v>
      </c>
      <c r="Z49" s="22">
        <f>'Rateio Custos Fixos'!N48</f>
        <v>6.4382901488035547</v>
      </c>
      <c r="AA49" s="22">
        <f>'Rateio Custos Fixos'!O48</f>
        <v>1.2507038985709349</v>
      </c>
      <c r="AB49" s="22">
        <f>'Rateio Custos Fixos'!P48</f>
        <v>0.25014077971418702</v>
      </c>
      <c r="AC49" s="22">
        <f>'Rateio Custos Fixos'!Q48</f>
        <v>0.26709198655281841</v>
      </c>
      <c r="AD49" s="22">
        <f>'Rateio Custos Fixos'!R48</f>
        <v>0.166760519809458</v>
      </c>
      <c r="AE49" s="22">
        <f>'Rateio Custos Fixos'!S48</f>
        <v>3.7521116957128049</v>
      </c>
      <c r="AF49" s="22">
        <f>'Rateio Custos Fixos'!T48</f>
        <v>6.9233131206693628</v>
      </c>
      <c r="AG49" s="22">
        <f>'Rateio Custos Fixos'!U48</f>
        <v>1.0839433787614769</v>
      </c>
      <c r="AH49" s="22">
        <f t="shared" si="19"/>
        <v>24.42310370329195</v>
      </c>
      <c r="AI49" s="22">
        <f t="shared" si="20"/>
        <v>514.47040427601883</v>
      </c>
      <c r="AJ49" s="22">
        <f t="shared" si="21"/>
        <v>25.723520213800942</v>
      </c>
    </row>
    <row r="50" spans="1:36" ht="14.4" x14ac:dyDescent="0.3">
      <c r="A50">
        <f>'Lista de Compra'!A48</f>
        <v>45</v>
      </c>
      <c r="B50" t="str">
        <f>'Lista de Compra'!B48</f>
        <v>FLANGE LISO ASTM A105 GR WPB B16.5 300 LBS 2"</v>
      </c>
      <c r="C50">
        <f>'Lista de Compra'!C48</f>
        <v>72121000</v>
      </c>
      <c r="D50" s="98">
        <f>'Lista de Compra'!I48</f>
        <v>100</v>
      </c>
      <c r="E50" s="142">
        <f>'Lista de Compra'!L48</f>
        <v>4.7581126576068181E-3</v>
      </c>
      <c r="F50" s="139">
        <f>'Lista de Compra'!J48</f>
        <v>3.15</v>
      </c>
      <c r="G50" s="139">
        <f t="shared" si="13"/>
        <v>315</v>
      </c>
      <c r="H50" s="22">
        <f t="shared" si="14"/>
        <v>1619.1</v>
      </c>
      <c r="I50" s="143">
        <f>'Rateio Custos Fixos'!E49</f>
        <v>459.25303371221008</v>
      </c>
      <c r="J50" s="22">
        <f t="shared" si="15"/>
        <v>2078.3530337122102</v>
      </c>
      <c r="K50" s="22">
        <f t="shared" si="16"/>
        <v>2311.1285734879775</v>
      </c>
      <c r="L50" s="22">
        <f t="shared" si="17"/>
        <v>232.77553977576756</v>
      </c>
      <c r="M50" s="22">
        <f t="shared" si="22"/>
        <v>75.111678638359265</v>
      </c>
      <c r="N50" s="22">
        <f t="shared" si="22"/>
        <v>48.533700043247528</v>
      </c>
      <c r="O50" s="22">
        <f t="shared" si="22"/>
        <v>223.02390734158985</v>
      </c>
      <c r="P50" s="22">
        <f t="shared" si="22"/>
        <v>138.66771440927866</v>
      </c>
      <c r="Q50" s="22">
        <f t="shared" si="18"/>
        <v>718.11254020824288</v>
      </c>
      <c r="R50" s="22">
        <f>'Rateio Custos Fixos'!F49</f>
        <v>1.6653394301623863</v>
      </c>
      <c r="S50" s="22">
        <f>'Rateio Custos Fixos'!G49</f>
        <v>5.2339239233674997</v>
      </c>
      <c r="T50" s="22">
        <f>'Rateio Custos Fixos'!H49</f>
        <v>7.1371689864102272</v>
      </c>
      <c r="U50" s="22">
        <f>'Rateio Custos Fixos'!I49</f>
        <v>0.47581126576068178</v>
      </c>
      <c r="V50" s="22">
        <f>'Rateio Custos Fixos'!J49</f>
        <v>0.85646027836922722</v>
      </c>
      <c r="W50" s="22">
        <f>'Rateio Custos Fixos'!K49</f>
        <v>2.3314752022273408</v>
      </c>
      <c r="X50" s="22">
        <f>'Rateio Custos Fixos'!L49</f>
        <v>5.043599417063227</v>
      </c>
      <c r="Y50" s="22">
        <f>'Rateio Custos Fixos'!M49</f>
        <v>1.7414692326840955</v>
      </c>
      <c r="Z50" s="22">
        <f>'Rateio Custos Fixos'!N49</f>
        <v>36.740242696976807</v>
      </c>
      <c r="AA50" s="22">
        <f>'Rateio Custos Fixos'!O49</f>
        <v>7.1371689864102272</v>
      </c>
      <c r="AB50" s="22">
        <f>'Rateio Custos Fixos'!P49</f>
        <v>1.4274337972820454</v>
      </c>
      <c r="AC50" s="22">
        <f>'Rateio Custos Fixos'!Q49</f>
        <v>1.524166227611192</v>
      </c>
      <c r="AD50" s="22">
        <f>'Rateio Custos Fixos'!R49</f>
        <v>0.95162253152136356</v>
      </c>
      <c r="AE50" s="22">
        <f>'Rateio Custos Fixos'!S49</f>
        <v>21.411506959230682</v>
      </c>
      <c r="AF50" s="22">
        <f>'Rateio Custos Fixos'!T49</f>
        <v>39.508036829906686</v>
      </c>
      <c r="AG50" s="22">
        <f>'Rateio Custos Fixos'!U49</f>
        <v>6.1855464548888639</v>
      </c>
      <c r="AH50" s="22">
        <f t="shared" si="19"/>
        <v>139.37097221987253</v>
      </c>
      <c r="AI50" s="22">
        <f t="shared" si="20"/>
        <v>2935.8365461403255</v>
      </c>
      <c r="AJ50" s="22">
        <f t="shared" si="21"/>
        <v>29.358365461403256</v>
      </c>
    </row>
    <row r="51" spans="1:36" ht="14.4" x14ac:dyDescent="0.3">
      <c r="A51">
        <f>'Lista de Compra'!A49</f>
        <v>46</v>
      </c>
      <c r="B51" t="str">
        <f>'Lista de Compra'!B49</f>
        <v>FLANGE LISO ASTM A105 GR WPB B16.5 300 LBS 4"</v>
      </c>
      <c r="C51">
        <f>'Lista de Compra'!C49</f>
        <v>72121000</v>
      </c>
      <c r="D51" s="98">
        <f>'Lista de Compra'!I49</f>
        <v>20</v>
      </c>
      <c r="E51" s="142">
        <f>'Lista de Compra'!L49</f>
        <v>2.5588072514241113E-3</v>
      </c>
      <c r="F51" s="139">
        <f>'Lista de Compra'!J49</f>
        <v>8.4700000000000006</v>
      </c>
      <c r="G51" s="139">
        <f t="shared" si="13"/>
        <v>169.4</v>
      </c>
      <c r="H51" s="22">
        <f t="shared" si="14"/>
        <v>870.71600000000001</v>
      </c>
      <c r="I51" s="143">
        <f>'Rateio Custos Fixos'!E50</f>
        <v>246.97607590745523</v>
      </c>
      <c r="J51" s="22">
        <f t="shared" si="15"/>
        <v>1117.6920759074553</v>
      </c>
      <c r="K51" s="22">
        <f t="shared" si="16"/>
        <v>1242.8735884090904</v>
      </c>
      <c r="L51" s="22">
        <f t="shared" si="17"/>
        <v>125.181512501635</v>
      </c>
      <c r="M51" s="22">
        <f t="shared" si="22"/>
        <v>40.393391623295443</v>
      </c>
      <c r="N51" s="22">
        <f t="shared" si="22"/>
        <v>26.1003453565909</v>
      </c>
      <c r="O51" s="22">
        <f t="shared" si="22"/>
        <v>119.93730128147723</v>
      </c>
      <c r="P51" s="22">
        <f t="shared" si="22"/>
        <v>74.572415304545416</v>
      </c>
      <c r="Q51" s="22">
        <f t="shared" si="18"/>
        <v>386.184966067544</v>
      </c>
      <c r="R51" s="22">
        <f>'Rateio Custos Fixos'!F50</f>
        <v>0.89558253799843901</v>
      </c>
      <c r="S51" s="22">
        <f>'Rateio Custos Fixos'!G50</f>
        <v>2.8146879765665225</v>
      </c>
      <c r="T51" s="22">
        <f>'Rateio Custos Fixos'!H50</f>
        <v>3.8382108771361669</v>
      </c>
      <c r="U51" s="22">
        <f>'Rateio Custos Fixos'!I50</f>
        <v>0.25588072514241111</v>
      </c>
      <c r="V51" s="22">
        <f>'Rateio Custos Fixos'!J50</f>
        <v>0.46058530525634006</v>
      </c>
      <c r="W51" s="22">
        <f>'Rateio Custos Fixos'!K50</f>
        <v>1.2538155531978146</v>
      </c>
      <c r="X51" s="22">
        <f>'Rateio Custos Fixos'!L50</f>
        <v>2.712335686509558</v>
      </c>
      <c r="Y51" s="22">
        <f>'Rateio Custos Fixos'!M50</f>
        <v>0.93652345402122472</v>
      </c>
      <c r="Z51" s="22">
        <f>'Rateio Custos Fixos'!N50</f>
        <v>19.75808607259642</v>
      </c>
      <c r="AA51" s="22">
        <f>'Rateio Custos Fixos'!O50</f>
        <v>3.8382108771361669</v>
      </c>
      <c r="AB51" s="22">
        <f>'Rateio Custos Fixos'!P50</f>
        <v>0.76764217542723334</v>
      </c>
      <c r="AC51" s="22">
        <f>'Rateio Custos Fixos'!Q50</f>
        <v>0.81966272684868557</v>
      </c>
      <c r="AD51" s="22">
        <f>'Rateio Custos Fixos'!R50</f>
        <v>0.51176145028482223</v>
      </c>
      <c r="AE51" s="22">
        <f>'Rateio Custos Fixos'!S50</f>
        <v>11.514632631408501</v>
      </c>
      <c r="AF51" s="22">
        <f>'Rateio Custos Fixos'!T50</f>
        <v>21.246544250749821</v>
      </c>
      <c r="AG51" s="22">
        <f>'Rateio Custos Fixos'!U50</f>
        <v>3.3264494268513447</v>
      </c>
      <c r="AH51" s="22">
        <f t="shared" si="19"/>
        <v>74.950611727131474</v>
      </c>
      <c r="AI51" s="22">
        <f t="shared" si="20"/>
        <v>1578.8276537021309</v>
      </c>
      <c r="AJ51" s="22">
        <f t="shared" si="21"/>
        <v>78.941382685106547</v>
      </c>
    </row>
    <row r="52" spans="1:36" ht="14.4" x14ac:dyDescent="0.3">
      <c r="A52">
        <f>'Lista de Compra'!A50</f>
        <v>47</v>
      </c>
      <c r="B52" t="str">
        <f>'Lista de Compra'!B50</f>
        <v>FLANGE LISO ASTM A105 GR WPB B16.5 300 LBS 6"</v>
      </c>
      <c r="C52">
        <f>'Lista de Compra'!C50</f>
        <v>72121000</v>
      </c>
      <c r="D52" s="98">
        <f>'Lista de Compra'!I50</f>
        <v>40</v>
      </c>
      <c r="E52" s="142">
        <f>'Lista de Compra'!L50</f>
        <v>9.52226736303282E-3</v>
      </c>
      <c r="F52" s="139">
        <f>'Lista de Compra'!J50</f>
        <v>15.76</v>
      </c>
      <c r="G52" s="139">
        <f t="shared" si="13"/>
        <v>630.4</v>
      </c>
      <c r="H52" s="22">
        <f t="shared" si="14"/>
        <v>3240.2559999999999</v>
      </c>
      <c r="I52" s="143">
        <f>'Rateio Custos Fixos'!E51</f>
        <v>919.08924587992783</v>
      </c>
      <c r="J52" s="22">
        <f t="shared" si="15"/>
        <v>4159.3452458799275</v>
      </c>
      <c r="K52" s="22">
        <f t="shared" si="16"/>
        <v>4625.1919134184791</v>
      </c>
      <c r="L52" s="22">
        <f t="shared" si="17"/>
        <v>465.84666753855191</v>
      </c>
      <c r="M52" s="22">
        <f t="shared" si="22"/>
        <v>150.31873718610058</v>
      </c>
      <c r="N52" s="22">
        <f t="shared" si="22"/>
        <v>97.129030181788067</v>
      </c>
      <c r="O52" s="22">
        <f t="shared" si="22"/>
        <v>446.33101964488327</v>
      </c>
      <c r="P52" s="22">
        <f t="shared" si="22"/>
        <v>277.51151480510873</v>
      </c>
      <c r="Q52" s="22">
        <f t="shared" si="18"/>
        <v>1437.1369693564325</v>
      </c>
      <c r="R52" s="22">
        <f>'Rateio Custos Fixos'!F51</f>
        <v>3.3327935770614872</v>
      </c>
      <c r="S52" s="22">
        <f>'Rateio Custos Fixos'!G51</f>
        <v>10.474494099336102</v>
      </c>
      <c r="T52" s="22">
        <f>'Rateio Custos Fixos'!H51</f>
        <v>14.28340104454923</v>
      </c>
      <c r="U52" s="22">
        <f>'Rateio Custos Fixos'!I51</f>
        <v>0.95222673630328203</v>
      </c>
      <c r="V52" s="22">
        <f>'Rateio Custos Fixos'!J51</f>
        <v>1.7140081253459076</v>
      </c>
      <c r="W52" s="22">
        <f>'Rateio Custos Fixos'!K51</f>
        <v>4.6659110078860815</v>
      </c>
      <c r="X52" s="22">
        <f>'Rateio Custos Fixos'!L51</f>
        <v>10.09360340481479</v>
      </c>
      <c r="Y52" s="22">
        <f>'Rateio Custos Fixos'!M51</f>
        <v>3.4851498548700119</v>
      </c>
      <c r="Z52" s="22">
        <f>'Rateio Custos Fixos'!N51</f>
        <v>73.527139670394234</v>
      </c>
      <c r="AA52" s="22">
        <f>'Rateio Custos Fixos'!O51</f>
        <v>14.28340104454923</v>
      </c>
      <c r="AB52" s="22">
        <f>'Rateio Custos Fixos'!P51</f>
        <v>2.8566802089098462</v>
      </c>
      <c r="AC52" s="22">
        <f>'Rateio Custos Fixos'!Q51</f>
        <v>3.0502679044003029</v>
      </c>
      <c r="AD52" s="22">
        <f>'Rateio Custos Fixos'!R51</f>
        <v>1.9044534726065641</v>
      </c>
      <c r="AE52" s="22">
        <f>'Rateio Custos Fixos'!S51</f>
        <v>42.850203133647689</v>
      </c>
      <c r="AF52" s="22">
        <f>'Rateio Custos Fixos'!T51</f>
        <v>79.066242595470413</v>
      </c>
      <c r="AG52" s="22">
        <f>'Rateio Custos Fixos'!U51</f>
        <v>12.378947571942666</v>
      </c>
      <c r="AH52" s="22">
        <f t="shared" si="19"/>
        <v>278.91892345208782</v>
      </c>
      <c r="AI52" s="22">
        <f t="shared" si="20"/>
        <v>5875.4011386884476</v>
      </c>
      <c r="AJ52" s="22">
        <f t="shared" si="21"/>
        <v>146.88502846721119</v>
      </c>
    </row>
    <row r="53" spans="1:36" ht="14.4" x14ac:dyDescent="0.3">
      <c r="A53">
        <f>'Lista de Compra'!A51</f>
        <v>48</v>
      </c>
      <c r="B53" t="str">
        <f>'Lista de Compra'!B51</f>
        <v>FLANGE LISO ASTM A105 GR WPB B16.5 300 LBS 8"</v>
      </c>
      <c r="C53">
        <f>'Lista de Compra'!C51</f>
        <v>72121000</v>
      </c>
      <c r="D53" s="98">
        <f>'Lista de Compra'!I51</f>
        <v>20</v>
      </c>
      <c r="E53" s="142">
        <f>'Lista de Compra'!L51</f>
        <v>7.7368422324641667E-3</v>
      </c>
      <c r="F53" s="139">
        <f>'Lista de Compra'!J51</f>
        <v>25.61</v>
      </c>
      <c r="G53" s="139">
        <f t="shared" si="13"/>
        <v>512.20000000000005</v>
      </c>
      <c r="H53" s="22">
        <f t="shared" si="14"/>
        <v>2632.7080000000001</v>
      </c>
      <c r="I53" s="143">
        <f>'Rateio Custos Fixos'!E52</f>
        <v>746.76001227744132</v>
      </c>
      <c r="J53" s="22">
        <f t="shared" si="15"/>
        <v>3379.4680122774416</v>
      </c>
      <c r="K53" s="22">
        <f t="shared" si="16"/>
        <v>3757.9684296525152</v>
      </c>
      <c r="L53" s="22">
        <f t="shared" si="17"/>
        <v>378.50041737507348</v>
      </c>
      <c r="M53" s="22">
        <f t="shared" si="22"/>
        <v>122.13397396370675</v>
      </c>
      <c r="N53" s="22">
        <f t="shared" si="22"/>
        <v>78.917337022702824</v>
      </c>
      <c r="O53" s="22">
        <f t="shared" si="22"/>
        <v>362.64395346146773</v>
      </c>
      <c r="P53" s="22">
        <f t="shared" si="22"/>
        <v>225.47810577915089</v>
      </c>
      <c r="Q53" s="22">
        <f t="shared" si="18"/>
        <v>1167.6737876021016</v>
      </c>
      <c r="R53" s="22">
        <f>'Rateio Custos Fixos'!F52</f>
        <v>2.7078947813624583</v>
      </c>
      <c r="S53" s="22">
        <f>'Rateio Custos Fixos'!G52</f>
        <v>8.5105264557105826</v>
      </c>
      <c r="T53" s="22">
        <f>'Rateio Custos Fixos'!H52</f>
        <v>11.60526334869625</v>
      </c>
      <c r="U53" s="22">
        <f>'Rateio Custos Fixos'!I52</f>
        <v>0.77368422324641672</v>
      </c>
      <c r="V53" s="22">
        <f>'Rateio Custos Fixos'!J52</f>
        <v>1.3926316018435501</v>
      </c>
      <c r="W53" s="22">
        <f>'Rateio Custos Fixos'!K52</f>
        <v>3.7910526939074418</v>
      </c>
      <c r="X53" s="22">
        <f>'Rateio Custos Fixos'!L52</f>
        <v>8.2010527664120172</v>
      </c>
      <c r="Y53" s="22">
        <f>'Rateio Custos Fixos'!M52</f>
        <v>2.8316842570818852</v>
      </c>
      <c r="Z53" s="22">
        <f>'Rateio Custos Fixos'!N52</f>
        <v>59.74080098219531</v>
      </c>
      <c r="AA53" s="22">
        <f>'Rateio Custos Fixos'!O52</f>
        <v>11.60526334869625</v>
      </c>
      <c r="AB53" s="22">
        <f>'Rateio Custos Fixos'!P52</f>
        <v>2.3210526697392502</v>
      </c>
      <c r="AC53" s="22">
        <f>'Rateio Custos Fixos'!Q52</f>
        <v>2.4783426723252462</v>
      </c>
      <c r="AD53" s="22">
        <f>'Rateio Custos Fixos'!R52</f>
        <v>1.5473684464928334</v>
      </c>
      <c r="AE53" s="22">
        <f>'Rateio Custos Fixos'!S52</f>
        <v>34.81579004608875</v>
      </c>
      <c r="AF53" s="22">
        <f>'Rateio Custos Fixos'!T52</f>
        <v>64.241322108819716</v>
      </c>
      <c r="AG53" s="22">
        <f>'Rateio Custos Fixos'!U52</f>
        <v>10.057894902203417</v>
      </c>
      <c r="AH53" s="22">
        <f t="shared" si="19"/>
        <v>226.62162530482135</v>
      </c>
      <c r="AI53" s="22">
        <f t="shared" si="20"/>
        <v>4773.7634251843647</v>
      </c>
      <c r="AJ53" s="22">
        <f t="shared" si="21"/>
        <v>238.68817125921822</v>
      </c>
    </row>
    <row r="54" spans="1:36" ht="14.4" x14ac:dyDescent="0.3">
      <c r="A54">
        <f>'Lista de Compra'!A52</f>
        <v>49</v>
      </c>
      <c r="B54" t="str">
        <f>'Lista de Compra'!B52</f>
        <v>TEE 6" SCH-40 ASTM A-234 ASME B16.9</v>
      </c>
      <c r="C54">
        <f>'Lista de Compra'!C52</f>
        <v>72121000</v>
      </c>
      <c r="D54" s="98">
        <f>'Lista de Compra'!I52</f>
        <v>40</v>
      </c>
      <c r="E54" s="142">
        <f>'Lista de Compra'!L52</f>
        <v>5.310960033062086E-3</v>
      </c>
      <c r="F54" s="139">
        <f>'Lista de Compra'!J52</f>
        <v>8.7899999999999991</v>
      </c>
      <c r="G54" s="139">
        <f t="shared" si="13"/>
        <v>351.59999999999997</v>
      </c>
      <c r="H54" s="22">
        <f t="shared" si="14"/>
        <v>1807.2239999999997</v>
      </c>
      <c r="I54" s="143">
        <f>'Rateio Custos Fixos'!E53</f>
        <v>512.61386239115257</v>
      </c>
      <c r="J54" s="22">
        <f t="shared" si="15"/>
        <v>2319.8378623911522</v>
      </c>
      <c r="K54" s="22">
        <f t="shared" si="16"/>
        <v>2579.6597029789614</v>
      </c>
      <c r="L54" s="22">
        <f t="shared" si="17"/>
        <v>259.82184058780905</v>
      </c>
      <c r="M54" s="22">
        <f t="shared" si="22"/>
        <v>83.838940346816244</v>
      </c>
      <c r="N54" s="22">
        <f t="shared" si="22"/>
        <v>54.172853762558191</v>
      </c>
      <c r="O54" s="22">
        <f t="shared" si="22"/>
        <v>248.93716133746977</v>
      </c>
      <c r="P54" s="22">
        <f t="shared" si="22"/>
        <v>154.77958217873768</v>
      </c>
      <c r="Q54" s="22">
        <f t="shared" si="18"/>
        <v>801.5503782133909</v>
      </c>
      <c r="R54" s="22">
        <f>'Rateio Custos Fixos'!F53</f>
        <v>1.8588360115717302</v>
      </c>
      <c r="S54" s="22">
        <f>'Rateio Custos Fixos'!G53</f>
        <v>5.8420560363682945</v>
      </c>
      <c r="T54" s="22">
        <f>'Rateio Custos Fixos'!H53</f>
        <v>7.9664400495931291</v>
      </c>
      <c r="U54" s="22">
        <f>'Rateio Custos Fixos'!I53</f>
        <v>0.53109600330620865</v>
      </c>
      <c r="V54" s="22">
        <f>'Rateio Custos Fixos'!J53</f>
        <v>0.95597280595117551</v>
      </c>
      <c r="W54" s="22">
        <f>'Rateio Custos Fixos'!K53</f>
        <v>2.6023704162004222</v>
      </c>
      <c r="X54" s="22">
        <f>'Rateio Custos Fixos'!L53</f>
        <v>5.6296176350458111</v>
      </c>
      <c r="Y54" s="22">
        <f>'Rateio Custos Fixos'!M53</f>
        <v>1.9438113721007235</v>
      </c>
      <c r="Z54" s="22">
        <f>'Rateio Custos Fixos'!N53</f>
        <v>41.009108991292209</v>
      </c>
      <c r="AA54" s="22">
        <f>'Rateio Custos Fixos'!O53</f>
        <v>7.9664400495931291</v>
      </c>
      <c r="AB54" s="22">
        <f>'Rateio Custos Fixos'!P53</f>
        <v>1.5932880099186257</v>
      </c>
      <c r="AC54" s="22">
        <f>'Rateio Custos Fixos'!Q53</f>
        <v>1.701259827390778</v>
      </c>
      <c r="AD54" s="22">
        <f>'Rateio Custos Fixos'!R53</f>
        <v>1.0621920066124173</v>
      </c>
      <c r="AE54" s="22">
        <f>'Rateio Custos Fixos'!S53</f>
        <v>23.899320148779388</v>
      </c>
      <c r="AF54" s="22">
        <f>'Rateio Custos Fixos'!T53</f>
        <v>44.098494442524412</v>
      </c>
      <c r="AG54" s="22">
        <f>'Rateio Custos Fixos'!U53</f>
        <v>6.9042480429807123</v>
      </c>
      <c r="AH54" s="22">
        <f t="shared" si="19"/>
        <v>155.56455184922919</v>
      </c>
      <c r="AI54" s="22">
        <f t="shared" si="20"/>
        <v>3276.9527924537724</v>
      </c>
      <c r="AJ54" s="22">
        <f t="shared" si="21"/>
        <v>81.923819811344316</v>
      </c>
    </row>
    <row r="55" spans="1:36" ht="14.4" x14ac:dyDescent="0.3">
      <c r="A55">
        <f>'Lista de Compra'!A53</f>
        <v>50</v>
      </c>
      <c r="B55" t="str">
        <f>'Lista de Compra'!B53</f>
        <v>TEE 3" SCH-40 ASTM A-234 ASME B16.9</v>
      </c>
      <c r="C55">
        <f>'Lista de Compra'!C53</f>
        <v>72121000</v>
      </c>
      <c r="D55" s="98">
        <f>'Lista de Compra'!I53</f>
        <v>50</v>
      </c>
      <c r="E55" s="142">
        <f>'Lista de Compra'!L53</f>
        <v>1.9636655412345601E-3</v>
      </c>
      <c r="F55" s="139">
        <f>'Lista de Compra'!J53</f>
        <v>2.6</v>
      </c>
      <c r="G55" s="139">
        <f t="shared" si="13"/>
        <v>130</v>
      </c>
      <c r="H55" s="22">
        <f t="shared" si="14"/>
        <v>668.19999999999993</v>
      </c>
      <c r="I55" s="143">
        <f>'Rateio Custos Fixos'!E54</f>
        <v>189.53299803995975</v>
      </c>
      <c r="J55" s="22">
        <f t="shared" si="15"/>
        <v>857.73299803995974</v>
      </c>
      <c r="K55" s="22">
        <f t="shared" si="16"/>
        <v>953.79909382043525</v>
      </c>
      <c r="L55" s="22">
        <f t="shared" si="17"/>
        <v>96.066095780475493</v>
      </c>
      <c r="M55" s="22">
        <f t="shared" si="22"/>
        <v>30.998470549164146</v>
      </c>
      <c r="N55" s="22">
        <f t="shared" si="22"/>
        <v>20.02978097022914</v>
      </c>
      <c r="O55" s="22">
        <f t="shared" si="22"/>
        <v>92.04161255367201</v>
      </c>
      <c r="P55" s="22">
        <f t="shared" si="22"/>
        <v>57.227945629226113</v>
      </c>
      <c r="Q55" s="22">
        <f t="shared" si="18"/>
        <v>296.36390548276688</v>
      </c>
      <c r="R55" s="22">
        <f>'Rateio Custos Fixos'!F54</f>
        <v>0.68728293943209606</v>
      </c>
      <c r="S55" s="22">
        <f>'Rateio Custos Fixos'!G54</f>
        <v>2.1600320953580159</v>
      </c>
      <c r="T55" s="22">
        <f>'Rateio Custos Fixos'!H54</f>
        <v>2.9454983118518401</v>
      </c>
      <c r="U55" s="22">
        <f>'Rateio Custos Fixos'!I54</f>
        <v>0.19636655412345599</v>
      </c>
      <c r="V55" s="22">
        <f>'Rateio Custos Fixos'!J54</f>
        <v>0.35345979742222083</v>
      </c>
      <c r="W55" s="22">
        <f>'Rateio Custos Fixos'!K54</f>
        <v>0.96219611520493442</v>
      </c>
      <c r="X55" s="22">
        <f>'Rateio Custos Fixos'!L54</f>
        <v>2.0814854737086335</v>
      </c>
      <c r="Y55" s="22">
        <f>'Rateio Custos Fixos'!M54</f>
        <v>0.71870158809184903</v>
      </c>
      <c r="Z55" s="22">
        <f>'Rateio Custos Fixos'!N54</f>
        <v>15.16263984319678</v>
      </c>
      <c r="AA55" s="22">
        <f>'Rateio Custos Fixos'!O54</f>
        <v>2.9454983118518401</v>
      </c>
      <c r="AB55" s="22">
        <f>'Rateio Custos Fixos'!P54</f>
        <v>0.58909966237036804</v>
      </c>
      <c r="AC55" s="22">
        <f>'Rateio Custos Fixos'!Q54</f>
        <v>0.62902098282366659</v>
      </c>
      <c r="AD55" s="22">
        <f>'Rateio Custos Fixos'!R54</f>
        <v>0.39273310824691199</v>
      </c>
      <c r="AE55" s="22">
        <f>'Rateio Custos Fixos'!S54</f>
        <v>8.8364949355555211</v>
      </c>
      <c r="AF55" s="22">
        <f>'Rateio Custos Fixos'!T54</f>
        <v>16.304904088532922</v>
      </c>
      <c r="AG55" s="22">
        <f>'Rateio Custos Fixos'!U54</f>
        <v>2.552765203604928</v>
      </c>
      <c r="AH55" s="22">
        <f t="shared" si="19"/>
        <v>57.518179011375985</v>
      </c>
      <c r="AI55" s="22">
        <f t="shared" si="20"/>
        <v>1211.6150825341026</v>
      </c>
      <c r="AJ55" s="22">
        <f t="shared" si="21"/>
        <v>24.232301650682054</v>
      </c>
    </row>
    <row r="56" spans="1:36" ht="14.4" x14ac:dyDescent="0.3">
      <c r="A56">
        <f>'Lista de Compra'!A54</f>
        <v>51</v>
      </c>
      <c r="B56" t="str">
        <f>'Lista de Compra'!B54</f>
        <v>TEE 2" SCH-40 ASTM A-234 ASME B16.9</v>
      </c>
      <c r="C56">
        <f>'Lista de Compra'!C54</f>
        <v>72121000</v>
      </c>
      <c r="D56" s="98">
        <f>'Lista de Compra'!I54</f>
        <v>60</v>
      </c>
      <c r="E56" s="142">
        <f>'Lista de Compra'!L54</f>
        <v>1.0150640336227879E-3</v>
      </c>
      <c r="F56" s="139">
        <f>'Lista de Compra'!J54</f>
        <v>1.1200000000000001</v>
      </c>
      <c r="G56" s="139">
        <f t="shared" si="13"/>
        <v>67.2</v>
      </c>
      <c r="H56" s="22">
        <f t="shared" si="14"/>
        <v>345.40800000000002</v>
      </c>
      <c r="I56" s="143">
        <f>'Rateio Custos Fixos'!E55</f>
        <v>97.973980525271486</v>
      </c>
      <c r="J56" s="22">
        <f t="shared" si="15"/>
        <v>443.3819805252715</v>
      </c>
      <c r="K56" s="22">
        <f t="shared" si="16"/>
        <v>493.04076234410189</v>
      </c>
      <c r="L56" s="22">
        <f t="shared" si="17"/>
        <v>49.658781818830413</v>
      </c>
      <c r="M56" s="22">
        <f t="shared" si="22"/>
        <v>16.023824776183311</v>
      </c>
      <c r="N56" s="22">
        <f t="shared" si="22"/>
        <v>10.35385600922614</v>
      </c>
      <c r="O56" s="22">
        <f t="shared" si="22"/>
        <v>47.578433566205831</v>
      </c>
      <c r="P56" s="22">
        <f t="shared" si="22"/>
        <v>29.582445740646111</v>
      </c>
      <c r="Q56" s="22">
        <f t="shared" si="18"/>
        <v>153.1973419110918</v>
      </c>
      <c r="R56" s="22">
        <f>'Rateio Custos Fixos'!F55</f>
        <v>0.35527241176797575</v>
      </c>
      <c r="S56" s="22">
        <f>'Rateio Custos Fixos'!G55</f>
        <v>1.1165704369850666</v>
      </c>
      <c r="T56" s="22">
        <f>'Rateio Custos Fixos'!H55</f>
        <v>1.5225960504341818</v>
      </c>
      <c r="U56" s="22">
        <f>'Rateio Custos Fixos'!I55</f>
        <v>0.10150640336227879</v>
      </c>
      <c r="V56" s="22">
        <f>'Rateio Custos Fixos'!J55</f>
        <v>0.18271152605210184</v>
      </c>
      <c r="W56" s="22">
        <f>'Rateio Custos Fixos'!K55</f>
        <v>0.49738137647516606</v>
      </c>
      <c r="X56" s="22">
        <f>'Rateio Custos Fixos'!L55</f>
        <v>1.0759678756401552</v>
      </c>
      <c r="Y56" s="22">
        <f>'Rateio Custos Fixos'!M55</f>
        <v>0.37151343630594036</v>
      </c>
      <c r="Z56" s="22">
        <f>'Rateio Custos Fixos'!N55</f>
        <v>7.8379184420217189</v>
      </c>
      <c r="AA56" s="22">
        <f>'Rateio Custos Fixos'!O55</f>
        <v>1.5225960504341818</v>
      </c>
      <c r="AB56" s="22">
        <f>'Rateio Custos Fixos'!P55</f>
        <v>0.30451921008683636</v>
      </c>
      <c r="AC56" s="22">
        <f>'Rateio Custos Fixos'!Q55</f>
        <v>0.32515546189038763</v>
      </c>
      <c r="AD56" s="22">
        <f>'Rateio Custos Fixos'!R55</f>
        <v>0.20301280672455757</v>
      </c>
      <c r="AE56" s="22">
        <f>'Rateio Custos Fixos'!S55</f>
        <v>4.5677881513025458</v>
      </c>
      <c r="AF56" s="22">
        <f>'Rateio Custos Fixos'!T55</f>
        <v>8.4283811903800938</v>
      </c>
      <c r="AG56" s="22">
        <f>'Rateio Custos Fixos'!U55</f>
        <v>1.3195832437096242</v>
      </c>
      <c r="AH56" s="22">
        <f t="shared" si="19"/>
        <v>29.73247407357281</v>
      </c>
      <c r="AI56" s="22">
        <f t="shared" si="20"/>
        <v>626.31179650993613</v>
      </c>
      <c r="AJ56" s="22">
        <f t="shared" si="21"/>
        <v>10.438529941832268</v>
      </c>
    </row>
    <row r="57" spans="1:36" ht="14.4" x14ac:dyDescent="0.3">
      <c r="A57">
        <f>'Lista de Compra'!A55</f>
        <v>52</v>
      </c>
      <c r="B57" t="str">
        <f>'Lista de Compra'!B55</f>
        <v>TEE 1.1/2" SCH-40 ASTM A-234 ASME B16.9</v>
      </c>
      <c r="C57">
        <f>'Lista de Compra'!C55</f>
        <v>72121000</v>
      </c>
      <c r="D57" s="98">
        <f>'Lista de Compra'!I55</f>
        <v>60</v>
      </c>
      <c r="E57" s="142">
        <f>'Lista de Compra'!L55</f>
        <v>8.338025990472901E-4</v>
      </c>
      <c r="F57" s="139">
        <f>'Lista de Compra'!J55</f>
        <v>0.92</v>
      </c>
      <c r="G57" s="139">
        <f t="shared" si="13"/>
        <v>55.2</v>
      </c>
      <c r="H57" s="22">
        <f t="shared" si="14"/>
        <v>283.72800000000001</v>
      </c>
      <c r="I57" s="143">
        <f>'Rateio Custos Fixos'!E56</f>
        <v>80.478626860044443</v>
      </c>
      <c r="J57" s="22">
        <f t="shared" si="15"/>
        <v>364.20662686004448</v>
      </c>
      <c r="K57" s="22">
        <f t="shared" si="16"/>
        <v>404.99776906836945</v>
      </c>
      <c r="L57" s="22">
        <f t="shared" si="17"/>
        <v>40.791142208324985</v>
      </c>
      <c r="M57" s="22">
        <f t="shared" si="22"/>
        <v>13.162427494722008</v>
      </c>
      <c r="N57" s="22">
        <f t="shared" si="22"/>
        <v>8.5049531504357585</v>
      </c>
      <c r="O57" s="22">
        <f t="shared" si="22"/>
        <v>39.08228471509765</v>
      </c>
      <c r="P57" s="22">
        <f t="shared" si="22"/>
        <v>24.299866144102165</v>
      </c>
      <c r="Q57" s="22">
        <f t="shared" si="18"/>
        <v>125.84067371268257</v>
      </c>
      <c r="R57" s="22">
        <f>'Rateio Custos Fixos'!F56</f>
        <v>0.29183090966655151</v>
      </c>
      <c r="S57" s="22">
        <f>'Rateio Custos Fixos'!G56</f>
        <v>0.91718285895201912</v>
      </c>
      <c r="T57" s="22">
        <f>'Rateio Custos Fixos'!H56</f>
        <v>1.2507038985709351</v>
      </c>
      <c r="U57" s="22">
        <f>'Rateio Custos Fixos'!I56</f>
        <v>8.3380259904729012E-2</v>
      </c>
      <c r="V57" s="22">
        <f>'Rateio Custos Fixos'!J56</f>
        <v>0.15008446782851223</v>
      </c>
      <c r="W57" s="22">
        <f>'Rateio Custos Fixos'!K56</f>
        <v>0.40856327353317212</v>
      </c>
      <c r="X57" s="22">
        <f>'Rateio Custos Fixos'!L56</f>
        <v>0.88383075499012753</v>
      </c>
      <c r="Y57" s="22">
        <f>'Rateio Custos Fixos'!M56</f>
        <v>0.30517175125130819</v>
      </c>
      <c r="Z57" s="22">
        <f>'Rateio Custos Fixos'!N56</f>
        <v>6.4382901488035555</v>
      </c>
      <c r="AA57" s="22">
        <f>'Rateio Custos Fixos'!O56</f>
        <v>1.2507038985709351</v>
      </c>
      <c r="AB57" s="22">
        <f>'Rateio Custos Fixos'!P56</f>
        <v>0.25014077971418702</v>
      </c>
      <c r="AC57" s="22">
        <f>'Rateio Custos Fixos'!Q56</f>
        <v>0.26709198655281841</v>
      </c>
      <c r="AD57" s="22">
        <f>'Rateio Custos Fixos'!R56</f>
        <v>0.16676051980945802</v>
      </c>
      <c r="AE57" s="22">
        <f>'Rateio Custos Fixos'!S56</f>
        <v>3.7521116957128053</v>
      </c>
      <c r="AF57" s="22">
        <f>'Rateio Custos Fixos'!T56</f>
        <v>6.9233131206693637</v>
      </c>
      <c r="AG57" s="22">
        <f>'Rateio Custos Fixos'!U56</f>
        <v>1.0839433787614772</v>
      </c>
      <c r="AH57" s="22">
        <f t="shared" si="19"/>
        <v>24.423103703291954</v>
      </c>
      <c r="AI57" s="22">
        <f t="shared" si="20"/>
        <v>514.47040427601905</v>
      </c>
      <c r="AJ57" s="22">
        <f t="shared" si="21"/>
        <v>8.5745067379336515</v>
      </c>
    </row>
    <row r="58" spans="1:36" ht="14.4" x14ac:dyDescent="0.3">
      <c r="A58">
        <f>'Lista de Compra'!A56</f>
        <v>53</v>
      </c>
      <c r="B58" t="str">
        <f>'Lista de Compra'!B56</f>
        <v>CURVA SOLD RL 90° ASTM A-234 ASME B16.9 SCH 80 - 1.1/2"</v>
      </c>
      <c r="C58">
        <f>'Lista de Compra'!C56</f>
        <v>72121000</v>
      </c>
      <c r="D58" s="98">
        <f>'Lista de Compra'!I56</f>
        <v>100</v>
      </c>
      <c r="E58" s="142">
        <f>'Lista de Compra'!L56</f>
        <v>8.005713360417821E-4</v>
      </c>
      <c r="F58" s="139">
        <f>'Lista de Compra'!J56</f>
        <v>0.53</v>
      </c>
      <c r="G58" s="139">
        <f t="shared" si="13"/>
        <v>53</v>
      </c>
      <c r="H58" s="22">
        <f t="shared" si="14"/>
        <v>272.41999999999996</v>
      </c>
      <c r="I58" s="143">
        <f>'Rateio Custos Fixos'!E57</f>
        <v>77.271145354752804</v>
      </c>
      <c r="J58" s="22">
        <f t="shared" si="15"/>
        <v>349.69114535475273</v>
      </c>
      <c r="K58" s="22">
        <f t="shared" si="16"/>
        <v>388.85655363448507</v>
      </c>
      <c r="L58" s="22">
        <f t="shared" si="17"/>
        <v>39.165408279732304</v>
      </c>
      <c r="M58" s="22">
        <f t="shared" si="22"/>
        <v>12.637837993120765</v>
      </c>
      <c r="N58" s="22">
        <f t="shared" si="22"/>
        <v>8.1659876263241866</v>
      </c>
      <c r="O58" s="22">
        <f t="shared" si="22"/>
        <v>37.52465742572781</v>
      </c>
      <c r="P58" s="22">
        <f t="shared" si="22"/>
        <v>23.331393218069103</v>
      </c>
      <c r="Q58" s="22">
        <f t="shared" si="18"/>
        <v>120.82528454297417</v>
      </c>
      <c r="R58" s="22">
        <f>'Rateio Custos Fixos'!F57</f>
        <v>0.28019996761462374</v>
      </c>
      <c r="S58" s="22">
        <f>'Rateio Custos Fixos'!G57</f>
        <v>0.88062846964596031</v>
      </c>
      <c r="T58" s="22">
        <f>'Rateio Custos Fixos'!H57</f>
        <v>1.2008570040626732</v>
      </c>
      <c r="U58" s="22">
        <f>'Rateio Custos Fixos'!I57</f>
        <v>8.005713360417821E-2</v>
      </c>
      <c r="V58" s="22">
        <f>'Rateio Custos Fixos'!J57</f>
        <v>0.14410284048752078</v>
      </c>
      <c r="W58" s="22">
        <f>'Rateio Custos Fixos'!K57</f>
        <v>0.39227995466047322</v>
      </c>
      <c r="X58" s="22">
        <f>'Rateio Custos Fixos'!L57</f>
        <v>0.84860561620428898</v>
      </c>
      <c r="Y58" s="22">
        <f>'Rateio Custos Fixos'!M57</f>
        <v>0.29300910899129223</v>
      </c>
      <c r="Z58" s="22">
        <f>'Rateio Custos Fixos'!N57</f>
        <v>6.1816916283802241</v>
      </c>
      <c r="AA58" s="22">
        <f>'Rateio Custos Fixos'!O57</f>
        <v>1.2008570040626732</v>
      </c>
      <c r="AB58" s="22">
        <f>'Rateio Custos Fixos'!P57</f>
        <v>0.24017140081253463</v>
      </c>
      <c r="AC58" s="22">
        <f>'Rateio Custos Fixos'!Q57</f>
        <v>0.25644701607426407</v>
      </c>
      <c r="AD58" s="22">
        <f>'Rateio Custos Fixos'!R57</f>
        <v>0.16011426720835642</v>
      </c>
      <c r="AE58" s="22">
        <f>'Rateio Custos Fixos'!S57</f>
        <v>3.6025710121880197</v>
      </c>
      <c r="AF58" s="22">
        <f>'Rateio Custos Fixos'!T57</f>
        <v>6.647383974555729</v>
      </c>
      <c r="AG58" s="22">
        <f>'Rateio Custos Fixos'!U57</f>
        <v>1.0407427368543167</v>
      </c>
      <c r="AH58" s="22">
        <f t="shared" si="19"/>
        <v>23.449719135407129</v>
      </c>
      <c r="AI58" s="22">
        <f t="shared" si="20"/>
        <v>493.966149033134</v>
      </c>
      <c r="AJ58" s="22">
        <f t="shared" si="21"/>
        <v>4.9396614903313401</v>
      </c>
    </row>
    <row r="59" spans="1:36" ht="14.4" x14ac:dyDescent="0.3">
      <c r="A59">
        <f>'Lista de Compra'!A57</f>
        <v>54</v>
      </c>
      <c r="B59" t="str">
        <f>'Lista de Compra'!B57</f>
        <v>CURVA SOLD RL 90° ASTM A-234 ASME B16.9 SCH 80 - 1"</v>
      </c>
      <c r="C59">
        <f>'Lista de Compra'!C57</f>
        <v>72121000</v>
      </c>
      <c r="D59" s="98">
        <f>'Lista de Compra'!I57</f>
        <v>75</v>
      </c>
      <c r="E59" s="142">
        <f>'Lista de Compra'!L57</f>
        <v>3.2853635016808982E-4</v>
      </c>
      <c r="F59" s="139">
        <f>'Lista de Compra'!J57</f>
        <v>0.28999999999999998</v>
      </c>
      <c r="G59" s="139">
        <f t="shared" si="13"/>
        <v>21.75</v>
      </c>
      <c r="H59" s="22">
        <f t="shared" si="14"/>
        <v>111.79499999999999</v>
      </c>
      <c r="I59" s="143">
        <f>'Rateio Custos Fixos'!E58</f>
        <v>31.710328518224031</v>
      </c>
      <c r="J59" s="22">
        <f t="shared" si="15"/>
        <v>143.50532851822402</v>
      </c>
      <c r="K59" s="22">
        <f t="shared" si="16"/>
        <v>159.57792531226511</v>
      </c>
      <c r="L59" s="22">
        <f t="shared" si="17"/>
        <v>16.07259679404109</v>
      </c>
      <c r="M59" s="22">
        <f t="shared" si="22"/>
        <v>5.1862825726486159</v>
      </c>
      <c r="N59" s="22">
        <f t="shared" si="22"/>
        <v>3.3511364315575674</v>
      </c>
      <c r="O59" s="22">
        <f t="shared" si="22"/>
        <v>15.399269792633584</v>
      </c>
      <c r="P59" s="22">
        <f t="shared" si="22"/>
        <v>9.5746755187359067</v>
      </c>
      <c r="Q59" s="22">
        <f t="shared" si="18"/>
        <v>49.583961109616766</v>
      </c>
      <c r="R59" s="22">
        <f>'Rateio Custos Fixos'!F58</f>
        <v>0.11498772255883144</v>
      </c>
      <c r="S59" s="22">
        <f>'Rateio Custos Fixos'!G58</f>
        <v>0.36138998518489879</v>
      </c>
      <c r="T59" s="22">
        <f>'Rateio Custos Fixos'!H58</f>
        <v>0.49280452525213475</v>
      </c>
      <c r="U59" s="22">
        <f>'Rateio Custos Fixos'!I58</f>
        <v>3.2853635016808984E-2</v>
      </c>
      <c r="V59" s="22">
        <f>'Rateio Custos Fixos'!J58</f>
        <v>5.9136543030256165E-2</v>
      </c>
      <c r="W59" s="22">
        <f>'Rateio Custos Fixos'!K58</f>
        <v>0.16098281158236402</v>
      </c>
      <c r="X59" s="22">
        <f>'Rateio Custos Fixos'!L58</f>
        <v>0.34824853117817522</v>
      </c>
      <c r="Y59" s="22">
        <f>'Rateio Custos Fixos'!M58</f>
        <v>0.12024430416152088</v>
      </c>
      <c r="Z59" s="22">
        <f>'Rateio Custos Fixos'!N58</f>
        <v>2.5368262814579228</v>
      </c>
      <c r="AA59" s="22">
        <f>'Rateio Custos Fixos'!O58</f>
        <v>0.49280452525213475</v>
      </c>
      <c r="AB59" s="22">
        <f>'Rateio Custos Fixos'!P58</f>
        <v>9.8560905050426945E-2</v>
      </c>
      <c r="AC59" s="22">
        <f>'Rateio Custos Fixos'!Q58</f>
        <v>0.10524004904934421</v>
      </c>
      <c r="AD59" s="22">
        <f>'Rateio Custos Fixos'!R58</f>
        <v>6.5707270033617968E-2</v>
      </c>
      <c r="AE59" s="22">
        <f>'Rateio Custos Fixos'!S58</f>
        <v>1.4784135757564043</v>
      </c>
      <c r="AF59" s="22">
        <f>'Rateio Custos Fixos'!T58</f>
        <v>2.7279358763507</v>
      </c>
      <c r="AG59" s="22">
        <f>'Rateio Custos Fixos'!U58</f>
        <v>0.42709725521851677</v>
      </c>
      <c r="AH59" s="22">
        <f t="shared" si="19"/>
        <v>9.6232337961340573</v>
      </c>
      <c r="AI59" s="22">
        <f t="shared" si="20"/>
        <v>202.71252342397486</v>
      </c>
      <c r="AJ59" s="22">
        <f t="shared" si="21"/>
        <v>2.7028336456529982</v>
      </c>
    </row>
    <row r="60" spans="1:36" ht="14.4" x14ac:dyDescent="0.3">
      <c r="A60">
        <f>'Lista de Compra'!A58</f>
        <v>55</v>
      </c>
      <c r="B60" t="str">
        <f>'Lista de Compra'!B58</f>
        <v>CURVA SOLD RL 90° ASTM A-234 ASME B16.9 SCH 80 - 8"</v>
      </c>
      <c r="C60">
        <f>'Lista de Compra'!C58</f>
        <v>72121000</v>
      </c>
      <c r="D60" s="98">
        <f>'Lista de Compra'!I58</f>
        <v>10</v>
      </c>
      <c r="E60" s="142">
        <f>'Lista de Compra'!L58</f>
        <v>3.5512136057249621E-3</v>
      </c>
      <c r="F60" s="139">
        <f>'Lista de Compra'!J58</f>
        <v>23.51</v>
      </c>
      <c r="G60" s="139">
        <f t="shared" si="13"/>
        <v>235.10000000000002</v>
      </c>
      <c r="H60" s="22">
        <f t="shared" si="14"/>
        <v>1208.414</v>
      </c>
      <c r="I60" s="143">
        <f>'Rateio Custos Fixos'!E59</f>
        <v>342.76313722457331</v>
      </c>
      <c r="J60" s="22">
        <f t="shared" si="15"/>
        <v>1551.1771372245732</v>
      </c>
      <c r="K60" s="22">
        <f t="shared" si="16"/>
        <v>1724.9089765937254</v>
      </c>
      <c r="L60" s="22">
        <f t="shared" si="17"/>
        <v>173.7318393691522</v>
      </c>
      <c r="M60" s="22">
        <f t="shared" si="22"/>
        <v>56.059541739296073</v>
      </c>
      <c r="N60" s="22">
        <f t="shared" si="22"/>
        <v>36.223088508468237</v>
      </c>
      <c r="O60" s="22">
        <f t="shared" si="22"/>
        <v>166.4537162412945</v>
      </c>
      <c r="P60" s="22">
        <f t="shared" si="22"/>
        <v>103.49453859562352</v>
      </c>
      <c r="Q60" s="22">
        <f t="shared" si="18"/>
        <v>535.96272445383454</v>
      </c>
      <c r="R60" s="22">
        <f>'Rateio Custos Fixos'!F59</f>
        <v>1.2429247620037367</v>
      </c>
      <c r="S60" s="22">
        <f>'Rateio Custos Fixos'!G59</f>
        <v>3.9063349662974582</v>
      </c>
      <c r="T60" s="22">
        <f>'Rateio Custos Fixos'!H59</f>
        <v>5.3268204085874427</v>
      </c>
      <c r="U60" s="22">
        <f>'Rateio Custos Fixos'!I59</f>
        <v>0.35512136057249621</v>
      </c>
      <c r="V60" s="22">
        <f>'Rateio Custos Fixos'!J59</f>
        <v>0.63921844903049319</v>
      </c>
      <c r="W60" s="22">
        <f>'Rateio Custos Fixos'!K59</f>
        <v>1.7400946668052315</v>
      </c>
      <c r="X60" s="22">
        <f>'Rateio Custos Fixos'!L59</f>
        <v>3.76428642206846</v>
      </c>
      <c r="Y60" s="22">
        <f>'Rateio Custos Fixos'!M59</f>
        <v>1.2997441796953362</v>
      </c>
      <c r="Z60" s="22">
        <f>'Rateio Custos Fixos'!N59</f>
        <v>27.421050977965866</v>
      </c>
      <c r="AA60" s="22">
        <f>'Rateio Custos Fixos'!O59</f>
        <v>5.3268204085874427</v>
      </c>
      <c r="AB60" s="22">
        <f>'Rateio Custos Fixos'!P59</f>
        <v>1.0653640817174885</v>
      </c>
      <c r="AC60" s="22">
        <f>'Rateio Custos Fixos'!Q59</f>
        <v>1.137560254321877</v>
      </c>
      <c r="AD60" s="22">
        <f>'Rateio Custos Fixos'!R59</f>
        <v>0.71024272114499243</v>
      </c>
      <c r="AE60" s="22">
        <f>'Rateio Custos Fixos'!S59</f>
        <v>15.98046122576233</v>
      </c>
      <c r="AF60" s="22">
        <f>'Rateio Custos Fixos'!T59</f>
        <v>29.486791932416075</v>
      </c>
      <c r="AG60" s="22">
        <f>'Rateio Custos Fixos'!U59</f>
        <v>4.6165776874424509</v>
      </c>
      <c r="AH60" s="22">
        <f t="shared" si="19"/>
        <v>104.01941450441919</v>
      </c>
      <c r="AI60" s="22">
        <f t="shared" si="20"/>
        <v>2191.1592761828269</v>
      </c>
      <c r="AJ60" s="22">
        <f t="shared" si="21"/>
        <v>219.11592761828268</v>
      </c>
    </row>
    <row r="61" spans="1:36" ht="14.4" x14ac:dyDescent="0.3">
      <c r="A61">
        <f>'Lista de Compra'!A59</f>
        <v>56</v>
      </c>
      <c r="B61" t="str">
        <f>'Lista de Compra'!B59</f>
        <v>REDUÇÃO CONCENTRICA ASTM A-234 ASME B16.9 SCH 40 1.1/2" X 1"</v>
      </c>
      <c r="C61">
        <f>'Lista de Compra'!C59</f>
        <v>72121000</v>
      </c>
      <c r="D61" s="98">
        <f>'Lista de Compra'!I59</f>
        <v>40</v>
      </c>
      <c r="E61" s="142">
        <f>'Lista de Compra'!L59</f>
        <v>2.2355576930978068E-4</v>
      </c>
      <c r="F61" s="139">
        <f>'Lista de Compra'!J59</f>
        <v>0.37</v>
      </c>
      <c r="G61" s="139">
        <f t="shared" si="13"/>
        <v>14.8</v>
      </c>
      <c r="H61" s="22">
        <f t="shared" si="14"/>
        <v>76.072000000000003</v>
      </c>
      <c r="I61" s="143">
        <f>'Rateio Custos Fixos'!E60</f>
        <v>21.577602853780032</v>
      </c>
      <c r="J61" s="22">
        <f t="shared" si="15"/>
        <v>97.649602853780038</v>
      </c>
      <c r="K61" s="22">
        <f t="shared" si="16"/>
        <v>108.5863583734034</v>
      </c>
      <c r="L61" s="22">
        <f t="shared" si="17"/>
        <v>10.936755519623365</v>
      </c>
      <c r="M61" s="22">
        <f t="shared" si="22"/>
        <v>3.5290566471356106</v>
      </c>
      <c r="N61" s="22">
        <f t="shared" si="22"/>
        <v>2.2803135258414717</v>
      </c>
      <c r="O61" s="22">
        <f t="shared" si="22"/>
        <v>10.478583583033428</v>
      </c>
      <c r="P61" s="22">
        <f t="shared" si="22"/>
        <v>6.5151815024042037</v>
      </c>
      <c r="Q61" s="22">
        <f t="shared" si="18"/>
        <v>33.739890778038081</v>
      </c>
      <c r="R61" s="22">
        <f>'Rateio Custos Fixos'!F60</f>
        <v>7.824451925842324E-2</v>
      </c>
      <c r="S61" s="22">
        <f>'Rateio Custos Fixos'!G60</f>
        <v>0.24591134624075875</v>
      </c>
      <c r="T61" s="22">
        <f>'Rateio Custos Fixos'!H60</f>
        <v>0.33533365396467102</v>
      </c>
      <c r="U61" s="22">
        <f>'Rateio Custos Fixos'!I60</f>
        <v>2.2355576930978067E-2</v>
      </c>
      <c r="V61" s="22">
        <f>'Rateio Custos Fixos'!J60</f>
        <v>4.024003847576052E-2</v>
      </c>
      <c r="W61" s="22">
        <f>'Rateio Custos Fixos'!K60</f>
        <v>0.10954232696179253</v>
      </c>
      <c r="X61" s="22">
        <f>'Rateio Custos Fixos'!L60</f>
        <v>0.23696911546836752</v>
      </c>
      <c r="Y61" s="22">
        <f>'Rateio Custos Fixos'!M60</f>
        <v>8.1821411567379737E-2</v>
      </c>
      <c r="Z61" s="22">
        <f>'Rateio Custos Fixos'!N60</f>
        <v>1.7262082283024025</v>
      </c>
      <c r="AA61" s="22">
        <f>'Rateio Custos Fixos'!O60</f>
        <v>0.33533365396467102</v>
      </c>
      <c r="AB61" s="22">
        <f>'Rateio Custos Fixos'!P60</f>
        <v>6.7066730792934209E-2</v>
      </c>
      <c r="AC61" s="22">
        <f>'Rateio Custos Fixos'!Q60</f>
        <v>7.1611619583002037E-2</v>
      </c>
      <c r="AD61" s="22">
        <f>'Rateio Custos Fixos'!R60</f>
        <v>4.4711153861956135E-2</v>
      </c>
      <c r="AE61" s="22">
        <f>'Rateio Custos Fixos'!S60</f>
        <v>1.0060009618940131</v>
      </c>
      <c r="AF61" s="22">
        <f>'Rateio Custos Fixos'!T60</f>
        <v>1.8562506193099018</v>
      </c>
      <c r="AG61" s="22">
        <f>'Rateio Custos Fixos'!U60</f>
        <v>0.2906225001027149</v>
      </c>
      <c r="AH61" s="22">
        <f t="shared" si="19"/>
        <v>6.5482234566797279</v>
      </c>
      <c r="AI61" s="22">
        <f t="shared" si="20"/>
        <v>137.93771708849783</v>
      </c>
      <c r="AJ61" s="22">
        <f t="shared" si="21"/>
        <v>3.4484429272124459</v>
      </c>
    </row>
    <row r="62" spans="1:36" ht="14.4" x14ac:dyDescent="0.3">
      <c r="A62">
        <f>'Lista de Compra'!A60</f>
        <v>57</v>
      </c>
      <c r="B62" t="str">
        <f>'Lista de Compra'!B60</f>
        <v>CURVA SOLD RL 45° ASTM A-234 ASME B16.9 SCH 80 - 2''</v>
      </c>
      <c r="C62">
        <f>'Lista de Compra'!C60</f>
        <v>72121000</v>
      </c>
      <c r="D62" s="98">
        <f>'Lista de Compra'!I60</f>
        <v>30</v>
      </c>
      <c r="E62" s="142">
        <f>'Lista de Compra'!L60</f>
        <v>2.582975442700844E-4</v>
      </c>
      <c r="F62" s="139">
        <f>'Lista de Compra'!J60</f>
        <v>0.56999999999999995</v>
      </c>
      <c r="G62" s="139">
        <f t="shared" si="13"/>
        <v>17.099999999999998</v>
      </c>
      <c r="H62" s="22">
        <f t="shared" si="14"/>
        <v>87.893999999999977</v>
      </c>
      <c r="I62" s="143">
        <f>'Rateio Custos Fixos'!E61</f>
        <v>24.930878972948548</v>
      </c>
      <c r="J62" s="22">
        <f t="shared" si="15"/>
        <v>112.82487897294853</v>
      </c>
      <c r="K62" s="22">
        <f t="shared" si="16"/>
        <v>125.46126541791875</v>
      </c>
      <c r="L62" s="22">
        <f t="shared" si="17"/>
        <v>12.636386444970235</v>
      </c>
      <c r="M62" s="22">
        <f t="shared" si="22"/>
        <v>4.0774911260823599</v>
      </c>
      <c r="N62" s="22">
        <f t="shared" si="22"/>
        <v>2.6346865737762939</v>
      </c>
      <c r="O62" s="22">
        <f t="shared" si="22"/>
        <v>12.10701211282916</v>
      </c>
      <c r="P62" s="22">
        <f t="shared" si="22"/>
        <v>7.5276759250751253</v>
      </c>
      <c r="Q62" s="22">
        <f t="shared" si="18"/>
        <v>38.983252182733175</v>
      </c>
      <c r="R62" s="22">
        <f>'Rateio Custos Fixos'!F61</f>
        <v>9.0404140494529536E-2</v>
      </c>
      <c r="S62" s="22">
        <f>'Rateio Custos Fixos'!G61</f>
        <v>0.28412729869709286</v>
      </c>
      <c r="T62" s="22">
        <f>'Rateio Custos Fixos'!H61</f>
        <v>0.38744631640512661</v>
      </c>
      <c r="U62" s="22">
        <f>'Rateio Custos Fixos'!I61</f>
        <v>2.5829754427008439E-2</v>
      </c>
      <c r="V62" s="22">
        <f>'Rateio Custos Fixos'!J61</f>
        <v>4.6493557968615193E-2</v>
      </c>
      <c r="W62" s="22">
        <f>'Rateio Custos Fixos'!K61</f>
        <v>0.12656579669234136</v>
      </c>
      <c r="X62" s="22">
        <f>'Rateio Custos Fixos'!L61</f>
        <v>0.27379539692628946</v>
      </c>
      <c r="Y62" s="22">
        <f>'Rateio Custos Fixos'!M61</f>
        <v>9.4536901202850895E-2</v>
      </c>
      <c r="Z62" s="22">
        <f>'Rateio Custos Fixos'!N61</f>
        <v>1.9944703178358838</v>
      </c>
      <c r="AA62" s="22">
        <f>'Rateio Custos Fixos'!O61</f>
        <v>0.38744631640512661</v>
      </c>
      <c r="AB62" s="22">
        <f>'Rateio Custos Fixos'!P61</f>
        <v>7.7489263281025317E-2</v>
      </c>
      <c r="AC62" s="22">
        <f>'Rateio Custos Fixos'!Q61</f>
        <v>8.2740452356036137E-2</v>
      </c>
      <c r="AD62" s="22">
        <f>'Rateio Custos Fixos'!R61</f>
        <v>5.1659508854016878E-2</v>
      </c>
      <c r="AE62" s="22">
        <f>'Rateio Custos Fixos'!S61</f>
        <v>1.1623389492153797</v>
      </c>
      <c r="AF62" s="22">
        <f>'Rateio Custos Fixos'!T61</f>
        <v>2.1447219993377917</v>
      </c>
      <c r="AG62" s="22">
        <f>'Rateio Custos Fixos'!U61</f>
        <v>0.33578680755110973</v>
      </c>
      <c r="AH62" s="22">
        <f t="shared" si="19"/>
        <v>7.5658527776502256</v>
      </c>
      <c r="AI62" s="22">
        <f t="shared" si="20"/>
        <v>159.37398393333194</v>
      </c>
      <c r="AJ62" s="22">
        <f t="shared" si="21"/>
        <v>5.3124661311110648</v>
      </c>
    </row>
    <row r="63" spans="1:36" ht="14.4" x14ac:dyDescent="0.3">
      <c r="A63">
        <f>'Lista de Compra'!A61</f>
        <v>58</v>
      </c>
      <c r="B63" t="str">
        <f>'Lista de Compra'!B61</f>
        <v>CURVA SOLD RL 45° ASTM A-234 ASME B16.9 SCH 80 - 3''</v>
      </c>
      <c r="C63">
        <f>'Lista de Compra'!C61</f>
        <v>72121000</v>
      </c>
      <c r="D63" s="98">
        <f>'Lista de Compra'!I61</f>
        <v>30</v>
      </c>
      <c r="E63" s="142">
        <f>'Lista de Compra'!L61</f>
        <v>7.4317188175954108E-4</v>
      </c>
      <c r="F63" s="139">
        <f>'Lista de Compra'!J61</f>
        <v>1.64</v>
      </c>
      <c r="G63" s="139">
        <f t="shared" si="13"/>
        <v>49.199999999999996</v>
      </c>
      <c r="H63" s="22">
        <f t="shared" si="14"/>
        <v>252.88799999999995</v>
      </c>
      <c r="I63" s="143">
        <f>'Rateio Custos Fixos'!E62</f>
        <v>71.730950027430907</v>
      </c>
      <c r="J63" s="22">
        <f t="shared" si="15"/>
        <v>324.61895002743086</v>
      </c>
      <c r="K63" s="22">
        <f t="shared" si="16"/>
        <v>360.97627243050312</v>
      </c>
      <c r="L63" s="22">
        <f t="shared" si="17"/>
        <v>36.35732240307226</v>
      </c>
      <c r="M63" s="22">
        <f t="shared" si="22"/>
        <v>11.731728853991351</v>
      </c>
      <c r="N63" s="22">
        <f t="shared" si="22"/>
        <v>7.5805017210405659</v>
      </c>
      <c r="O63" s="22">
        <f t="shared" si="22"/>
        <v>34.834210289543549</v>
      </c>
      <c r="P63" s="22">
        <f t="shared" si="22"/>
        <v>21.658576345830188</v>
      </c>
      <c r="Q63" s="22">
        <f t="shared" si="18"/>
        <v>112.16233961347791</v>
      </c>
      <c r="R63" s="22">
        <f>'Rateio Custos Fixos'!F62</f>
        <v>0.26011015861583936</v>
      </c>
      <c r="S63" s="22">
        <f>'Rateio Custos Fixos'!G62</f>
        <v>0.81748906993549519</v>
      </c>
      <c r="T63" s="22">
        <f>'Rateio Custos Fixos'!H62</f>
        <v>1.1147578226393116</v>
      </c>
      <c r="U63" s="22">
        <f>'Rateio Custos Fixos'!I62</f>
        <v>7.4317188175954105E-2</v>
      </c>
      <c r="V63" s="22">
        <f>'Rateio Custos Fixos'!J62</f>
        <v>0.13377093871671739</v>
      </c>
      <c r="W63" s="22">
        <f>'Rateio Custos Fixos'!K62</f>
        <v>0.36415422206217513</v>
      </c>
      <c r="X63" s="22">
        <f>'Rateio Custos Fixos'!L62</f>
        <v>0.78776219466511355</v>
      </c>
      <c r="Y63" s="22">
        <f>'Rateio Custos Fixos'!M62</f>
        <v>0.27200090872399202</v>
      </c>
      <c r="Z63" s="22">
        <f>'Rateio Custos Fixos'!N62</f>
        <v>5.7384760021944725</v>
      </c>
      <c r="AA63" s="22">
        <f>'Rateio Custos Fixos'!O62</f>
        <v>1.1147578226393116</v>
      </c>
      <c r="AB63" s="22">
        <f>'Rateio Custos Fixos'!P62</f>
        <v>0.22295156452786233</v>
      </c>
      <c r="AC63" s="22">
        <f>'Rateio Custos Fixos'!Q62</f>
        <v>0.23806024888403379</v>
      </c>
      <c r="AD63" s="22">
        <f>'Rateio Custos Fixos'!R62</f>
        <v>0.14863437635190821</v>
      </c>
      <c r="AE63" s="22">
        <f>'Rateio Custos Fixos'!S62</f>
        <v>3.3442734679179349</v>
      </c>
      <c r="AF63" s="22">
        <f>'Rateio Custos Fixos'!T62</f>
        <v>6.1707790858139973</v>
      </c>
      <c r="AG63" s="22">
        <f>'Rateio Custos Fixos'!U62</f>
        <v>0.96612344628740343</v>
      </c>
      <c r="AH63" s="22">
        <f t="shared" si="19"/>
        <v>21.768418518151524</v>
      </c>
      <c r="AI63" s="22">
        <f t="shared" si="20"/>
        <v>458.54970815906029</v>
      </c>
      <c r="AJ63" s="22">
        <f t="shared" si="21"/>
        <v>15.284990271968676</v>
      </c>
    </row>
    <row r="64" spans="1:36" ht="14.4" x14ac:dyDescent="0.3">
      <c r="A64">
        <f>'Lista de Compra'!A62</f>
        <v>59</v>
      </c>
      <c r="B64" t="str">
        <f>'Lista de Compra'!B62</f>
        <v>CURVA SOLD RL 45° ASTM A-234 ASME B16.9 SCH 80 - 4''</v>
      </c>
      <c r="C64">
        <f>'Lista de Compra'!C62</f>
        <v>72121000</v>
      </c>
      <c r="D64" s="98">
        <f>'Lista de Compra'!I62</f>
        <v>30</v>
      </c>
      <c r="E64" s="142">
        <f>'Lista de Compra'!L62</f>
        <v>1.3322715441299092E-3</v>
      </c>
      <c r="F64" s="139">
        <f>'Lista de Compra'!J62</f>
        <v>2.94</v>
      </c>
      <c r="G64" s="139">
        <f t="shared" si="13"/>
        <v>88.2</v>
      </c>
      <c r="H64" s="22">
        <f t="shared" si="14"/>
        <v>453.34800000000001</v>
      </c>
      <c r="I64" s="143">
        <f>'Rateio Custos Fixos'!E63</f>
        <v>128.59084943941883</v>
      </c>
      <c r="J64" s="22">
        <f t="shared" si="15"/>
        <v>581.93884943941885</v>
      </c>
      <c r="K64" s="22">
        <f t="shared" si="16"/>
        <v>647.11600057663372</v>
      </c>
      <c r="L64" s="22">
        <f t="shared" si="17"/>
        <v>65.177151137214906</v>
      </c>
      <c r="M64" s="22">
        <f t="shared" si="22"/>
        <v>21.031270018740596</v>
      </c>
      <c r="N64" s="22">
        <f t="shared" si="22"/>
        <v>13.589436012109308</v>
      </c>
      <c r="O64" s="22">
        <f t="shared" si="22"/>
        <v>62.446694055645153</v>
      </c>
      <c r="P64" s="22">
        <f t="shared" si="22"/>
        <v>38.826960034598024</v>
      </c>
      <c r="Q64" s="22">
        <f t="shared" si="18"/>
        <v>201.07151125830796</v>
      </c>
      <c r="R64" s="22">
        <f>'Rateio Custos Fixos'!F63</f>
        <v>0.46629504044546821</v>
      </c>
      <c r="S64" s="22">
        <f>'Rateio Custos Fixos'!G63</f>
        <v>1.4654986985429002</v>
      </c>
      <c r="T64" s="22">
        <f>'Rateio Custos Fixos'!H63</f>
        <v>1.9984073161948639</v>
      </c>
      <c r="U64" s="22">
        <f>'Rateio Custos Fixos'!I63</f>
        <v>0.13322715441299093</v>
      </c>
      <c r="V64" s="22">
        <f>'Rateio Custos Fixos'!J63</f>
        <v>0.23980887794338365</v>
      </c>
      <c r="W64" s="22">
        <f>'Rateio Custos Fixos'!K63</f>
        <v>0.65281305662365552</v>
      </c>
      <c r="X64" s="22">
        <f>'Rateio Custos Fixos'!L63</f>
        <v>1.4122078367777038</v>
      </c>
      <c r="Y64" s="22">
        <f>'Rateio Custos Fixos'!M63</f>
        <v>0.48761138515154678</v>
      </c>
      <c r="Z64" s="22">
        <f>'Rateio Custos Fixos'!N63</f>
        <v>10.287267955153506</v>
      </c>
      <c r="AA64" s="22">
        <f>'Rateio Custos Fixos'!O63</f>
        <v>1.9984073161948639</v>
      </c>
      <c r="AB64" s="22">
        <f>'Rateio Custos Fixos'!P63</f>
        <v>0.39968146323897275</v>
      </c>
      <c r="AC64" s="22">
        <f>'Rateio Custos Fixos'!Q63</f>
        <v>0.42676654373113382</v>
      </c>
      <c r="AD64" s="22">
        <f>'Rateio Custos Fixos'!R63</f>
        <v>0.26645430882598187</v>
      </c>
      <c r="AE64" s="22">
        <f>'Rateio Custos Fixos'!S63</f>
        <v>5.9952219485845912</v>
      </c>
      <c r="AF64" s="22">
        <f>'Rateio Custos Fixos'!T63</f>
        <v>11.062250312373875</v>
      </c>
      <c r="AG64" s="22">
        <f>'Rateio Custos Fixos'!U63</f>
        <v>1.731953007368882</v>
      </c>
      <c r="AH64" s="22">
        <f t="shared" si="19"/>
        <v>39.023872221564318</v>
      </c>
      <c r="AI64" s="22">
        <f t="shared" si="20"/>
        <v>822.03423291929107</v>
      </c>
      <c r="AJ64" s="22">
        <f t="shared" si="21"/>
        <v>27.401141097309701</v>
      </c>
    </row>
    <row r="65" spans="1:36" ht="14.4" x14ac:dyDescent="0.3">
      <c r="A65">
        <f>'Lista de Compra'!A63</f>
        <v>60</v>
      </c>
      <c r="B65" t="str">
        <f>'Lista de Compra'!B63</f>
        <v>CURVA SOLD RL 90° ASTM A-234 ASME B16.9 SCH 40 - 10"</v>
      </c>
      <c r="C65">
        <f>'Lista de Compra'!C63</f>
        <v>72121000</v>
      </c>
      <c r="D65" s="98">
        <f>'Lista de Compra'!I63</f>
        <v>10</v>
      </c>
      <c r="E65" s="142">
        <f>'Lista de Compra'!L63</f>
        <v>3.8306583173621876E-3</v>
      </c>
      <c r="F65" s="139">
        <f>'Lista de Compra'!J63</f>
        <v>25.36</v>
      </c>
      <c r="G65" s="139">
        <f t="shared" si="13"/>
        <v>253.6</v>
      </c>
      <c r="H65" s="22">
        <f t="shared" si="14"/>
        <v>1303.5039999999999</v>
      </c>
      <c r="I65" s="143">
        <f>'Rateio Custos Fixos'!E64</f>
        <v>369.73514079179836</v>
      </c>
      <c r="J65" s="22">
        <f t="shared" si="15"/>
        <v>1673.2391407917983</v>
      </c>
      <c r="K65" s="22">
        <f t="shared" si="16"/>
        <v>1860.6419245604798</v>
      </c>
      <c r="L65" s="22">
        <f t="shared" si="17"/>
        <v>187.40278376868142</v>
      </c>
      <c r="M65" s="22">
        <f t="shared" si="22"/>
        <v>60.470862548215592</v>
      </c>
      <c r="N65" s="22">
        <f t="shared" si="22"/>
        <v>39.073480415770078</v>
      </c>
      <c r="O65" s="22">
        <f t="shared" si="22"/>
        <v>179.55194572008631</v>
      </c>
      <c r="P65" s="22">
        <f t="shared" si="22"/>
        <v>111.63851547362879</v>
      </c>
      <c r="Q65" s="22">
        <f t="shared" si="18"/>
        <v>578.13758792638214</v>
      </c>
      <c r="R65" s="22">
        <f>'Rateio Custos Fixos'!F64</f>
        <v>1.3407304110767657</v>
      </c>
      <c r="S65" s="22">
        <f>'Rateio Custos Fixos'!G64</f>
        <v>4.2137241490984065</v>
      </c>
      <c r="T65" s="22">
        <f>'Rateio Custos Fixos'!H64</f>
        <v>5.7459874760432816</v>
      </c>
      <c r="U65" s="22">
        <f>'Rateio Custos Fixos'!I64</f>
        <v>0.38306583173621878</v>
      </c>
      <c r="V65" s="22">
        <f>'Rateio Custos Fixos'!J64</f>
        <v>0.68951849712519375</v>
      </c>
      <c r="W65" s="22">
        <f>'Rateio Custos Fixos'!K64</f>
        <v>1.8770225755074719</v>
      </c>
      <c r="X65" s="22">
        <f>'Rateio Custos Fixos'!L64</f>
        <v>4.0604978164039185</v>
      </c>
      <c r="Y65" s="22">
        <f>'Rateio Custos Fixos'!M64</f>
        <v>1.4020209441545606</v>
      </c>
      <c r="Z65" s="22">
        <f>'Rateio Custos Fixos'!N64</f>
        <v>29.578811263343869</v>
      </c>
      <c r="AA65" s="22">
        <f>'Rateio Custos Fixos'!O64</f>
        <v>5.7459874760432816</v>
      </c>
      <c r="AB65" s="22">
        <f>'Rateio Custos Fixos'!P64</f>
        <v>1.1491974952086563</v>
      </c>
      <c r="AC65" s="22">
        <f>'Rateio Custos Fixos'!Q64</f>
        <v>1.2270747788006295</v>
      </c>
      <c r="AD65" s="22">
        <f>'Rateio Custos Fixos'!R64</f>
        <v>0.76613166347243755</v>
      </c>
      <c r="AE65" s="22">
        <f>'Rateio Custos Fixos'!S64</f>
        <v>17.237962428129844</v>
      </c>
      <c r="AF65" s="22">
        <f>'Rateio Custos Fixos'!T64</f>
        <v>31.807105206553448</v>
      </c>
      <c r="AG65" s="22">
        <f>'Rateio Custos Fixos'!U64</f>
        <v>4.9798558125708441</v>
      </c>
      <c r="AH65" s="22">
        <f t="shared" si="19"/>
        <v>112.20469382526882</v>
      </c>
      <c r="AI65" s="22">
        <f t="shared" si="20"/>
        <v>2363.5814225434492</v>
      </c>
      <c r="AJ65" s="22">
        <f t="shared" si="21"/>
        <v>236.35814225434493</v>
      </c>
    </row>
    <row r="66" spans="1:36" ht="14.4" x14ac:dyDescent="0.3">
      <c r="A66">
        <f>'Lista de Compra'!A64</f>
        <v>61</v>
      </c>
      <c r="B66" t="str">
        <f>'Lista de Compra'!B64</f>
        <v>FLANGE CEGO ASTM A105 GR WPB B16.5 300 LBS 1"</v>
      </c>
      <c r="C66">
        <f>'Lista de Compra'!C64</f>
        <v>72121000</v>
      </c>
      <c r="D66" s="98">
        <f>'Lista de Compra'!I64</f>
        <v>20</v>
      </c>
      <c r="E66" s="142">
        <f>'Lista de Compra'!L64</f>
        <v>6.1326785364710095E-4</v>
      </c>
      <c r="F66" s="139">
        <f>'Lista de Compra'!J64</f>
        <v>2.0299999999999998</v>
      </c>
      <c r="G66" s="139">
        <f t="shared" si="13"/>
        <v>40.599999999999994</v>
      </c>
      <c r="H66" s="22">
        <f t="shared" si="14"/>
        <v>208.68399999999997</v>
      </c>
      <c r="I66" s="143">
        <f>'Rateio Custos Fixos'!E65</f>
        <v>59.192613234018182</v>
      </c>
      <c r="J66" s="22">
        <f t="shared" si="15"/>
        <v>267.87661323401812</v>
      </c>
      <c r="K66" s="22">
        <f t="shared" si="16"/>
        <v>297.87879391622818</v>
      </c>
      <c r="L66" s="22">
        <f t="shared" si="17"/>
        <v>30.002180682210032</v>
      </c>
      <c r="M66" s="22">
        <f t="shared" ref="M66:P85" si="23">M$5*$K66</f>
        <v>9.6810608022774165</v>
      </c>
      <c r="N66" s="22">
        <f t="shared" si="23"/>
        <v>6.2554546722407922</v>
      </c>
      <c r="O66" s="22">
        <f t="shared" si="23"/>
        <v>28.745303612916018</v>
      </c>
      <c r="P66" s="22">
        <f t="shared" si="23"/>
        <v>17.872727634973689</v>
      </c>
      <c r="Q66" s="22">
        <f t="shared" si="18"/>
        <v>92.556727404617945</v>
      </c>
      <c r="R66" s="22">
        <f>'Rateio Custos Fixos'!F65</f>
        <v>0.21464374877648534</v>
      </c>
      <c r="S66" s="22">
        <f>'Rateio Custos Fixos'!G65</f>
        <v>0.67459463901181105</v>
      </c>
      <c r="T66" s="22">
        <f>'Rateio Custos Fixos'!H65</f>
        <v>0.91990178047065141</v>
      </c>
      <c r="U66" s="22">
        <f>'Rateio Custos Fixos'!I65</f>
        <v>6.1326785364710097E-2</v>
      </c>
      <c r="V66" s="22">
        <f>'Rateio Custos Fixos'!J65</f>
        <v>0.11038821365647818</v>
      </c>
      <c r="W66" s="22">
        <f>'Rateio Custos Fixos'!K65</f>
        <v>0.30050124828707947</v>
      </c>
      <c r="X66" s="22">
        <f>'Rateio Custos Fixos'!L65</f>
        <v>0.65006392486592701</v>
      </c>
      <c r="Y66" s="22">
        <f>'Rateio Custos Fixos'!M65</f>
        <v>0.22445603443483894</v>
      </c>
      <c r="Z66" s="22">
        <f>'Rateio Custos Fixos'!N65</f>
        <v>4.735409058721455</v>
      </c>
      <c r="AA66" s="22">
        <f>'Rateio Custos Fixos'!O65</f>
        <v>0.91990178047065141</v>
      </c>
      <c r="AB66" s="22">
        <f>'Rateio Custos Fixos'!P65</f>
        <v>0.18398035609413027</v>
      </c>
      <c r="AC66" s="22">
        <f>'Rateio Custos Fixos'!Q65</f>
        <v>0.19644809155877582</v>
      </c>
      <c r="AD66" s="22">
        <f>'Rateio Custos Fixos'!R65</f>
        <v>0.12265357072942019</v>
      </c>
      <c r="AE66" s="22">
        <f>'Rateio Custos Fixos'!S65</f>
        <v>2.7597053414119541</v>
      </c>
      <c r="AF66" s="22">
        <f>'Rateio Custos Fixos'!T65</f>
        <v>5.092146969187973</v>
      </c>
      <c r="AG66" s="22">
        <f>'Rateio Custos Fixos'!U65</f>
        <v>0.79724820974123123</v>
      </c>
      <c r="AH66" s="22">
        <f t="shared" si="19"/>
        <v>17.963369752783571</v>
      </c>
      <c r="AI66" s="22">
        <f t="shared" si="20"/>
        <v>378.39671039141967</v>
      </c>
      <c r="AJ66" s="22">
        <f t="shared" si="21"/>
        <v>18.919835519570984</v>
      </c>
    </row>
    <row r="67" spans="1:36" ht="14.4" x14ac:dyDescent="0.3">
      <c r="A67">
        <f>'Lista de Compra'!A65</f>
        <v>62</v>
      </c>
      <c r="B67" t="str">
        <f>'Lista de Compra'!B65</f>
        <v>FLANGE CEGO ASTM A105 GR WPB B16.5 300 LBS 2"</v>
      </c>
      <c r="C67">
        <f>'Lista de Compra'!C65</f>
        <v>72121000</v>
      </c>
      <c r="D67" s="98">
        <f>'Lista de Compra'!I65</f>
        <v>20</v>
      </c>
      <c r="E67" s="142">
        <f>'Lista de Compra'!L65</f>
        <v>9.1839126851585566E-4</v>
      </c>
      <c r="F67" s="139">
        <f>'Lista de Compra'!J65</f>
        <v>3.04</v>
      </c>
      <c r="G67" s="139">
        <f t="shared" si="13"/>
        <v>60.8</v>
      </c>
      <c r="H67" s="22">
        <f t="shared" si="14"/>
        <v>312.51199999999994</v>
      </c>
      <c r="I67" s="143">
        <f>'Rateio Custos Fixos'!E66</f>
        <v>88.643125237150386</v>
      </c>
      <c r="J67" s="22">
        <f t="shared" si="15"/>
        <v>401.15512523715034</v>
      </c>
      <c r="K67" s="22">
        <f t="shared" si="16"/>
        <v>446.08449926371117</v>
      </c>
      <c r="L67" s="22">
        <f t="shared" si="17"/>
        <v>44.929374026560836</v>
      </c>
      <c r="M67" s="22">
        <f t="shared" si="23"/>
        <v>14.497746226070614</v>
      </c>
      <c r="N67" s="22">
        <f t="shared" si="23"/>
        <v>9.3677744845379358</v>
      </c>
      <c r="O67" s="22">
        <f t="shared" si="23"/>
        <v>43.047154178948126</v>
      </c>
      <c r="P67" s="22">
        <f t="shared" si="23"/>
        <v>26.765069955822668</v>
      </c>
      <c r="Q67" s="22">
        <f t="shared" si="18"/>
        <v>138.60711887194017</v>
      </c>
      <c r="R67" s="22">
        <f>'Rateio Custos Fixos'!F66</f>
        <v>0.32143694398054951</v>
      </c>
      <c r="S67" s="22">
        <f>'Rateio Custos Fixos'!G66</f>
        <v>1.0102303953674412</v>
      </c>
      <c r="T67" s="22">
        <f>'Rateio Custos Fixos'!H66</f>
        <v>1.3775869027737835</v>
      </c>
      <c r="U67" s="22">
        <f>'Rateio Custos Fixos'!I66</f>
        <v>9.1839126851585573E-2</v>
      </c>
      <c r="V67" s="22">
        <f>'Rateio Custos Fixos'!J66</f>
        <v>0.16531042833285403</v>
      </c>
      <c r="W67" s="22">
        <f>'Rateio Custos Fixos'!K66</f>
        <v>0.45001172157276925</v>
      </c>
      <c r="X67" s="22">
        <f>'Rateio Custos Fixos'!L66</f>
        <v>0.97349474462680696</v>
      </c>
      <c r="Y67" s="22">
        <f>'Rateio Custos Fixos'!M66</f>
        <v>0.33613120427680315</v>
      </c>
      <c r="Z67" s="22">
        <f>'Rateio Custos Fixos'!N66</f>
        <v>7.0914500189720311</v>
      </c>
      <c r="AA67" s="22">
        <f>'Rateio Custos Fixos'!O66</f>
        <v>1.3775869027737835</v>
      </c>
      <c r="AB67" s="22">
        <f>'Rateio Custos Fixos'!P66</f>
        <v>0.27551738055475672</v>
      </c>
      <c r="AC67" s="22">
        <f>'Rateio Custos Fixos'!Q66</f>
        <v>0.29418827504368406</v>
      </c>
      <c r="AD67" s="22">
        <f>'Rateio Custos Fixos'!R66</f>
        <v>0.18367825370317115</v>
      </c>
      <c r="AE67" s="22">
        <f>'Rateio Custos Fixos'!S66</f>
        <v>4.1327607083213502</v>
      </c>
      <c r="AF67" s="22">
        <f>'Rateio Custos Fixos'!T66</f>
        <v>7.6256782198677033</v>
      </c>
      <c r="AG67" s="22">
        <f>'Rateio Custos Fixos'!U66</f>
        <v>1.1939086490706123</v>
      </c>
      <c r="AH67" s="22">
        <f t="shared" si="19"/>
        <v>26.900809876089685</v>
      </c>
      <c r="AI67" s="22">
        <f t="shared" si="20"/>
        <v>566.66305398518023</v>
      </c>
      <c r="AJ67" s="22">
        <f t="shared" si="21"/>
        <v>28.33315269925901</v>
      </c>
    </row>
    <row r="68" spans="1:36" ht="14.4" x14ac:dyDescent="0.3">
      <c r="A68">
        <f>'Lista de Compra'!A66</f>
        <v>63</v>
      </c>
      <c r="B68" t="str">
        <f>'Lista de Compra'!B66</f>
        <v>FLANGE 1" 150LBS PLAIN ASTM A105 GR WPB B16.5 RF</v>
      </c>
      <c r="C68">
        <f>'Lista de Compra'!C66</f>
        <v>72121000</v>
      </c>
      <c r="D68" s="98">
        <f>'Lista de Compra'!I66</f>
        <v>40</v>
      </c>
      <c r="E68" s="142">
        <f>'Lista de Compra'!L66</f>
        <v>5.9816273409914287E-4</v>
      </c>
      <c r="F68" s="139">
        <f>'Lista de Compra'!J66</f>
        <v>0.99</v>
      </c>
      <c r="G68" s="139">
        <f t="shared" si="13"/>
        <v>39.6</v>
      </c>
      <c r="H68" s="22">
        <f t="shared" si="14"/>
        <v>203.54399999999998</v>
      </c>
      <c r="I68" s="143">
        <f>'Rateio Custos Fixos'!E67</f>
        <v>57.734667095249272</v>
      </c>
      <c r="J68" s="22">
        <f t="shared" si="15"/>
        <v>261.27866709524926</v>
      </c>
      <c r="K68" s="22">
        <f t="shared" si="16"/>
        <v>290.5418778099172</v>
      </c>
      <c r="L68" s="22">
        <f t="shared" si="17"/>
        <v>29.263210714667917</v>
      </c>
      <c r="M68" s="22">
        <f t="shared" si="23"/>
        <v>9.4426110288223093</v>
      </c>
      <c r="N68" s="22">
        <f t="shared" si="23"/>
        <v>6.1013794340082619</v>
      </c>
      <c r="O68" s="22">
        <f t="shared" si="23"/>
        <v>28.03729120865701</v>
      </c>
      <c r="P68" s="22">
        <f t="shared" si="23"/>
        <v>17.432512668595031</v>
      </c>
      <c r="Q68" s="22">
        <f t="shared" si="18"/>
        <v>90.277005054750532</v>
      </c>
      <c r="R68" s="22">
        <f>'Rateio Custos Fixos'!F67</f>
        <v>0.20935695693469999</v>
      </c>
      <c r="S68" s="22">
        <f>'Rateio Custos Fixos'!G67</f>
        <v>0.65797900750905713</v>
      </c>
      <c r="T68" s="22">
        <f>'Rateio Custos Fixos'!H67</f>
        <v>0.89724410114871433</v>
      </c>
      <c r="U68" s="22">
        <f>'Rateio Custos Fixos'!I67</f>
        <v>5.9816273409914286E-2</v>
      </c>
      <c r="V68" s="22">
        <f>'Rateio Custos Fixos'!J67</f>
        <v>0.10766929213784572</v>
      </c>
      <c r="W68" s="22">
        <f>'Rateio Custos Fixos'!K67</f>
        <v>0.29309973970858</v>
      </c>
      <c r="X68" s="22">
        <f>'Rateio Custos Fixos'!L67</f>
        <v>0.63405249814509146</v>
      </c>
      <c r="Y68" s="22">
        <f>'Rateio Custos Fixos'!M67</f>
        <v>0.21892756068028629</v>
      </c>
      <c r="Z68" s="22">
        <f>'Rateio Custos Fixos'!N67</f>
        <v>4.6187733676199416</v>
      </c>
      <c r="AA68" s="22">
        <f>'Rateio Custos Fixos'!O67</f>
        <v>0.89724410114871433</v>
      </c>
      <c r="AB68" s="22">
        <f>'Rateio Custos Fixos'!P67</f>
        <v>0.17944882022974287</v>
      </c>
      <c r="AC68" s="22">
        <f>'Rateio Custos Fixos'!Q67</f>
        <v>0.19160946861397843</v>
      </c>
      <c r="AD68" s="22">
        <f>'Rateio Custos Fixos'!R67</f>
        <v>0.11963254681982857</v>
      </c>
      <c r="AE68" s="22">
        <f>'Rateio Custos Fixos'!S67</f>
        <v>2.6917323034461429</v>
      </c>
      <c r="AF68" s="22">
        <f>'Rateio Custos Fixos'!T67</f>
        <v>4.9667246300454124</v>
      </c>
      <c r="AG68" s="22">
        <f>'Rateio Custos Fixos'!U67</f>
        <v>0.77761155432888573</v>
      </c>
      <c r="AH68" s="22">
        <f t="shared" si="19"/>
        <v>17.520922221926835</v>
      </c>
      <c r="AI68" s="22">
        <f t="shared" si="20"/>
        <v>369.0765943719266</v>
      </c>
      <c r="AJ68" s="22">
        <f t="shared" si="21"/>
        <v>9.2269148592981658</v>
      </c>
    </row>
    <row r="69" spans="1:36" ht="14.4" x14ac:dyDescent="0.3">
      <c r="A69">
        <f>'Lista de Compra'!A67</f>
        <v>64</v>
      </c>
      <c r="B69" t="str">
        <f>'Lista de Compra'!B67</f>
        <v>FLANGE 1" 300LBS PLAIN ASTM A105 GR WPB B16.5 RF</v>
      </c>
      <c r="C69">
        <f>'Lista de Compra'!C67</f>
        <v>72121000</v>
      </c>
      <c r="D69" s="98">
        <f>'Lista de Compra'!I67</f>
        <v>40</v>
      </c>
      <c r="E69" s="142">
        <f>'Lista de Compra'!L67</f>
        <v>9.5464355543095538E-4</v>
      </c>
      <c r="F69" s="139">
        <f>'Lista de Compra'!J67</f>
        <v>1.58</v>
      </c>
      <c r="G69" s="139">
        <f t="shared" si="13"/>
        <v>63.2</v>
      </c>
      <c r="H69" s="22">
        <f t="shared" si="14"/>
        <v>324.84800000000001</v>
      </c>
      <c r="I69" s="143">
        <f>'Rateio Custos Fixos'!E68</f>
        <v>92.142195970195814</v>
      </c>
      <c r="J69" s="22">
        <f t="shared" si="15"/>
        <v>416.99019597019583</v>
      </c>
      <c r="K69" s="22">
        <f t="shared" si="16"/>
        <v>463.69309791885775</v>
      </c>
      <c r="L69" s="22">
        <f t="shared" si="17"/>
        <v>46.702901948661932</v>
      </c>
      <c r="M69" s="22">
        <f t="shared" si="23"/>
        <v>15.070025682362877</v>
      </c>
      <c r="N69" s="22">
        <f t="shared" si="23"/>
        <v>9.7375550562960136</v>
      </c>
      <c r="O69" s="22">
        <f t="shared" si="23"/>
        <v>44.746383949169775</v>
      </c>
      <c r="P69" s="22">
        <f t="shared" si="23"/>
        <v>27.821585875131465</v>
      </c>
      <c r="Q69" s="22">
        <f t="shared" si="18"/>
        <v>144.07845251162206</v>
      </c>
      <c r="R69" s="22">
        <f>'Rateio Custos Fixos'!F68</f>
        <v>0.33412524440083441</v>
      </c>
      <c r="S69" s="22">
        <f>'Rateio Custos Fixos'!G68</f>
        <v>1.050107910974051</v>
      </c>
      <c r="T69" s="22">
        <f>'Rateio Custos Fixos'!H68</f>
        <v>1.431965333146433</v>
      </c>
      <c r="U69" s="22">
        <f>'Rateio Custos Fixos'!I68</f>
        <v>9.5464355543095542E-2</v>
      </c>
      <c r="V69" s="22">
        <f>'Rateio Custos Fixos'!J68</f>
        <v>0.17183583997757196</v>
      </c>
      <c r="W69" s="22">
        <f>'Rateio Custos Fixos'!K68</f>
        <v>0.46777534216116812</v>
      </c>
      <c r="X69" s="22">
        <f>'Rateio Custos Fixos'!L68</f>
        <v>1.0119221687568127</v>
      </c>
      <c r="Y69" s="22">
        <f>'Rateio Custos Fixos'!M68</f>
        <v>0.34939954128772965</v>
      </c>
      <c r="Z69" s="22">
        <f>'Rateio Custos Fixos'!N68</f>
        <v>7.3713756776156654</v>
      </c>
      <c r="AA69" s="22">
        <f>'Rateio Custos Fixos'!O68</f>
        <v>1.431965333146433</v>
      </c>
      <c r="AB69" s="22">
        <f>'Rateio Custos Fixos'!P68</f>
        <v>0.2863930666292866</v>
      </c>
      <c r="AC69" s="22">
        <f>'Rateio Custos Fixos'!Q68</f>
        <v>0.30580097011119795</v>
      </c>
      <c r="AD69" s="22">
        <f>'Rateio Custos Fixos'!R68</f>
        <v>0.19092871108619108</v>
      </c>
      <c r="AE69" s="22">
        <f>'Rateio Custos Fixos'!S68</f>
        <v>4.2958959994392991</v>
      </c>
      <c r="AF69" s="22">
        <f>'Rateio Custos Fixos'!T68</f>
        <v>7.9266918338098513</v>
      </c>
      <c r="AG69" s="22">
        <f>'Rateio Custos Fixos'!U68</f>
        <v>1.241036622060242</v>
      </c>
      <c r="AH69" s="22">
        <f t="shared" si="19"/>
        <v>27.962683950145863</v>
      </c>
      <c r="AI69" s="22">
        <f t="shared" si="20"/>
        <v>589.03133243196385</v>
      </c>
      <c r="AJ69" s="22">
        <f t="shared" si="21"/>
        <v>14.725783310799097</v>
      </c>
    </row>
    <row r="70" spans="1:36" ht="14.4" x14ac:dyDescent="0.3">
      <c r="A70">
        <f>'Lista de Compra'!A68</f>
        <v>65</v>
      </c>
      <c r="B70" t="str">
        <f>'Lista de Compra'!B68</f>
        <v>FLANGE 1.1/2" 150LBS PLAIN ASTM A105 GR WPB B16.5 RF</v>
      </c>
      <c r="C70">
        <f>'Lista de Compra'!C68</f>
        <v>72121000</v>
      </c>
      <c r="D70" s="98">
        <f>'Lista de Compra'!I68</f>
        <v>100</v>
      </c>
      <c r="E70" s="142">
        <f>'Lista de Compra'!L68</f>
        <v>2.2355576930978066E-3</v>
      </c>
      <c r="F70" s="139">
        <f>'Lista de Compra'!J68</f>
        <v>1.48</v>
      </c>
      <c r="G70" s="139">
        <f t="shared" ref="G70:G101" si="24">D70*F70</f>
        <v>148</v>
      </c>
      <c r="H70" s="22">
        <f t="shared" ref="H70:H101" si="25">G70*$H$4</f>
        <v>760.71999999999991</v>
      </c>
      <c r="I70" s="143">
        <f>'Rateio Custos Fixos'!E69</f>
        <v>215.7760285378003</v>
      </c>
      <c r="J70" s="22">
        <f t="shared" ref="J70:J101" si="26">SUM(H70:I70)</f>
        <v>976.49602853780016</v>
      </c>
      <c r="K70" s="22">
        <f t="shared" ref="K70:K101" si="27">J70+L70</f>
        <v>1085.8635837340337</v>
      </c>
      <c r="L70" s="22">
        <f t="shared" ref="L70:L101" si="28">L$5*$J70</f>
        <v>109.36755519623362</v>
      </c>
      <c r="M70" s="22">
        <f t="shared" si="23"/>
        <v>35.290566471356094</v>
      </c>
      <c r="N70" s="22">
        <f t="shared" si="23"/>
        <v>22.803135258414709</v>
      </c>
      <c r="O70" s="22">
        <f t="shared" si="23"/>
        <v>104.78583583033425</v>
      </c>
      <c r="P70" s="22">
        <f t="shared" si="23"/>
        <v>65.151815024042023</v>
      </c>
      <c r="Q70" s="22">
        <f t="shared" ref="Q70:Q101" si="29">SUM(L70:P70)</f>
        <v>337.39890778038068</v>
      </c>
      <c r="R70" s="22">
        <f>'Rateio Custos Fixos'!F69</f>
        <v>0.78244519258423229</v>
      </c>
      <c r="S70" s="22">
        <f>'Rateio Custos Fixos'!G69</f>
        <v>2.4591134624075872</v>
      </c>
      <c r="T70" s="22">
        <f>'Rateio Custos Fixos'!H69</f>
        <v>3.3533365396467101</v>
      </c>
      <c r="U70" s="22">
        <f>'Rateio Custos Fixos'!I69</f>
        <v>0.22355576930978066</v>
      </c>
      <c r="V70" s="22">
        <f>'Rateio Custos Fixos'!J69</f>
        <v>0.4024003847576052</v>
      </c>
      <c r="W70" s="22">
        <f>'Rateio Custos Fixos'!K69</f>
        <v>1.0954232696179251</v>
      </c>
      <c r="X70" s="22">
        <f>'Rateio Custos Fixos'!L69</f>
        <v>2.3696911546836747</v>
      </c>
      <c r="Y70" s="22">
        <f>'Rateio Custos Fixos'!M69</f>
        <v>0.8182141156737972</v>
      </c>
      <c r="Z70" s="22">
        <f>'Rateio Custos Fixos'!N69</f>
        <v>17.262082283024025</v>
      </c>
      <c r="AA70" s="22">
        <f>'Rateio Custos Fixos'!O69</f>
        <v>3.3533365396467101</v>
      </c>
      <c r="AB70" s="22">
        <f>'Rateio Custos Fixos'!P69</f>
        <v>0.67066730792934193</v>
      </c>
      <c r="AC70" s="22">
        <f>'Rateio Custos Fixos'!Q69</f>
        <v>0.7161161958300204</v>
      </c>
      <c r="AD70" s="22">
        <f>'Rateio Custos Fixos'!R69</f>
        <v>0.44711153861956132</v>
      </c>
      <c r="AE70" s="22">
        <f>'Rateio Custos Fixos'!S69</f>
        <v>10.06000961894013</v>
      </c>
      <c r="AF70" s="22">
        <f>'Rateio Custos Fixos'!T69</f>
        <v>18.562506193099015</v>
      </c>
      <c r="AG70" s="22">
        <f>'Rateio Custos Fixos'!U69</f>
        <v>2.9062250010271486</v>
      </c>
      <c r="AH70" s="22">
        <f t="shared" ref="AH70:AH101" si="30">SUM(R70:AG70)</f>
        <v>65.48223456679726</v>
      </c>
      <c r="AI70" s="22">
        <f t="shared" ref="AI70:AI101" si="31">J70+Q70+AH70</f>
        <v>1379.3771708849781</v>
      </c>
      <c r="AJ70" s="22">
        <f t="shared" ref="AJ70:AJ101" si="32">AI70/D70</f>
        <v>13.793771708849782</v>
      </c>
    </row>
    <row r="71" spans="1:36" ht="14.4" x14ac:dyDescent="0.3">
      <c r="A71">
        <f>'Lista de Compra'!A69</f>
        <v>66</v>
      </c>
      <c r="B71" t="str">
        <f>'Lista de Compra'!B69</f>
        <v>FLANGE 1.1/2" 300LBS PLAIN ASTM A105 GR WPB B16.5 RF</v>
      </c>
      <c r="C71">
        <f>'Lista de Compra'!C69</f>
        <v>72121000</v>
      </c>
      <c r="D71" s="98">
        <f>'Lista de Compra'!I69</f>
        <v>30</v>
      </c>
      <c r="E71" s="142">
        <f>'Lista de Compra'!L69</f>
        <v>1.250703898570935E-3</v>
      </c>
      <c r="F71" s="139">
        <f>'Lista de Compra'!J69</f>
        <v>2.76</v>
      </c>
      <c r="G71" s="139">
        <f t="shared" si="24"/>
        <v>82.8</v>
      </c>
      <c r="H71" s="22">
        <f t="shared" si="25"/>
        <v>425.59199999999998</v>
      </c>
      <c r="I71" s="143">
        <f>'Rateio Custos Fixos'!E70</f>
        <v>120.71794029006665</v>
      </c>
      <c r="J71" s="22">
        <f t="shared" si="26"/>
        <v>546.30994029006661</v>
      </c>
      <c r="K71" s="22">
        <f t="shared" si="27"/>
        <v>607.49665360255403</v>
      </c>
      <c r="L71" s="22">
        <f t="shared" si="28"/>
        <v>61.186713312487463</v>
      </c>
      <c r="M71" s="22">
        <f t="shared" si="23"/>
        <v>19.743641242083008</v>
      </c>
      <c r="N71" s="22">
        <f t="shared" si="23"/>
        <v>12.757429725653635</v>
      </c>
      <c r="O71" s="22">
        <f t="shared" si="23"/>
        <v>58.623427072646464</v>
      </c>
      <c r="P71" s="22">
        <f t="shared" si="23"/>
        <v>36.449799216153238</v>
      </c>
      <c r="Q71" s="22">
        <f t="shared" si="29"/>
        <v>188.76101056902382</v>
      </c>
      <c r="R71" s="22">
        <f>'Rateio Custos Fixos'!F70</f>
        <v>0.43774636449982729</v>
      </c>
      <c r="S71" s="22">
        <f>'Rateio Custos Fixos'!G70</f>
        <v>1.3757742884280286</v>
      </c>
      <c r="T71" s="22">
        <f>'Rateio Custos Fixos'!H70</f>
        <v>1.8760558478564024</v>
      </c>
      <c r="U71" s="22">
        <f>'Rateio Custos Fixos'!I70</f>
        <v>0.12507038985709351</v>
      </c>
      <c r="V71" s="22">
        <f>'Rateio Custos Fixos'!J70</f>
        <v>0.2251267017427683</v>
      </c>
      <c r="W71" s="22">
        <f>'Rateio Custos Fixos'!K70</f>
        <v>0.61284491029975818</v>
      </c>
      <c r="X71" s="22">
        <f>'Rateio Custos Fixos'!L70</f>
        <v>1.3257461324851911</v>
      </c>
      <c r="Y71" s="22">
        <f>'Rateio Custos Fixos'!M70</f>
        <v>0.4577576268769622</v>
      </c>
      <c r="Z71" s="22">
        <f>'Rateio Custos Fixos'!N70</f>
        <v>9.6574352232053329</v>
      </c>
      <c r="AA71" s="22">
        <f>'Rateio Custos Fixos'!O70</f>
        <v>1.8760558478564024</v>
      </c>
      <c r="AB71" s="22">
        <f>'Rateio Custos Fixos'!P70</f>
        <v>0.37521116957128053</v>
      </c>
      <c r="AC71" s="22">
        <f>'Rateio Custos Fixos'!Q70</f>
        <v>0.40063797982922761</v>
      </c>
      <c r="AD71" s="22">
        <f>'Rateio Custos Fixos'!R70</f>
        <v>0.25014077971418702</v>
      </c>
      <c r="AE71" s="22">
        <f>'Rateio Custos Fixos'!S70</f>
        <v>5.6281675435692078</v>
      </c>
      <c r="AF71" s="22">
        <f>'Rateio Custos Fixos'!T70</f>
        <v>10.384969681004044</v>
      </c>
      <c r="AG71" s="22">
        <f>'Rateio Custos Fixos'!U70</f>
        <v>1.6259150681422156</v>
      </c>
      <c r="AH71" s="22">
        <f t="shared" si="30"/>
        <v>36.634655554937929</v>
      </c>
      <c r="AI71" s="22">
        <f t="shared" si="31"/>
        <v>771.70560641402835</v>
      </c>
      <c r="AJ71" s="22">
        <f t="shared" si="32"/>
        <v>25.723520213800946</v>
      </c>
    </row>
    <row r="72" spans="1:36" ht="14.4" x14ac:dyDescent="0.3">
      <c r="A72">
        <f>'Lista de Compra'!A70</f>
        <v>67</v>
      </c>
      <c r="B72" t="str">
        <f>'Lista de Compra'!B70</f>
        <v>FLANGE 1.1/4" 150LBS PLAIN ASTM A105 GR WPB B16.5 RF</v>
      </c>
      <c r="C72">
        <f>'Lista de Compra'!C70</f>
        <v>72121000</v>
      </c>
      <c r="D72" s="98">
        <f>'Lista de Compra'!I70</f>
        <v>30</v>
      </c>
      <c r="E72" s="142">
        <f>'Lista de Compra'!L70</f>
        <v>6.2535194928546752E-4</v>
      </c>
      <c r="F72" s="139">
        <f>'Lista de Compra'!J70</f>
        <v>1.38</v>
      </c>
      <c r="G72" s="139">
        <f t="shared" si="24"/>
        <v>41.4</v>
      </c>
      <c r="H72" s="22">
        <f t="shared" si="25"/>
        <v>212.79599999999999</v>
      </c>
      <c r="I72" s="143">
        <f>'Rateio Custos Fixos'!E71</f>
        <v>60.358970145033325</v>
      </c>
      <c r="J72" s="22">
        <f t="shared" si="26"/>
        <v>273.1549701450333</v>
      </c>
      <c r="K72" s="22">
        <f t="shared" si="27"/>
        <v>303.74832680127702</v>
      </c>
      <c r="L72" s="22">
        <f t="shared" si="28"/>
        <v>30.593356656243731</v>
      </c>
      <c r="M72" s="22">
        <f t="shared" si="23"/>
        <v>9.871820621041504</v>
      </c>
      <c r="N72" s="22">
        <f t="shared" si="23"/>
        <v>6.3787148628268175</v>
      </c>
      <c r="O72" s="22">
        <f t="shared" si="23"/>
        <v>29.311713536323232</v>
      </c>
      <c r="P72" s="22">
        <f t="shared" si="23"/>
        <v>18.224899608076619</v>
      </c>
      <c r="Q72" s="22">
        <f t="shared" si="29"/>
        <v>94.380505284511912</v>
      </c>
      <c r="R72" s="22">
        <f>'Rateio Custos Fixos'!F71</f>
        <v>0.21887318224991364</v>
      </c>
      <c r="S72" s="22">
        <f>'Rateio Custos Fixos'!G71</f>
        <v>0.68788714421401431</v>
      </c>
      <c r="T72" s="22">
        <f>'Rateio Custos Fixos'!H71</f>
        <v>0.93802792392820122</v>
      </c>
      <c r="U72" s="22">
        <f>'Rateio Custos Fixos'!I71</f>
        <v>6.2535194928546756E-2</v>
      </c>
      <c r="V72" s="22">
        <f>'Rateio Custos Fixos'!J71</f>
        <v>0.11256335087138415</v>
      </c>
      <c r="W72" s="22">
        <f>'Rateio Custos Fixos'!K71</f>
        <v>0.30642245514987909</v>
      </c>
      <c r="X72" s="22">
        <f>'Rateio Custos Fixos'!L71</f>
        <v>0.66287306624259557</v>
      </c>
      <c r="Y72" s="22">
        <f>'Rateio Custos Fixos'!M71</f>
        <v>0.2288788134384811</v>
      </c>
      <c r="Z72" s="22">
        <f>'Rateio Custos Fixos'!N71</f>
        <v>4.8287176116026664</v>
      </c>
      <c r="AA72" s="22">
        <f>'Rateio Custos Fixos'!O71</f>
        <v>0.93802792392820122</v>
      </c>
      <c r="AB72" s="22">
        <f>'Rateio Custos Fixos'!P71</f>
        <v>0.18760558478564027</v>
      </c>
      <c r="AC72" s="22">
        <f>'Rateio Custos Fixos'!Q71</f>
        <v>0.2003189899146138</v>
      </c>
      <c r="AD72" s="22">
        <f>'Rateio Custos Fixos'!R71</f>
        <v>0.12507038985709351</v>
      </c>
      <c r="AE72" s="22">
        <f>'Rateio Custos Fixos'!S71</f>
        <v>2.8140837717846039</v>
      </c>
      <c r="AF72" s="22">
        <f>'Rateio Custos Fixos'!T71</f>
        <v>5.1924848405020221</v>
      </c>
      <c r="AG72" s="22">
        <f>'Rateio Custos Fixos'!U71</f>
        <v>0.81295753407110782</v>
      </c>
      <c r="AH72" s="22">
        <f t="shared" si="30"/>
        <v>18.317327777468964</v>
      </c>
      <c r="AI72" s="22">
        <f t="shared" si="31"/>
        <v>385.85280320701418</v>
      </c>
      <c r="AJ72" s="22">
        <f t="shared" si="32"/>
        <v>12.861760106900473</v>
      </c>
    </row>
    <row r="73" spans="1:36" ht="14.4" x14ac:dyDescent="0.3">
      <c r="A73">
        <f>'Lista de Compra'!A71</f>
        <v>68</v>
      </c>
      <c r="B73" t="str">
        <f>'Lista de Compra'!B71</f>
        <v>FLANGE 2" 150LBS PLAIN ASTM A105 GR WPB B16.5 RF</v>
      </c>
      <c r="C73">
        <f>'Lista de Compra'!C71</f>
        <v>72121000</v>
      </c>
      <c r="D73" s="98">
        <f>'Lista de Compra'!I71</f>
        <v>250</v>
      </c>
      <c r="E73" s="142">
        <f>'Lista de Compra'!L71</f>
        <v>7.4392713773693908E-3</v>
      </c>
      <c r="F73" s="139">
        <f>'Lista de Compra'!J71</f>
        <v>1.97</v>
      </c>
      <c r="G73" s="139">
        <f t="shared" si="24"/>
        <v>492.5</v>
      </c>
      <c r="H73" s="22">
        <f t="shared" si="25"/>
        <v>2531.4499999999998</v>
      </c>
      <c r="I73" s="143">
        <f>'Rateio Custos Fixos'!E72</f>
        <v>718.03847334369357</v>
      </c>
      <c r="J73" s="22">
        <f t="shared" si="26"/>
        <v>3249.4884733436934</v>
      </c>
      <c r="K73" s="22">
        <f t="shared" si="27"/>
        <v>3613.431182358187</v>
      </c>
      <c r="L73" s="22">
        <f t="shared" si="28"/>
        <v>363.94270901449369</v>
      </c>
      <c r="M73" s="22">
        <f t="shared" si="23"/>
        <v>117.43651342664108</v>
      </c>
      <c r="N73" s="22">
        <f t="shared" si="23"/>
        <v>75.882054829521934</v>
      </c>
      <c r="O73" s="22">
        <f t="shared" si="23"/>
        <v>348.69610909756506</v>
      </c>
      <c r="P73" s="22">
        <f t="shared" si="23"/>
        <v>216.80587094149121</v>
      </c>
      <c r="Q73" s="22">
        <f t="shared" si="29"/>
        <v>1122.763257309713</v>
      </c>
      <c r="R73" s="22">
        <f>'Rateio Custos Fixos'!F72</f>
        <v>2.6037449820792866</v>
      </c>
      <c r="S73" s="22">
        <f>'Rateio Custos Fixos'!G72</f>
        <v>8.18319851510633</v>
      </c>
      <c r="T73" s="22">
        <f>'Rateio Custos Fixos'!H72</f>
        <v>11.158907066054086</v>
      </c>
      <c r="U73" s="22">
        <f>'Rateio Custos Fixos'!I72</f>
        <v>0.74392713773693908</v>
      </c>
      <c r="V73" s="22">
        <f>'Rateio Custos Fixos'!J72</f>
        <v>1.3390688479264903</v>
      </c>
      <c r="W73" s="22">
        <f>'Rateio Custos Fixos'!K72</f>
        <v>3.6452429749110014</v>
      </c>
      <c r="X73" s="22">
        <f>'Rateio Custos Fixos'!L72</f>
        <v>7.8856276600115542</v>
      </c>
      <c r="Y73" s="22">
        <f>'Rateio Custos Fixos'!M72</f>
        <v>2.7227733241171972</v>
      </c>
      <c r="Z73" s="22">
        <f>'Rateio Custos Fixos'!N72</f>
        <v>57.443077867495489</v>
      </c>
      <c r="AA73" s="22">
        <f>'Rateio Custos Fixos'!O72</f>
        <v>11.158907066054086</v>
      </c>
      <c r="AB73" s="22">
        <f>'Rateio Custos Fixos'!P72</f>
        <v>2.2317814132108174</v>
      </c>
      <c r="AC73" s="22">
        <f>'Rateio Custos Fixos'!Q72</f>
        <v>2.3830218003127368</v>
      </c>
      <c r="AD73" s="22">
        <f>'Rateio Custos Fixos'!R72</f>
        <v>1.4878542754738782</v>
      </c>
      <c r="AE73" s="22">
        <f>'Rateio Custos Fixos'!S72</f>
        <v>33.476721198162259</v>
      </c>
      <c r="AF73" s="22">
        <f>'Rateio Custos Fixos'!T72</f>
        <v>61.77050202771126</v>
      </c>
      <c r="AG73" s="22">
        <f>'Rateio Custos Fixos'!U72</f>
        <v>9.6710527905802088</v>
      </c>
      <c r="AH73" s="22">
        <f t="shared" si="30"/>
        <v>217.9054089469436</v>
      </c>
      <c r="AI73" s="22">
        <f t="shared" si="31"/>
        <v>4590.1571396003501</v>
      </c>
      <c r="AJ73" s="22">
        <f t="shared" si="32"/>
        <v>18.360628558401402</v>
      </c>
    </row>
    <row r="74" spans="1:36" ht="14.4" x14ac:dyDescent="0.3">
      <c r="A74">
        <f>'Lista de Compra'!A72</f>
        <v>69</v>
      </c>
      <c r="B74" t="str">
        <f>'Lista de Compra'!B72</f>
        <v>FLANGE 2" 300LBS PLAIN ASTM A105 GR WPB B16.5 RF</v>
      </c>
      <c r="C74">
        <f>'Lista de Compra'!C72</f>
        <v>72121000</v>
      </c>
      <c r="D74" s="98">
        <f>'Lista de Compra'!I72</f>
        <v>80</v>
      </c>
      <c r="E74" s="142">
        <f>'Lista de Compra'!L72</f>
        <v>3.8064901260854546E-3</v>
      </c>
      <c r="F74" s="139">
        <f>'Lista de Compra'!J72</f>
        <v>3.15</v>
      </c>
      <c r="G74" s="139">
        <f t="shared" si="24"/>
        <v>252</v>
      </c>
      <c r="H74" s="22">
        <f t="shared" si="25"/>
        <v>1295.28</v>
      </c>
      <c r="I74" s="143">
        <f>'Rateio Custos Fixos'!E73</f>
        <v>367.4024269697681</v>
      </c>
      <c r="J74" s="22">
        <f t="shared" si="26"/>
        <v>1662.6824269697681</v>
      </c>
      <c r="K74" s="22">
        <f t="shared" si="27"/>
        <v>1848.9028587903822</v>
      </c>
      <c r="L74" s="22">
        <f t="shared" si="28"/>
        <v>186.22043182061404</v>
      </c>
      <c r="M74" s="22">
        <f t="shared" si="23"/>
        <v>60.089342910687421</v>
      </c>
      <c r="N74" s="22">
        <f t="shared" si="23"/>
        <v>38.826960034598031</v>
      </c>
      <c r="O74" s="22">
        <f t="shared" si="23"/>
        <v>178.41912587327189</v>
      </c>
      <c r="P74" s="22">
        <f t="shared" si="23"/>
        <v>110.93417152742293</v>
      </c>
      <c r="Q74" s="22">
        <f t="shared" si="29"/>
        <v>574.49003216659423</v>
      </c>
      <c r="R74" s="22">
        <f>'Rateio Custos Fixos'!F73</f>
        <v>1.3322715441299091</v>
      </c>
      <c r="S74" s="22">
        <f>'Rateio Custos Fixos'!G73</f>
        <v>4.1871391386940005</v>
      </c>
      <c r="T74" s="22">
        <f>'Rateio Custos Fixos'!H73</f>
        <v>5.7097351891281818</v>
      </c>
      <c r="U74" s="22">
        <f>'Rateio Custos Fixos'!I73</f>
        <v>0.38064901260854545</v>
      </c>
      <c r="V74" s="22">
        <f>'Rateio Custos Fixos'!J73</f>
        <v>0.6851682226953818</v>
      </c>
      <c r="W74" s="22">
        <f>'Rateio Custos Fixos'!K73</f>
        <v>1.8651801617818728</v>
      </c>
      <c r="X74" s="22">
        <f>'Rateio Custos Fixos'!L73</f>
        <v>4.0348795336505816</v>
      </c>
      <c r="Y74" s="22">
        <f>'Rateio Custos Fixos'!M73</f>
        <v>1.3931753861472764</v>
      </c>
      <c r="Z74" s="22">
        <f>'Rateio Custos Fixos'!N73</f>
        <v>29.39219415758145</v>
      </c>
      <c r="AA74" s="22">
        <f>'Rateio Custos Fixos'!O73</f>
        <v>5.7097351891281818</v>
      </c>
      <c r="AB74" s="22">
        <f>'Rateio Custos Fixos'!P73</f>
        <v>1.1419470378256364</v>
      </c>
      <c r="AC74" s="22">
        <f>'Rateio Custos Fixos'!Q73</f>
        <v>1.2193329820889536</v>
      </c>
      <c r="AD74" s="22">
        <f>'Rateio Custos Fixos'!R73</f>
        <v>0.76129802521709089</v>
      </c>
      <c r="AE74" s="22">
        <f>'Rateio Custos Fixos'!S73</f>
        <v>17.129205567384545</v>
      </c>
      <c r="AF74" s="22">
        <f>'Rateio Custos Fixos'!T73</f>
        <v>31.606429463925352</v>
      </c>
      <c r="AG74" s="22">
        <f>'Rateio Custos Fixos'!U73</f>
        <v>4.9484371639110911</v>
      </c>
      <c r="AH74" s="22">
        <f t="shared" si="30"/>
        <v>111.49677777589807</v>
      </c>
      <c r="AI74" s="22">
        <f t="shared" si="31"/>
        <v>2348.6692369122602</v>
      </c>
      <c r="AJ74" s="22">
        <f t="shared" si="32"/>
        <v>29.358365461403253</v>
      </c>
    </row>
    <row r="75" spans="1:36" ht="14.4" x14ac:dyDescent="0.3">
      <c r="A75">
        <f>'Lista de Compra'!A73</f>
        <v>70</v>
      </c>
      <c r="B75" t="str">
        <f>'Lista de Compra'!B73</f>
        <v>FLANGE 2.1/2" 150LBS PLAIN ASTM A105 GR WPB B16.5 RF</v>
      </c>
      <c r="C75">
        <f>'Lista de Compra'!C73</f>
        <v>72121000</v>
      </c>
      <c r="D75" s="98">
        <f>'Lista de Compra'!I73</f>
        <v>50</v>
      </c>
      <c r="E75" s="142">
        <f>'Lista de Compra'!L73</f>
        <v>2.379056328803409E-3</v>
      </c>
      <c r="F75" s="139">
        <f>'Lista de Compra'!J73</f>
        <v>3.15</v>
      </c>
      <c r="G75" s="139">
        <f t="shared" si="24"/>
        <v>157.5</v>
      </c>
      <c r="H75" s="22">
        <f t="shared" si="25"/>
        <v>809.55</v>
      </c>
      <c r="I75" s="143">
        <f>'Rateio Custos Fixos'!E74</f>
        <v>229.62651685610504</v>
      </c>
      <c r="J75" s="22">
        <f t="shared" si="26"/>
        <v>1039.1765168561051</v>
      </c>
      <c r="K75" s="22">
        <f t="shared" si="27"/>
        <v>1155.5642867439888</v>
      </c>
      <c r="L75" s="22">
        <f t="shared" si="28"/>
        <v>116.38776988788378</v>
      </c>
      <c r="M75" s="22">
        <f t="shared" si="23"/>
        <v>37.555839319179633</v>
      </c>
      <c r="N75" s="22">
        <f t="shared" si="23"/>
        <v>24.266850021623764</v>
      </c>
      <c r="O75" s="22">
        <f t="shared" si="23"/>
        <v>111.51195367079492</v>
      </c>
      <c r="P75" s="22">
        <f t="shared" si="23"/>
        <v>69.33385720463933</v>
      </c>
      <c r="Q75" s="22">
        <f t="shared" si="29"/>
        <v>359.05627010412144</v>
      </c>
      <c r="R75" s="22">
        <f>'Rateio Custos Fixos'!F74</f>
        <v>0.83266971508119314</v>
      </c>
      <c r="S75" s="22">
        <f>'Rateio Custos Fixos'!G74</f>
        <v>2.6169619616837498</v>
      </c>
      <c r="T75" s="22">
        <f>'Rateio Custos Fixos'!H74</f>
        <v>3.5685844932051136</v>
      </c>
      <c r="U75" s="22">
        <f>'Rateio Custos Fixos'!I74</f>
        <v>0.23790563288034089</v>
      </c>
      <c r="V75" s="22">
        <f>'Rateio Custos Fixos'!J74</f>
        <v>0.42823013918461361</v>
      </c>
      <c r="W75" s="22">
        <f>'Rateio Custos Fixos'!K74</f>
        <v>1.1657376011136704</v>
      </c>
      <c r="X75" s="22">
        <f>'Rateio Custos Fixos'!L74</f>
        <v>2.5217997085316135</v>
      </c>
      <c r="Y75" s="22">
        <f>'Rateio Custos Fixos'!M74</f>
        <v>0.87073461634204774</v>
      </c>
      <c r="Z75" s="22">
        <f>'Rateio Custos Fixos'!N74</f>
        <v>18.370121348488404</v>
      </c>
      <c r="AA75" s="22">
        <f>'Rateio Custos Fixos'!O74</f>
        <v>3.5685844932051136</v>
      </c>
      <c r="AB75" s="22">
        <f>'Rateio Custos Fixos'!P74</f>
        <v>0.71371689864102272</v>
      </c>
      <c r="AC75" s="22">
        <f>'Rateio Custos Fixos'!Q74</f>
        <v>0.76208311380559601</v>
      </c>
      <c r="AD75" s="22">
        <f>'Rateio Custos Fixos'!R74</f>
        <v>0.47581126576068178</v>
      </c>
      <c r="AE75" s="22">
        <f>'Rateio Custos Fixos'!S74</f>
        <v>10.705753479615341</v>
      </c>
      <c r="AF75" s="22">
        <f>'Rateio Custos Fixos'!T74</f>
        <v>19.754018414953343</v>
      </c>
      <c r="AG75" s="22">
        <f>'Rateio Custos Fixos'!U74</f>
        <v>3.0927732274444319</v>
      </c>
      <c r="AH75" s="22">
        <f t="shared" si="30"/>
        <v>69.685486109936264</v>
      </c>
      <c r="AI75" s="22">
        <f t="shared" si="31"/>
        <v>1467.9182730701627</v>
      </c>
      <c r="AJ75" s="22">
        <f t="shared" si="32"/>
        <v>29.358365461403256</v>
      </c>
    </row>
    <row r="76" spans="1:36" ht="14.4" x14ac:dyDescent="0.3">
      <c r="A76">
        <f>'Lista de Compra'!A74</f>
        <v>71</v>
      </c>
      <c r="B76" t="str">
        <f>'Lista de Compra'!B74</f>
        <v>FLANGE 2.1/2" 300LBS PLAIN ASTM A105 GR WPB B16.5 RF</v>
      </c>
      <c r="C76">
        <f>'Lista de Compra'!C74</f>
        <v>72121000</v>
      </c>
      <c r="D76" s="98">
        <f>'Lista de Compra'!I74</f>
        <v>30</v>
      </c>
      <c r="E76" s="142">
        <f>'Lista de Compra'!L74</f>
        <v>1.8760558478564024E-3</v>
      </c>
      <c r="F76" s="139">
        <f>'Lista de Compra'!J74</f>
        <v>4.1399999999999997</v>
      </c>
      <c r="G76" s="139">
        <f t="shared" si="24"/>
        <v>124.19999999999999</v>
      </c>
      <c r="H76" s="22">
        <f t="shared" si="25"/>
        <v>638.38799999999992</v>
      </c>
      <c r="I76" s="143">
        <f>'Rateio Custos Fixos'!E75</f>
        <v>181.07691043509996</v>
      </c>
      <c r="J76" s="22">
        <f t="shared" si="26"/>
        <v>819.46491043509991</v>
      </c>
      <c r="K76" s="22">
        <f t="shared" si="27"/>
        <v>911.24498040383105</v>
      </c>
      <c r="L76" s="22">
        <f t="shared" si="28"/>
        <v>91.780069968731198</v>
      </c>
      <c r="M76" s="22">
        <f t="shared" si="23"/>
        <v>29.615461863124509</v>
      </c>
      <c r="N76" s="22">
        <f t="shared" si="23"/>
        <v>19.136144588480452</v>
      </c>
      <c r="O76" s="22">
        <f t="shared" si="23"/>
        <v>87.935140608969704</v>
      </c>
      <c r="P76" s="22">
        <f t="shared" si="23"/>
        <v>54.674698824229864</v>
      </c>
      <c r="Q76" s="22">
        <f t="shared" si="29"/>
        <v>283.14151585353574</v>
      </c>
      <c r="R76" s="22">
        <f>'Rateio Custos Fixos'!F75</f>
        <v>0.65661954674974088</v>
      </c>
      <c r="S76" s="22">
        <f>'Rateio Custos Fixos'!G75</f>
        <v>2.0636614326420428</v>
      </c>
      <c r="T76" s="22">
        <f>'Rateio Custos Fixos'!H75</f>
        <v>2.8140837717846034</v>
      </c>
      <c r="U76" s="22">
        <f>'Rateio Custos Fixos'!I75</f>
        <v>0.18760558478564024</v>
      </c>
      <c r="V76" s="22">
        <f>'Rateio Custos Fixos'!J75</f>
        <v>0.33769005261415241</v>
      </c>
      <c r="W76" s="22">
        <f>'Rateio Custos Fixos'!K75</f>
        <v>0.91926736544963716</v>
      </c>
      <c r="X76" s="22">
        <f>'Rateio Custos Fixos'!L75</f>
        <v>1.9886191987277866</v>
      </c>
      <c r="Y76" s="22">
        <f>'Rateio Custos Fixos'!M75</f>
        <v>0.68663644031544324</v>
      </c>
      <c r="Z76" s="22">
        <f>'Rateio Custos Fixos'!N75</f>
        <v>14.486152834807998</v>
      </c>
      <c r="AA76" s="22">
        <f>'Rateio Custos Fixos'!O75</f>
        <v>2.8140837717846034</v>
      </c>
      <c r="AB76" s="22">
        <f>'Rateio Custos Fixos'!P75</f>
        <v>0.56281675435692069</v>
      </c>
      <c r="AC76" s="22">
        <f>'Rateio Custos Fixos'!Q75</f>
        <v>0.60095696974384138</v>
      </c>
      <c r="AD76" s="22">
        <f>'Rateio Custos Fixos'!R75</f>
        <v>0.37521116957128048</v>
      </c>
      <c r="AE76" s="22">
        <f>'Rateio Custos Fixos'!S75</f>
        <v>8.4422513153538112</v>
      </c>
      <c r="AF76" s="22">
        <f>'Rateio Custos Fixos'!T75</f>
        <v>15.577454521506064</v>
      </c>
      <c r="AG76" s="22">
        <f>'Rateio Custos Fixos'!U75</f>
        <v>2.4388726022133231</v>
      </c>
      <c r="AH76" s="22">
        <f t="shared" si="30"/>
        <v>54.951983332406883</v>
      </c>
      <c r="AI76" s="22">
        <f t="shared" si="31"/>
        <v>1157.5584096210425</v>
      </c>
      <c r="AJ76" s="22">
        <f t="shared" si="32"/>
        <v>38.585280320701415</v>
      </c>
    </row>
    <row r="77" spans="1:36" ht="14.4" x14ac:dyDescent="0.3">
      <c r="A77">
        <f>'Lista de Compra'!A75</f>
        <v>72</v>
      </c>
      <c r="B77" t="str">
        <f>'Lista de Compra'!B75</f>
        <v>FLANGE 3" 150LBS PLAIN ASTM A105 GR WPB B16.5 RF</v>
      </c>
      <c r="C77">
        <f>'Lista de Compra'!C75</f>
        <v>72121000</v>
      </c>
      <c r="D77" s="98">
        <f>'Lista de Compra'!I75</f>
        <v>50</v>
      </c>
      <c r="E77" s="142">
        <f>'Lista de Compra'!L75</f>
        <v>2.6811587197625724E-3</v>
      </c>
      <c r="F77" s="139">
        <f>'Lista de Compra'!J75</f>
        <v>3.55</v>
      </c>
      <c r="G77" s="139">
        <f t="shared" si="24"/>
        <v>177.5</v>
      </c>
      <c r="H77" s="22">
        <f t="shared" si="25"/>
        <v>912.34999999999991</v>
      </c>
      <c r="I77" s="143">
        <f>'Rateio Custos Fixos'!E76</f>
        <v>258.78543963148348</v>
      </c>
      <c r="J77" s="22">
        <f t="shared" si="26"/>
        <v>1171.1354396314835</v>
      </c>
      <c r="K77" s="22">
        <f t="shared" si="27"/>
        <v>1302.3026088702095</v>
      </c>
      <c r="L77" s="22">
        <f t="shared" si="28"/>
        <v>131.16716923872616</v>
      </c>
      <c r="M77" s="22">
        <f t="shared" si="23"/>
        <v>42.324834788281812</v>
      </c>
      <c r="N77" s="22">
        <f t="shared" si="23"/>
        <v>27.348354786274403</v>
      </c>
      <c r="O77" s="22">
        <f t="shared" si="23"/>
        <v>125.67220175597522</v>
      </c>
      <c r="P77" s="22">
        <f t="shared" si="23"/>
        <v>78.138156532212562</v>
      </c>
      <c r="Q77" s="22">
        <f t="shared" si="29"/>
        <v>404.65071710147015</v>
      </c>
      <c r="R77" s="22">
        <f>'Rateio Custos Fixos'!F76</f>
        <v>0.93840555191690034</v>
      </c>
      <c r="S77" s="22">
        <f>'Rateio Custos Fixos'!G76</f>
        <v>2.9492745917388294</v>
      </c>
      <c r="T77" s="22">
        <f>'Rateio Custos Fixos'!H76</f>
        <v>4.0217380796438587</v>
      </c>
      <c r="U77" s="22">
        <f>'Rateio Custos Fixos'!I76</f>
        <v>0.26811587197625725</v>
      </c>
      <c r="V77" s="22">
        <f>'Rateio Custos Fixos'!J76</f>
        <v>0.482608569557263</v>
      </c>
      <c r="W77" s="22">
        <f>'Rateio Custos Fixos'!K76</f>
        <v>1.3137677726836605</v>
      </c>
      <c r="X77" s="22">
        <f>'Rateio Custos Fixos'!L76</f>
        <v>2.8420282429483268</v>
      </c>
      <c r="Y77" s="22">
        <f>'Rateio Custos Fixos'!M76</f>
        <v>0.98130409143310149</v>
      </c>
      <c r="Z77" s="22">
        <f>'Rateio Custos Fixos'!N76</f>
        <v>20.702835170518679</v>
      </c>
      <c r="AA77" s="22">
        <f>'Rateio Custos Fixos'!O76</f>
        <v>4.0217380796438587</v>
      </c>
      <c r="AB77" s="22">
        <f>'Rateio Custos Fixos'!P76</f>
        <v>0.80434761592877169</v>
      </c>
      <c r="AC77" s="22">
        <f>'Rateio Custos Fixos'!Q76</f>
        <v>0.85885557270154478</v>
      </c>
      <c r="AD77" s="22">
        <f>'Rateio Custos Fixos'!R76</f>
        <v>0.53623174395251449</v>
      </c>
      <c r="AE77" s="22">
        <f>'Rateio Custos Fixos'!S76</f>
        <v>12.065214238931576</v>
      </c>
      <c r="AF77" s="22">
        <f>'Rateio Custos Fixos'!T76</f>
        <v>22.262465197804566</v>
      </c>
      <c r="AG77" s="22">
        <f>'Rateio Custos Fixos'!U76</f>
        <v>3.485506335691344</v>
      </c>
      <c r="AH77" s="22">
        <f t="shared" si="30"/>
        <v>78.534436727071039</v>
      </c>
      <c r="AI77" s="22">
        <f t="shared" si="31"/>
        <v>1654.3205934600248</v>
      </c>
      <c r="AJ77" s="22">
        <f t="shared" si="32"/>
        <v>33.086411869200496</v>
      </c>
    </row>
    <row r="78" spans="1:36" ht="14.4" x14ac:dyDescent="0.3">
      <c r="A78">
        <f>'Lista de Compra'!A76</f>
        <v>73</v>
      </c>
      <c r="B78" t="str">
        <f>'Lista de Compra'!B76</f>
        <v>FLANGE 4" 150LBS PLAIN ASTM A105 GR WPB B16.5 RF</v>
      </c>
      <c r="C78">
        <f>'Lista de Compra'!C76</f>
        <v>72121000</v>
      </c>
      <c r="D78" s="98">
        <f>'Lista de Compra'!I76</f>
        <v>50</v>
      </c>
      <c r="E78" s="142">
        <f>'Lista de Compra'!L76</f>
        <v>3.7234119685716849E-3</v>
      </c>
      <c r="F78" s="139">
        <f>'Lista de Compra'!J76</f>
        <v>4.93</v>
      </c>
      <c r="G78" s="139">
        <f t="shared" si="24"/>
        <v>246.5</v>
      </c>
      <c r="H78" s="22">
        <f t="shared" si="25"/>
        <v>1267.01</v>
      </c>
      <c r="I78" s="143">
        <f>'Rateio Custos Fixos'!E77</f>
        <v>359.383723206539</v>
      </c>
      <c r="J78" s="22">
        <f t="shared" si="26"/>
        <v>1626.3937232065391</v>
      </c>
      <c r="K78" s="22">
        <f t="shared" si="27"/>
        <v>1808.5498202056715</v>
      </c>
      <c r="L78" s="22">
        <f t="shared" si="28"/>
        <v>182.15609699913239</v>
      </c>
      <c r="M78" s="22">
        <f t="shared" si="23"/>
        <v>58.777869156684325</v>
      </c>
      <c r="N78" s="22">
        <f t="shared" si="23"/>
        <v>37.979546224319101</v>
      </c>
      <c r="O78" s="22">
        <f t="shared" si="23"/>
        <v>174.5250576498473</v>
      </c>
      <c r="P78" s="22">
        <f t="shared" si="23"/>
        <v>108.51298921234029</v>
      </c>
      <c r="Q78" s="22">
        <f t="shared" si="29"/>
        <v>561.95155924232336</v>
      </c>
      <c r="R78" s="22">
        <f>'Rateio Custos Fixos'!F77</f>
        <v>1.3031941890000898</v>
      </c>
      <c r="S78" s="22">
        <f>'Rateio Custos Fixos'!G77</f>
        <v>4.095753165428853</v>
      </c>
      <c r="T78" s="22">
        <f>'Rateio Custos Fixos'!H77</f>
        <v>5.5851179528575274</v>
      </c>
      <c r="U78" s="22">
        <f>'Rateio Custos Fixos'!I77</f>
        <v>0.37234119685716849</v>
      </c>
      <c r="V78" s="22">
        <f>'Rateio Custos Fixos'!J77</f>
        <v>0.67021415434290332</v>
      </c>
      <c r="W78" s="22">
        <f>'Rateio Custos Fixos'!K77</f>
        <v>1.8244718646001257</v>
      </c>
      <c r="X78" s="22">
        <f>'Rateio Custos Fixos'!L77</f>
        <v>3.946816686685986</v>
      </c>
      <c r="Y78" s="22">
        <f>'Rateio Custos Fixos'!M77</f>
        <v>1.3627687804972366</v>
      </c>
      <c r="Z78" s="22">
        <f>'Rateio Custos Fixos'!N77</f>
        <v>28.750697856523121</v>
      </c>
      <c r="AA78" s="22">
        <f>'Rateio Custos Fixos'!O77</f>
        <v>5.5851179528575274</v>
      </c>
      <c r="AB78" s="22">
        <f>'Rateio Custos Fixos'!P77</f>
        <v>1.1170235905715056</v>
      </c>
      <c r="AC78" s="22">
        <f>'Rateio Custos Fixos'!Q77</f>
        <v>1.1927205558925678</v>
      </c>
      <c r="AD78" s="22">
        <f>'Rateio Custos Fixos'!R77</f>
        <v>0.74468239371433698</v>
      </c>
      <c r="AE78" s="22">
        <f>'Rateio Custos Fixos'!S77</f>
        <v>16.755353858572583</v>
      </c>
      <c r="AF78" s="22">
        <f>'Rateio Custos Fixos'!T77</f>
        <v>30.91660659864127</v>
      </c>
      <c r="AG78" s="22">
        <f>'Rateio Custos Fixos'!U77</f>
        <v>4.8404355591431907</v>
      </c>
      <c r="AH78" s="22">
        <f t="shared" si="30"/>
        <v>109.06331635618599</v>
      </c>
      <c r="AI78" s="22">
        <f t="shared" si="31"/>
        <v>2297.4085988050483</v>
      </c>
      <c r="AJ78" s="22">
        <f t="shared" si="32"/>
        <v>45.948171976100966</v>
      </c>
    </row>
    <row r="79" spans="1:36" ht="14.4" x14ac:dyDescent="0.3">
      <c r="A79">
        <f>'Lista de Compra'!A77</f>
        <v>74</v>
      </c>
      <c r="B79" t="str">
        <f>'Lista de Compra'!B77</f>
        <v>FLANGE 5" 150LBS PLAIN ASTM A105 GR WPB B16.5 RF</v>
      </c>
      <c r="C79">
        <f>'Lista de Compra'!C77</f>
        <v>72121000</v>
      </c>
      <c r="D79" s="98">
        <f>'Lista de Compra'!I77</f>
        <v>80</v>
      </c>
      <c r="E79" s="142">
        <f>'Lista de Compra'!L77</f>
        <v>7.141700522274615E-3</v>
      </c>
      <c r="F79" s="139">
        <f>'Lista de Compra'!J77</f>
        <v>5.91</v>
      </c>
      <c r="G79" s="139">
        <f t="shared" si="24"/>
        <v>472.8</v>
      </c>
      <c r="H79" s="22">
        <f t="shared" si="25"/>
        <v>2430.192</v>
      </c>
      <c r="I79" s="143">
        <f>'Rateio Custos Fixos'!E78</f>
        <v>689.31693440994582</v>
      </c>
      <c r="J79" s="22">
        <f t="shared" si="26"/>
        <v>3119.5089344099461</v>
      </c>
      <c r="K79" s="22">
        <f t="shared" si="27"/>
        <v>3468.8939350638602</v>
      </c>
      <c r="L79" s="22">
        <f t="shared" si="28"/>
        <v>349.38500065391395</v>
      </c>
      <c r="M79" s="22">
        <f t="shared" si="23"/>
        <v>112.73905288957546</v>
      </c>
      <c r="N79" s="22">
        <f t="shared" si="23"/>
        <v>72.846772636341072</v>
      </c>
      <c r="O79" s="22">
        <f t="shared" si="23"/>
        <v>334.7482647336625</v>
      </c>
      <c r="P79" s="22">
        <f t="shared" si="23"/>
        <v>208.13363610383161</v>
      </c>
      <c r="Q79" s="22">
        <f t="shared" si="29"/>
        <v>1077.8527270173247</v>
      </c>
      <c r="R79" s="22">
        <f>'Rateio Custos Fixos'!F78</f>
        <v>2.4995951827961154</v>
      </c>
      <c r="S79" s="22">
        <f>'Rateio Custos Fixos'!G78</f>
        <v>7.8558705745020765</v>
      </c>
      <c r="T79" s="22">
        <f>'Rateio Custos Fixos'!H78</f>
        <v>10.712550783411922</v>
      </c>
      <c r="U79" s="22">
        <f>'Rateio Custos Fixos'!I78</f>
        <v>0.71417005222746155</v>
      </c>
      <c r="V79" s="22">
        <f>'Rateio Custos Fixos'!J78</f>
        <v>1.2855060940094307</v>
      </c>
      <c r="W79" s="22">
        <f>'Rateio Custos Fixos'!K78</f>
        <v>3.4994332559145613</v>
      </c>
      <c r="X79" s="22">
        <f>'Rateio Custos Fixos'!L78</f>
        <v>7.5702025536110922</v>
      </c>
      <c r="Y79" s="22">
        <f>'Rateio Custos Fixos'!M78</f>
        <v>2.6138623911525092</v>
      </c>
      <c r="Z79" s="22">
        <f>'Rateio Custos Fixos'!N78</f>
        <v>55.145354752795669</v>
      </c>
      <c r="AA79" s="22">
        <f>'Rateio Custos Fixos'!O78</f>
        <v>10.712550783411922</v>
      </c>
      <c r="AB79" s="22">
        <f>'Rateio Custos Fixos'!P78</f>
        <v>2.1425101566823845</v>
      </c>
      <c r="AC79" s="22">
        <f>'Rateio Custos Fixos'!Q78</f>
        <v>2.2877009283002274</v>
      </c>
      <c r="AD79" s="22">
        <f>'Rateio Custos Fixos'!R78</f>
        <v>1.4283401044549231</v>
      </c>
      <c r="AE79" s="22">
        <f>'Rateio Custos Fixos'!S78</f>
        <v>32.137652350235768</v>
      </c>
      <c r="AF79" s="22">
        <f>'Rateio Custos Fixos'!T78</f>
        <v>59.299681946602803</v>
      </c>
      <c r="AG79" s="22">
        <f>'Rateio Custos Fixos'!U78</f>
        <v>9.2842106789569989</v>
      </c>
      <c r="AH79" s="22">
        <f t="shared" si="30"/>
        <v>209.18919258906587</v>
      </c>
      <c r="AI79" s="22">
        <f t="shared" si="31"/>
        <v>4406.5508540163364</v>
      </c>
      <c r="AJ79" s="22">
        <f t="shared" si="32"/>
        <v>55.081885675204205</v>
      </c>
    </row>
    <row r="80" spans="1:36" ht="14.4" x14ac:dyDescent="0.3">
      <c r="A80">
        <f>'Lista de Compra'!A78</f>
        <v>75</v>
      </c>
      <c r="B80" t="str">
        <f>'Lista de Compra'!B78</f>
        <v>FLANGE 6" 150LBS PLAIN ASTM A105 GR WPB B16.5 RF</v>
      </c>
      <c r="C80">
        <f>'Lista de Compra'!C78</f>
        <v>72121000</v>
      </c>
      <c r="D80" s="98">
        <f>'Lista de Compra'!I78</f>
        <v>80</v>
      </c>
      <c r="E80" s="142">
        <f>'Lista de Compra'!L78</f>
        <v>8.3380259904729005E-3</v>
      </c>
      <c r="F80" s="139">
        <f>'Lista de Compra'!J78</f>
        <v>6.9</v>
      </c>
      <c r="G80" s="139">
        <f t="shared" si="24"/>
        <v>552</v>
      </c>
      <c r="H80" s="22">
        <f t="shared" si="25"/>
        <v>2837.2799999999997</v>
      </c>
      <c r="I80" s="143">
        <f>'Rateio Custos Fixos'!E79</f>
        <v>804.78626860044437</v>
      </c>
      <c r="J80" s="22">
        <f t="shared" si="26"/>
        <v>3642.0662686004443</v>
      </c>
      <c r="K80" s="22">
        <f t="shared" si="27"/>
        <v>4049.9776906836942</v>
      </c>
      <c r="L80" s="22">
        <f t="shared" si="28"/>
        <v>407.91142208324976</v>
      </c>
      <c r="M80" s="22">
        <f t="shared" si="23"/>
        <v>131.62427494722007</v>
      </c>
      <c r="N80" s="22">
        <f t="shared" si="23"/>
        <v>85.049531504357589</v>
      </c>
      <c r="O80" s="22">
        <f t="shared" si="23"/>
        <v>390.82284715097649</v>
      </c>
      <c r="P80" s="22">
        <f t="shared" si="23"/>
        <v>242.99866144102165</v>
      </c>
      <c r="Q80" s="22">
        <f t="shared" si="29"/>
        <v>1258.4067371268254</v>
      </c>
      <c r="R80" s="22">
        <f>'Rateio Custos Fixos'!F79</f>
        <v>2.918309096665515</v>
      </c>
      <c r="S80" s="22">
        <f>'Rateio Custos Fixos'!G79</f>
        <v>9.1718285895201905</v>
      </c>
      <c r="T80" s="22">
        <f>'Rateio Custos Fixos'!H79</f>
        <v>12.50703898570935</v>
      </c>
      <c r="U80" s="22">
        <f>'Rateio Custos Fixos'!I79</f>
        <v>0.83380259904729004</v>
      </c>
      <c r="V80" s="22">
        <f>'Rateio Custos Fixos'!J79</f>
        <v>1.5008446782851221</v>
      </c>
      <c r="W80" s="22">
        <f>'Rateio Custos Fixos'!K79</f>
        <v>4.0856327353317212</v>
      </c>
      <c r="X80" s="22">
        <f>'Rateio Custos Fixos'!L79</f>
        <v>8.8383075499012751</v>
      </c>
      <c r="Y80" s="22">
        <f>'Rateio Custos Fixos'!M79</f>
        <v>3.0517175125130818</v>
      </c>
      <c r="Z80" s="22">
        <f>'Rateio Custos Fixos'!N79</f>
        <v>64.382901488035557</v>
      </c>
      <c r="AA80" s="22">
        <f>'Rateio Custos Fixos'!O79</f>
        <v>12.50703898570935</v>
      </c>
      <c r="AB80" s="22">
        <f>'Rateio Custos Fixos'!P79</f>
        <v>2.5014077971418702</v>
      </c>
      <c r="AC80" s="22">
        <f>'Rateio Custos Fixos'!Q79</f>
        <v>2.6709198655281843</v>
      </c>
      <c r="AD80" s="22">
        <f>'Rateio Custos Fixos'!R79</f>
        <v>1.6676051980945801</v>
      </c>
      <c r="AE80" s="22">
        <f>'Rateio Custos Fixos'!S79</f>
        <v>37.521116957128051</v>
      </c>
      <c r="AF80" s="22">
        <f>'Rateio Custos Fixos'!T79</f>
        <v>69.233131206693628</v>
      </c>
      <c r="AG80" s="22">
        <f>'Rateio Custos Fixos'!U79</f>
        <v>10.839433787614771</v>
      </c>
      <c r="AH80" s="22">
        <f t="shared" si="30"/>
        <v>244.23103703291955</v>
      </c>
      <c r="AI80" s="22">
        <f t="shared" si="31"/>
        <v>5144.7040427601896</v>
      </c>
      <c r="AJ80" s="22">
        <f t="shared" si="32"/>
        <v>64.308800534502367</v>
      </c>
    </row>
    <row r="81" spans="1:36" ht="14.4" x14ac:dyDescent="0.3">
      <c r="A81">
        <f>'Lista de Compra'!A79</f>
        <v>76</v>
      </c>
      <c r="B81" t="str">
        <f>'Lista de Compra'!B79</f>
        <v>FLANGE 6" 300LBS PLAIN ASTM A105 GR WPB B16.5 RF</v>
      </c>
      <c r="C81">
        <f>'Lista de Compra'!C79</f>
        <v>72121000</v>
      </c>
      <c r="D81" s="98">
        <f>'Lista de Compra'!I79</f>
        <v>30</v>
      </c>
      <c r="E81" s="142">
        <f>'Lista de Compra'!L79</f>
        <v>7.141700522274615E-3</v>
      </c>
      <c r="F81" s="139">
        <f>'Lista de Compra'!J79</f>
        <v>15.76</v>
      </c>
      <c r="G81" s="139">
        <f t="shared" si="24"/>
        <v>472.8</v>
      </c>
      <c r="H81" s="22">
        <f t="shared" si="25"/>
        <v>2430.192</v>
      </c>
      <c r="I81" s="143">
        <f>'Rateio Custos Fixos'!E80</f>
        <v>689.31693440994582</v>
      </c>
      <c r="J81" s="22">
        <f t="shared" si="26"/>
        <v>3119.5089344099461</v>
      </c>
      <c r="K81" s="22">
        <f t="shared" si="27"/>
        <v>3468.8939350638602</v>
      </c>
      <c r="L81" s="22">
        <f t="shared" si="28"/>
        <v>349.38500065391395</v>
      </c>
      <c r="M81" s="22">
        <f t="shared" si="23"/>
        <v>112.73905288957546</v>
      </c>
      <c r="N81" s="22">
        <f t="shared" si="23"/>
        <v>72.846772636341072</v>
      </c>
      <c r="O81" s="22">
        <f t="shared" si="23"/>
        <v>334.7482647336625</v>
      </c>
      <c r="P81" s="22">
        <f t="shared" si="23"/>
        <v>208.13363610383161</v>
      </c>
      <c r="Q81" s="22">
        <f t="shared" si="29"/>
        <v>1077.8527270173247</v>
      </c>
      <c r="R81" s="22">
        <f>'Rateio Custos Fixos'!F80</f>
        <v>2.4995951827961154</v>
      </c>
      <c r="S81" s="22">
        <f>'Rateio Custos Fixos'!G80</f>
        <v>7.8558705745020765</v>
      </c>
      <c r="T81" s="22">
        <f>'Rateio Custos Fixos'!H80</f>
        <v>10.712550783411922</v>
      </c>
      <c r="U81" s="22">
        <f>'Rateio Custos Fixos'!I80</f>
        <v>0.71417005222746155</v>
      </c>
      <c r="V81" s="22">
        <f>'Rateio Custos Fixos'!J80</f>
        <v>1.2855060940094307</v>
      </c>
      <c r="W81" s="22">
        <f>'Rateio Custos Fixos'!K80</f>
        <v>3.4994332559145613</v>
      </c>
      <c r="X81" s="22">
        <f>'Rateio Custos Fixos'!L80</f>
        <v>7.5702025536110922</v>
      </c>
      <c r="Y81" s="22">
        <f>'Rateio Custos Fixos'!M80</f>
        <v>2.6138623911525092</v>
      </c>
      <c r="Z81" s="22">
        <f>'Rateio Custos Fixos'!N80</f>
        <v>55.145354752795669</v>
      </c>
      <c r="AA81" s="22">
        <f>'Rateio Custos Fixos'!O80</f>
        <v>10.712550783411922</v>
      </c>
      <c r="AB81" s="22">
        <f>'Rateio Custos Fixos'!P80</f>
        <v>2.1425101566823845</v>
      </c>
      <c r="AC81" s="22">
        <f>'Rateio Custos Fixos'!Q80</f>
        <v>2.2877009283002274</v>
      </c>
      <c r="AD81" s="22">
        <f>'Rateio Custos Fixos'!R80</f>
        <v>1.4283401044549231</v>
      </c>
      <c r="AE81" s="22">
        <f>'Rateio Custos Fixos'!S80</f>
        <v>32.137652350235768</v>
      </c>
      <c r="AF81" s="22">
        <f>'Rateio Custos Fixos'!T80</f>
        <v>59.299681946602803</v>
      </c>
      <c r="AG81" s="22">
        <f>'Rateio Custos Fixos'!U80</f>
        <v>9.2842106789569989</v>
      </c>
      <c r="AH81" s="22">
        <f t="shared" si="30"/>
        <v>209.18919258906587</v>
      </c>
      <c r="AI81" s="22">
        <f t="shared" si="31"/>
        <v>4406.5508540163364</v>
      </c>
      <c r="AJ81" s="22">
        <f t="shared" si="32"/>
        <v>146.88502846721121</v>
      </c>
    </row>
    <row r="82" spans="1:36" ht="14.4" x14ac:dyDescent="0.3">
      <c r="A82">
        <f>'Lista de Compra'!A80</f>
        <v>77</v>
      </c>
      <c r="B82" t="str">
        <f>'Lista de Compra'!B80</f>
        <v>FLANGE 8" 150LBS PLAIN ASTM A105 GR WPB B16.5 RF</v>
      </c>
      <c r="C82">
        <f>'Lista de Compra'!C80</f>
        <v>72121000</v>
      </c>
      <c r="D82" s="98">
        <f>'Lista de Compra'!I80</f>
        <v>30</v>
      </c>
      <c r="E82" s="142">
        <f>'Lista de Compra'!L80</f>
        <v>4.7309234424204932E-3</v>
      </c>
      <c r="F82" s="139">
        <f>'Lista de Compra'!J80</f>
        <v>10.44</v>
      </c>
      <c r="G82" s="139">
        <f t="shared" si="24"/>
        <v>313.2</v>
      </c>
      <c r="H82" s="22">
        <f t="shared" si="25"/>
        <v>1609.8479999999997</v>
      </c>
      <c r="I82" s="143">
        <f>'Rateio Custos Fixos'!E81</f>
        <v>456.62873066242599</v>
      </c>
      <c r="J82" s="22">
        <f t="shared" si="26"/>
        <v>2066.4767306624258</v>
      </c>
      <c r="K82" s="22">
        <f t="shared" si="27"/>
        <v>2297.9221244966175</v>
      </c>
      <c r="L82" s="22">
        <f t="shared" si="28"/>
        <v>231.44539383419169</v>
      </c>
      <c r="M82" s="22">
        <f t="shared" si="23"/>
        <v>74.682469046140071</v>
      </c>
      <c r="N82" s="22">
        <f t="shared" si="23"/>
        <v>48.256364614428968</v>
      </c>
      <c r="O82" s="22">
        <f t="shared" si="23"/>
        <v>221.74948501392359</v>
      </c>
      <c r="P82" s="22">
        <f t="shared" si="23"/>
        <v>137.87532746979704</v>
      </c>
      <c r="Q82" s="22">
        <f t="shared" si="29"/>
        <v>714.00903997848138</v>
      </c>
      <c r="R82" s="22">
        <f>'Rateio Custos Fixos'!F81</f>
        <v>1.6558232048471726</v>
      </c>
      <c r="S82" s="22">
        <f>'Rateio Custos Fixos'!G81</f>
        <v>5.2040157866625423</v>
      </c>
      <c r="T82" s="22">
        <f>'Rateio Custos Fixos'!H81</f>
        <v>7.0963851636307398</v>
      </c>
      <c r="U82" s="22">
        <f>'Rateio Custos Fixos'!I81</f>
        <v>0.47309234424204932</v>
      </c>
      <c r="V82" s="22">
        <f>'Rateio Custos Fixos'!J81</f>
        <v>0.85156621963568879</v>
      </c>
      <c r="W82" s="22">
        <f>'Rateio Custos Fixos'!K81</f>
        <v>2.3181524867860417</v>
      </c>
      <c r="X82" s="22">
        <f>'Rateio Custos Fixos'!L81</f>
        <v>5.0147788489657223</v>
      </c>
      <c r="Y82" s="22">
        <f>'Rateio Custos Fixos'!M81</f>
        <v>1.7315179799259006</v>
      </c>
      <c r="Z82" s="22">
        <f>'Rateio Custos Fixos'!N81</f>
        <v>36.530298452994082</v>
      </c>
      <c r="AA82" s="22">
        <f>'Rateio Custos Fixos'!O81</f>
        <v>7.0963851636307398</v>
      </c>
      <c r="AB82" s="22">
        <f>'Rateio Custos Fixos'!P81</f>
        <v>1.4192770327261479</v>
      </c>
      <c r="AC82" s="22">
        <f>'Rateio Custos Fixos'!Q81</f>
        <v>1.5154567063105564</v>
      </c>
      <c r="AD82" s="22">
        <f>'Rateio Custos Fixos'!R81</f>
        <v>0.94618468848409865</v>
      </c>
      <c r="AE82" s="22">
        <f>'Rateio Custos Fixos'!S81</f>
        <v>21.28915549089222</v>
      </c>
      <c r="AF82" s="22">
        <f>'Rateio Custos Fixos'!T81</f>
        <v>39.28227661945008</v>
      </c>
      <c r="AG82" s="22">
        <f>'Rateio Custos Fixos'!U81</f>
        <v>6.150200475146641</v>
      </c>
      <c r="AH82" s="22">
        <f t="shared" si="30"/>
        <v>138.5745666643304</v>
      </c>
      <c r="AI82" s="22">
        <f t="shared" si="31"/>
        <v>2919.0603373052372</v>
      </c>
      <c r="AJ82" s="22">
        <f t="shared" si="32"/>
        <v>97.302011243507906</v>
      </c>
    </row>
    <row r="83" spans="1:36" ht="14.4" x14ac:dyDescent="0.3">
      <c r="A83">
        <f>'Lista de Compra'!A81</f>
        <v>78</v>
      </c>
      <c r="B83" t="str">
        <f>'Lista de Compra'!B81</f>
        <v>FLANGE 8" 300LBS PLAIN ASTM A105 GR WPB B16.5 RF</v>
      </c>
      <c r="C83">
        <f>'Lista de Compra'!C81</f>
        <v>72121000</v>
      </c>
      <c r="D83" s="98">
        <f>'Lista de Compra'!I81</f>
        <v>15</v>
      </c>
      <c r="E83" s="142">
        <f>'Lista de Compra'!L81</f>
        <v>5.8026316743481242E-3</v>
      </c>
      <c r="F83" s="139">
        <f>'Lista de Compra'!J81</f>
        <v>25.61</v>
      </c>
      <c r="G83" s="139">
        <f t="shared" si="24"/>
        <v>384.15</v>
      </c>
      <c r="H83" s="22">
        <f t="shared" si="25"/>
        <v>1974.5309999999997</v>
      </c>
      <c r="I83" s="143">
        <f>'Rateio Custos Fixos'!E82</f>
        <v>560.07000920808093</v>
      </c>
      <c r="J83" s="22">
        <f t="shared" si="26"/>
        <v>2534.6010092080805</v>
      </c>
      <c r="K83" s="22">
        <f t="shared" si="27"/>
        <v>2818.4763222393858</v>
      </c>
      <c r="L83" s="22">
        <f t="shared" si="28"/>
        <v>283.87531303130504</v>
      </c>
      <c r="M83" s="22">
        <f t="shared" si="23"/>
        <v>91.600480472780049</v>
      </c>
      <c r="N83" s="22">
        <f t="shared" si="23"/>
        <v>59.188002767027108</v>
      </c>
      <c r="O83" s="22">
        <f t="shared" si="23"/>
        <v>271.98296509610071</v>
      </c>
      <c r="P83" s="22">
        <f t="shared" si="23"/>
        <v>169.10857933436313</v>
      </c>
      <c r="Q83" s="22">
        <f t="shared" si="29"/>
        <v>875.75534070157619</v>
      </c>
      <c r="R83" s="22">
        <f>'Rateio Custos Fixos'!F82</f>
        <v>2.0309210860218436</v>
      </c>
      <c r="S83" s="22">
        <f>'Rateio Custos Fixos'!G82</f>
        <v>6.382894841782937</v>
      </c>
      <c r="T83" s="22">
        <f>'Rateio Custos Fixos'!H82</f>
        <v>8.7039475115221858</v>
      </c>
      <c r="U83" s="22">
        <f>'Rateio Custos Fixos'!I82</f>
        <v>0.58026316743481243</v>
      </c>
      <c r="V83" s="22">
        <f>'Rateio Custos Fixos'!J82</f>
        <v>1.0444737013826624</v>
      </c>
      <c r="W83" s="22">
        <f>'Rateio Custos Fixos'!K82</f>
        <v>2.8432895204305808</v>
      </c>
      <c r="X83" s="22">
        <f>'Rateio Custos Fixos'!L82</f>
        <v>6.1507895748090116</v>
      </c>
      <c r="Y83" s="22">
        <f>'Rateio Custos Fixos'!M82</f>
        <v>2.1237631928114133</v>
      </c>
      <c r="Z83" s="22">
        <f>'Rateio Custos Fixos'!N82</f>
        <v>44.805600736646475</v>
      </c>
      <c r="AA83" s="22">
        <f>'Rateio Custos Fixos'!O82</f>
        <v>8.7039475115221858</v>
      </c>
      <c r="AB83" s="22">
        <f>'Rateio Custos Fixos'!P82</f>
        <v>1.7407895023044373</v>
      </c>
      <c r="AC83" s="22">
        <f>'Rateio Custos Fixos'!Q82</f>
        <v>1.8587570042439345</v>
      </c>
      <c r="AD83" s="22">
        <f>'Rateio Custos Fixos'!R82</f>
        <v>1.1605263348696249</v>
      </c>
      <c r="AE83" s="22">
        <f>'Rateio Custos Fixos'!S82</f>
        <v>26.111842534566559</v>
      </c>
      <c r="AF83" s="22">
        <f>'Rateio Custos Fixos'!T82</f>
        <v>48.180991581614776</v>
      </c>
      <c r="AG83" s="22">
        <f>'Rateio Custos Fixos'!U82</f>
        <v>7.5434211766525614</v>
      </c>
      <c r="AH83" s="22">
        <f t="shared" si="30"/>
        <v>169.96621897861601</v>
      </c>
      <c r="AI83" s="22">
        <f t="shared" si="31"/>
        <v>3580.3225688882726</v>
      </c>
      <c r="AJ83" s="22">
        <f t="shared" si="32"/>
        <v>238.68817125921817</v>
      </c>
    </row>
    <row r="84" spans="1:36" ht="14.4" x14ac:dyDescent="0.3">
      <c r="A84">
        <f>'Lista de Compra'!A82</f>
        <v>79</v>
      </c>
      <c r="B84" t="str">
        <f>'Lista de Compra'!B82</f>
        <v>FLANGE 4" 300LBS PLAIN ASTM A105 GR WPB B16.5 RF</v>
      </c>
      <c r="C84">
        <f>'Lista de Compra'!C82</f>
        <v>72121000</v>
      </c>
      <c r="D84" s="98">
        <f>'Lista de Compra'!I82</f>
        <v>15</v>
      </c>
      <c r="E84" s="142">
        <f>'Lista de Compra'!L82</f>
        <v>1.9191054385680835E-3</v>
      </c>
      <c r="F84" s="139">
        <f>'Lista de Compra'!J82</f>
        <v>8.4700000000000006</v>
      </c>
      <c r="G84" s="139">
        <f t="shared" si="24"/>
        <v>127.05000000000001</v>
      </c>
      <c r="H84" s="22">
        <f t="shared" si="25"/>
        <v>653.03700000000003</v>
      </c>
      <c r="I84" s="143">
        <f>'Rateio Custos Fixos'!E83</f>
        <v>185.23205693059143</v>
      </c>
      <c r="J84" s="22">
        <f t="shared" si="26"/>
        <v>838.26905693059143</v>
      </c>
      <c r="K84" s="22">
        <f t="shared" si="27"/>
        <v>932.15519130681764</v>
      </c>
      <c r="L84" s="22">
        <f t="shared" si="28"/>
        <v>93.886134376226238</v>
      </c>
      <c r="M84" s="22">
        <f t="shared" si="23"/>
        <v>30.295043717471575</v>
      </c>
      <c r="N84" s="22">
        <f t="shared" si="23"/>
        <v>19.575259017443173</v>
      </c>
      <c r="O84" s="22">
        <f t="shared" si="23"/>
        <v>89.95297596110791</v>
      </c>
      <c r="P84" s="22">
        <f t="shared" si="23"/>
        <v>55.929311478409055</v>
      </c>
      <c r="Q84" s="22">
        <f t="shared" si="29"/>
        <v>289.63872455065797</v>
      </c>
      <c r="R84" s="22">
        <f>'Rateio Custos Fixos'!F83</f>
        <v>0.6716869034988292</v>
      </c>
      <c r="S84" s="22">
        <f>'Rateio Custos Fixos'!G83</f>
        <v>2.1110159824248917</v>
      </c>
      <c r="T84" s="22">
        <f>'Rateio Custos Fixos'!H83</f>
        <v>2.8786581578521253</v>
      </c>
      <c r="U84" s="22">
        <f>'Rateio Custos Fixos'!I83</f>
        <v>0.19191054385680834</v>
      </c>
      <c r="V84" s="22">
        <f>'Rateio Custos Fixos'!J83</f>
        <v>0.345438978942255</v>
      </c>
      <c r="W84" s="22">
        <f>'Rateio Custos Fixos'!K83</f>
        <v>0.94036166489836093</v>
      </c>
      <c r="X84" s="22">
        <f>'Rateio Custos Fixos'!L83</f>
        <v>2.0342517648821685</v>
      </c>
      <c r="Y84" s="22">
        <f>'Rateio Custos Fixos'!M83</f>
        <v>0.70239259051591851</v>
      </c>
      <c r="Z84" s="22">
        <f>'Rateio Custos Fixos'!N83</f>
        <v>14.818564554447315</v>
      </c>
      <c r="AA84" s="22">
        <f>'Rateio Custos Fixos'!O83</f>
        <v>2.8786581578521253</v>
      </c>
      <c r="AB84" s="22">
        <f>'Rateio Custos Fixos'!P83</f>
        <v>0.57573163157042506</v>
      </c>
      <c r="AC84" s="22">
        <f>'Rateio Custos Fixos'!Q83</f>
        <v>0.61474704513651413</v>
      </c>
      <c r="AD84" s="22">
        <f>'Rateio Custos Fixos'!R83</f>
        <v>0.38382108771361667</v>
      </c>
      <c r="AE84" s="22">
        <f>'Rateio Custos Fixos'!S83</f>
        <v>8.6359744735563755</v>
      </c>
      <c r="AF84" s="22">
        <f>'Rateio Custos Fixos'!T83</f>
        <v>15.934908188062366</v>
      </c>
      <c r="AG84" s="22">
        <f>'Rateio Custos Fixos'!U83</f>
        <v>2.4948370701385088</v>
      </c>
      <c r="AH84" s="22">
        <f t="shared" si="30"/>
        <v>56.212958795348605</v>
      </c>
      <c r="AI84" s="22">
        <f t="shared" si="31"/>
        <v>1184.1207402765981</v>
      </c>
      <c r="AJ84" s="22">
        <f t="shared" si="32"/>
        <v>78.941382685106547</v>
      </c>
    </row>
    <row r="85" spans="1:36" ht="14.4" x14ac:dyDescent="0.3">
      <c r="A85">
        <f>'Lista de Compra'!A83</f>
        <v>80</v>
      </c>
      <c r="B85" t="str">
        <f>'Lista de Compra'!B83</f>
        <v>ELBOW 1.1/2" SCH40 LR 90° ASTM A-234 ASME B16.9</v>
      </c>
      <c r="C85">
        <f>'Lista de Compra'!C83</f>
        <v>72121000</v>
      </c>
      <c r="D85" s="98">
        <f>'Lista de Compra'!I83</f>
        <v>100</v>
      </c>
      <c r="E85" s="142">
        <f>'Lista de Compra'!L83</f>
        <v>6.042047819183261E-4</v>
      </c>
      <c r="F85" s="139">
        <f>'Lista de Compra'!J83</f>
        <v>0.4</v>
      </c>
      <c r="G85" s="139">
        <f t="shared" si="24"/>
        <v>40</v>
      </c>
      <c r="H85" s="22">
        <f t="shared" si="25"/>
        <v>205.6</v>
      </c>
      <c r="I85" s="143">
        <f>'Rateio Custos Fixos'!E84</f>
        <v>58.317845550756836</v>
      </c>
      <c r="J85" s="22">
        <f t="shared" si="26"/>
        <v>263.91784555075685</v>
      </c>
      <c r="K85" s="22">
        <f t="shared" si="27"/>
        <v>293.47664425244164</v>
      </c>
      <c r="L85" s="22">
        <f t="shared" si="28"/>
        <v>29.558798701684768</v>
      </c>
      <c r="M85" s="22">
        <f t="shared" si="23"/>
        <v>9.537990938204354</v>
      </c>
      <c r="N85" s="22">
        <f t="shared" si="23"/>
        <v>6.1630095293012745</v>
      </c>
      <c r="O85" s="22">
        <f t="shared" si="23"/>
        <v>28.32049617036062</v>
      </c>
      <c r="P85" s="22">
        <f t="shared" si="23"/>
        <v>17.608598655146498</v>
      </c>
      <c r="Q85" s="22">
        <f t="shared" si="29"/>
        <v>91.188893994697509</v>
      </c>
      <c r="R85" s="22">
        <f>'Rateio Custos Fixos'!F84</f>
        <v>0.21147167367141415</v>
      </c>
      <c r="S85" s="22">
        <f>'Rateio Custos Fixos'!G84</f>
        <v>0.66462526011015866</v>
      </c>
      <c r="T85" s="22">
        <f>'Rateio Custos Fixos'!H84</f>
        <v>0.90630717287748919</v>
      </c>
      <c r="U85" s="22">
        <f>'Rateio Custos Fixos'!I84</f>
        <v>6.0420478191832612E-2</v>
      </c>
      <c r="V85" s="22">
        <f>'Rateio Custos Fixos'!J84</f>
        <v>0.10875686074529869</v>
      </c>
      <c r="W85" s="22">
        <f>'Rateio Custos Fixos'!K84</f>
        <v>0.29606034313997981</v>
      </c>
      <c r="X85" s="22">
        <f>'Rateio Custos Fixos'!L84</f>
        <v>0.64045706883342568</v>
      </c>
      <c r="Y85" s="22">
        <f>'Rateio Custos Fixos'!M84</f>
        <v>0.22113895018210736</v>
      </c>
      <c r="Z85" s="22">
        <f>'Rateio Custos Fixos'!N84</f>
        <v>4.6654276440605473</v>
      </c>
      <c r="AA85" s="22">
        <f>'Rateio Custos Fixos'!O84</f>
        <v>0.90630717287748919</v>
      </c>
      <c r="AB85" s="22">
        <f>'Rateio Custos Fixos'!P84</f>
        <v>0.18126143457549784</v>
      </c>
      <c r="AC85" s="22">
        <f>'Rateio Custos Fixos'!Q84</f>
        <v>0.19354491779189739</v>
      </c>
      <c r="AD85" s="22">
        <f>'Rateio Custos Fixos'!R84</f>
        <v>0.12084095638366522</v>
      </c>
      <c r="AE85" s="22">
        <f>'Rateio Custos Fixos'!S84</f>
        <v>2.7189215186324676</v>
      </c>
      <c r="AF85" s="22">
        <f>'Rateio Custos Fixos'!T84</f>
        <v>5.0168935657024365</v>
      </c>
      <c r="AG85" s="22">
        <f>'Rateio Custos Fixos'!U84</f>
        <v>0.78546621649382398</v>
      </c>
      <c r="AH85" s="22">
        <f t="shared" si="30"/>
        <v>17.69790123426953</v>
      </c>
      <c r="AI85" s="22">
        <f t="shared" si="31"/>
        <v>372.80464077972391</v>
      </c>
      <c r="AJ85" s="22">
        <f t="shared" si="32"/>
        <v>3.7280464077972391</v>
      </c>
    </row>
    <row r="86" spans="1:36" ht="14.4" x14ac:dyDescent="0.3">
      <c r="A86">
        <f>'Lista de Compra'!A84</f>
        <v>81</v>
      </c>
      <c r="B86" t="str">
        <f>'Lista de Compra'!B84</f>
        <v>ELBOW 2" SCH40 LR 90° ASTM A-234 ASME B16.9</v>
      </c>
      <c r="C86">
        <f>'Lista de Compra'!C84</f>
        <v>72121000</v>
      </c>
      <c r="D86" s="98">
        <f>'Lista de Compra'!I84</f>
        <v>200</v>
      </c>
      <c r="E86" s="142">
        <f>'Lista de Compra'!L84</f>
        <v>1.9032450630427273E-3</v>
      </c>
      <c r="F86" s="139">
        <f>'Lista de Compra'!J84</f>
        <v>0.63</v>
      </c>
      <c r="G86" s="139">
        <f t="shared" si="24"/>
        <v>126</v>
      </c>
      <c r="H86" s="22">
        <f t="shared" si="25"/>
        <v>647.64</v>
      </c>
      <c r="I86" s="143">
        <f>'Rateio Custos Fixos'!E85</f>
        <v>183.70121348488405</v>
      </c>
      <c r="J86" s="22">
        <f t="shared" si="26"/>
        <v>831.34121348488407</v>
      </c>
      <c r="K86" s="22">
        <f t="shared" si="27"/>
        <v>924.4514293951911</v>
      </c>
      <c r="L86" s="22">
        <f t="shared" si="28"/>
        <v>93.110215910307019</v>
      </c>
      <c r="M86" s="22">
        <f t="shared" ref="M86:P105" si="33">M$5*$K86</f>
        <v>30.04467145534371</v>
      </c>
      <c r="N86" s="22">
        <f t="shared" si="33"/>
        <v>19.413480017299015</v>
      </c>
      <c r="O86" s="22">
        <f t="shared" si="33"/>
        <v>89.209562936635947</v>
      </c>
      <c r="P86" s="22">
        <f t="shared" si="33"/>
        <v>55.467085763711466</v>
      </c>
      <c r="Q86" s="22">
        <f t="shared" si="29"/>
        <v>287.24501608329712</v>
      </c>
      <c r="R86" s="22">
        <f>'Rateio Custos Fixos'!F85</f>
        <v>0.66613577206495456</v>
      </c>
      <c r="S86" s="22">
        <f>'Rateio Custos Fixos'!G85</f>
        <v>2.0935695693470002</v>
      </c>
      <c r="T86" s="22">
        <f>'Rateio Custos Fixos'!H85</f>
        <v>2.8548675945640909</v>
      </c>
      <c r="U86" s="22">
        <f>'Rateio Custos Fixos'!I85</f>
        <v>0.19032450630427272</v>
      </c>
      <c r="V86" s="22">
        <f>'Rateio Custos Fixos'!J85</f>
        <v>0.3425841113476909</v>
      </c>
      <c r="W86" s="22">
        <f>'Rateio Custos Fixos'!K85</f>
        <v>0.93259008089093642</v>
      </c>
      <c r="X86" s="22">
        <f>'Rateio Custos Fixos'!L85</f>
        <v>2.0174397668252908</v>
      </c>
      <c r="Y86" s="22">
        <f>'Rateio Custos Fixos'!M85</f>
        <v>0.69658769307363821</v>
      </c>
      <c r="Z86" s="22">
        <f>'Rateio Custos Fixos'!N85</f>
        <v>14.696097078790725</v>
      </c>
      <c r="AA86" s="22">
        <f>'Rateio Custos Fixos'!O85</f>
        <v>2.8548675945640909</v>
      </c>
      <c r="AB86" s="22">
        <f>'Rateio Custos Fixos'!P85</f>
        <v>0.57097351891281822</v>
      </c>
      <c r="AC86" s="22">
        <f>'Rateio Custos Fixos'!Q85</f>
        <v>0.60966649104447679</v>
      </c>
      <c r="AD86" s="22">
        <f>'Rateio Custos Fixos'!R85</f>
        <v>0.38064901260854545</v>
      </c>
      <c r="AE86" s="22">
        <f>'Rateio Custos Fixos'!S85</f>
        <v>8.5646027836922727</v>
      </c>
      <c r="AF86" s="22">
        <f>'Rateio Custos Fixos'!T85</f>
        <v>15.803214731962676</v>
      </c>
      <c r="AG86" s="22">
        <f>'Rateio Custos Fixos'!U85</f>
        <v>2.4742185819555456</v>
      </c>
      <c r="AH86" s="22">
        <f t="shared" si="30"/>
        <v>55.748388887949034</v>
      </c>
      <c r="AI86" s="22">
        <f t="shared" si="31"/>
        <v>1174.3346184561301</v>
      </c>
      <c r="AJ86" s="22">
        <f t="shared" si="32"/>
        <v>5.8716730922806502</v>
      </c>
    </row>
    <row r="87" spans="1:36" ht="14.4" x14ac:dyDescent="0.3">
      <c r="A87">
        <f>'Lista de Compra'!A85</f>
        <v>82</v>
      </c>
      <c r="B87" t="str">
        <f>'Lista de Compra'!B85</f>
        <v>ELBOW 3" SCH40 LR 90° ASTM A-234 ASME B16.9</v>
      </c>
      <c r="C87">
        <f>'Lista de Compra'!C85</f>
        <v>72121000</v>
      </c>
      <c r="D87" s="98">
        <f>'Lista de Compra'!I85</f>
        <v>30</v>
      </c>
      <c r="E87" s="142">
        <f>'Lista de Compra'!L85</f>
        <v>1.3730553669093961E-3</v>
      </c>
      <c r="F87" s="139">
        <f>'Lista de Compra'!J85</f>
        <v>3.03</v>
      </c>
      <c r="G87" s="139">
        <f t="shared" si="24"/>
        <v>90.899999999999991</v>
      </c>
      <c r="H87" s="22">
        <f t="shared" si="25"/>
        <v>467.22599999999994</v>
      </c>
      <c r="I87" s="143">
        <f>'Rateio Custos Fixos'!E86</f>
        <v>132.52730401409491</v>
      </c>
      <c r="J87" s="22">
        <f t="shared" si="26"/>
        <v>599.75330401409485</v>
      </c>
      <c r="K87" s="22">
        <f t="shared" si="27"/>
        <v>666.92567406367345</v>
      </c>
      <c r="L87" s="22">
        <f t="shared" si="28"/>
        <v>67.172370049578632</v>
      </c>
      <c r="M87" s="22">
        <f t="shared" si="33"/>
        <v>21.675084407069388</v>
      </c>
      <c r="N87" s="22">
        <f t="shared" si="33"/>
        <v>14.005439155337143</v>
      </c>
      <c r="O87" s="22">
        <f t="shared" si="33"/>
        <v>64.358327547144484</v>
      </c>
      <c r="P87" s="22">
        <f t="shared" si="33"/>
        <v>40.015540443820406</v>
      </c>
      <c r="Q87" s="22">
        <f t="shared" si="29"/>
        <v>207.22676160295006</v>
      </c>
      <c r="R87" s="22">
        <f>'Rateio Custos Fixos'!F86</f>
        <v>0.48056937841828862</v>
      </c>
      <c r="S87" s="22">
        <f>'Rateio Custos Fixos'!G86</f>
        <v>1.5103609036003356</v>
      </c>
      <c r="T87" s="22">
        <f>'Rateio Custos Fixos'!H86</f>
        <v>2.0595830503640942</v>
      </c>
      <c r="U87" s="22">
        <f>'Rateio Custos Fixos'!I86</f>
        <v>0.13730553669093962</v>
      </c>
      <c r="V87" s="22">
        <f>'Rateio Custos Fixos'!J86</f>
        <v>0.2471499660436913</v>
      </c>
      <c r="W87" s="22">
        <f>'Rateio Custos Fixos'!K86</f>
        <v>0.67279712978560413</v>
      </c>
      <c r="X87" s="22">
        <f>'Rateio Custos Fixos'!L86</f>
        <v>1.4554386889239599</v>
      </c>
      <c r="Y87" s="22">
        <f>'Rateio Custos Fixos'!M86</f>
        <v>0.50253826428883897</v>
      </c>
      <c r="Z87" s="22">
        <f>'Rateio Custos Fixos'!N86</f>
        <v>10.602184321127593</v>
      </c>
      <c r="AA87" s="22">
        <f>'Rateio Custos Fixos'!O86</f>
        <v>2.0595830503640942</v>
      </c>
      <c r="AB87" s="22">
        <f>'Rateio Custos Fixos'!P86</f>
        <v>0.41191661007281882</v>
      </c>
      <c r="AC87" s="22">
        <f>'Rateio Custos Fixos'!Q86</f>
        <v>0.43983082568208681</v>
      </c>
      <c r="AD87" s="22">
        <f>'Rateio Custos Fixos'!R86</f>
        <v>0.27461107338187923</v>
      </c>
      <c r="AE87" s="22">
        <f>'Rateio Custos Fixos'!S86</f>
        <v>6.1787491510922825</v>
      </c>
      <c r="AF87" s="22">
        <f>'Rateio Custos Fixos'!T86</f>
        <v>11.400890628058788</v>
      </c>
      <c r="AG87" s="22">
        <f>'Rateio Custos Fixos'!U86</f>
        <v>1.784971976982215</v>
      </c>
      <c r="AH87" s="22">
        <f t="shared" si="30"/>
        <v>40.218480554877509</v>
      </c>
      <c r="AI87" s="22">
        <f t="shared" si="31"/>
        <v>847.19854617192243</v>
      </c>
      <c r="AJ87" s="22">
        <f t="shared" si="32"/>
        <v>28.23995153906408</v>
      </c>
    </row>
    <row r="88" spans="1:36" ht="14.4" x14ac:dyDescent="0.3">
      <c r="A88">
        <f>'Lista de Compra'!A86</f>
        <v>83</v>
      </c>
      <c r="B88" t="str">
        <f>'Lista de Compra'!B86</f>
        <v>ELBOW 5" SCH40 LR 90° ASTM A-234 ASME B16.9</v>
      </c>
      <c r="C88">
        <f>'Lista de Compra'!C86</f>
        <v>72121000</v>
      </c>
      <c r="D88" s="98">
        <f>'Lista de Compra'!I86</f>
        <v>40</v>
      </c>
      <c r="E88" s="142">
        <f>'Lista de Compra'!L86</f>
        <v>2.9424772879422484E-3</v>
      </c>
      <c r="F88" s="139">
        <f>'Lista de Compra'!J86</f>
        <v>4.87</v>
      </c>
      <c r="G88" s="139">
        <f t="shared" si="24"/>
        <v>194.8</v>
      </c>
      <c r="H88" s="22">
        <f t="shared" si="25"/>
        <v>1001.272</v>
      </c>
      <c r="I88" s="143">
        <f>'Rateio Custos Fixos'!E87</f>
        <v>284.00790783218582</v>
      </c>
      <c r="J88" s="22">
        <f t="shared" si="26"/>
        <v>1285.2799078321859</v>
      </c>
      <c r="K88" s="22">
        <f t="shared" si="27"/>
        <v>1429.2312575093908</v>
      </c>
      <c r="L88" s="22">
        <f t="shared" si="28"/>
        <v>143.95134967720483</v>
      </c>
      <c r="M88" s="22">
        <f t="shared" si="33"/>
        <v>46.450015869055207</v>
      </c>
      <c r="N88" s="22">
        <f t="shared" si="33"/>
        <v>30.013856407697208</v>
      </c>
      <c r="O88" s="22">
        <f t="shared" si="33"/>
        <v>137.92081634965621</v>
      </c>
      <c r="P88" s="22">
        <f t="shared" si="33"/>
        <v>85.753875450563442</v>
      </c>
      <c r="Q88" s="22">
        <f t="shared" si="29"/>
        <v>444.08991375417691</v>
      </c>
      <c r="R88" s="22">
        <f>'Rateio Custos Fixos'!F87</f>
        <v>1.0298670507797869</v>
      </c>
      <c r="S88" s="22">
        <f>'Rateio Custos Fixos'!G87</f>
        <v>3.2367250167364734</v>
      </c>
      <c r="T88" s="22">
        <f>'Rateio Custos Fixos'!H87</f>
        <v>4.413715931913373</v>
      </c>
      <c r="U88" s="22">
        <f>'Rateio Custos Fixos'!I87</f>
        <v>0.29424772879422484</v>
      </c>
      <c r="V88" s="22">
        <f>'Rateio Custos Fixos'!J87</f>
        <v>0.52964591182960474</v>
      </c>
      <c r="W88" s="22">
        <f>'Rateio Custos Fixos'!K87</f>
        <v>1.4418138710917017</v>
      </c>
      <c r="X88" s="22">
        <f>'Rateio Custos Fixos'!L87</f>
        <v>3.1190259252187831</v>
      </c>
      <c r="Y88" s="22">
        <f>'Rateio Custos Fixos'!M87</f>
        <v>1.0769466873868629</v>
      </c>
      <c r="Z88" s="22">
        <f>'Rateio Custos Fixos'!N87</f>
        <v>22.720632626574865</v>
      </c>
      <c r="AA88" s="22">
        <f>'Rateio Custos Fixos'!O87</f>
        <v>4.413715931913373</v>
      </c>
      <c r="AB88" s="22">
        <f>'Rateio Custos Fixos'!P87</f>
        <v>0.88274318638267446</v>
      </c>
      <c r="AC88" s="22">
        <f>'Rateio Custos Fixos'!Q87</f>
        <v>0.94256374964654033</v>
      </c>
      <c r="AD88" s="22">
        <f>'Rateio Custos Fixos'!R87</f>
        <v>0.58849545758844968</v>
      </c>
      <c r="AE88" s="22">
        <f>'Rateio Custos Fixos'!S87</f>
        <v>13.241147795740117</v>
      </c>
      <c r="AF88" s="22">
        <f>'Rateio Custos Fixos'!T87</f>
        <v>24.43227166497087</v>
      </c>
      <c r="AG88" s="22">
        <f>'Rateio Custos Fixos'!U87</f>
        <v>3.8252204743249227</v>
      </c>
      <c r="AH88" s="22">
        <f t="shared" si="30"/>
        <v>86.188779010892617</v>
      </c>
      <c r="AI88" s="22">
        <f t="shared" si="31"/>
        <v>1815.5586005972555</v>
      </c>
      <c r="AJ88" s="22">
        <f t="shared" si="32"/>
        <v>45.388965014931387</v>
      </c>
    </row>
    <row r="89" spans="1:36" ht="14.4" x14ac:dyDescent="0.3">
      <c r="A89">
        <f>'Lista de Compra'!A87</f>
        <v>84</v>
      </c>
      <c r="B89" t="str">
        <f>'Lista de Compra'!B87</f>
        <v>ELBOW 6" SCH40 LR 90° ASTM A-234 ASME B16.9</v>
      </c>
      <c r="C89">
        <f>'Lista de Compra'!C87</f>
        <v>72121000</v>
      </c>
      <c r="D89" s="98">
        <f>'Lista de Compra'!I87</f>
        <v>50</v>
      </c>
      <c r="E89" s="142">
        <f>'Lista de Compra'!L87</f>
        <v>5.5284737545526841E-3</v>
      </c>
      <c r="F89" s="139">
        <f>'Lista de Compra'!J87</f>
        <v>7.32</v>
      </c>
      <c r="G89" s="139">
        <f t="shared" si="24"/>
        <v>366</v>
      </c>
      <c r="H89" s="22">
        <f t="shared" si="25"/>
        <v>1881.2399999999998</v>
      </c>
      <c r="I89" s="143">
        <f>'Rateio Custos Fixos'!E88</f>
        <v>533.60828678942505</v>
      </c>
      <c r="J89" s="22">
        <f t="shared" si="26"/>
        <v>2414.8482867894249</v>
      </c>
      <c r="K89" s="22">
        <f t="shared" si="27"/>
        <v>2685.3112949098404</v>
      </c>
      <c r="L89" s="22">
        <f t="shared" si="28"/>
        <v>270.46300812041562</v>
      </c>
      <c r="M89" s="22">
        <f t="shared" si="33"/>
        <v>87.272617084569816</v>
      </c>
      <c r="N89" s="22">
        <f t="shared" si="33"/>
        <v>56.39153719310665</v>
      </c>
      <c r="O89" s="22">
        <f t="shared" si="33"/>
        <v>259.13253995879961</v>
      </c>
      <c r="P89" s="22">
        <f t="shared" si="33"/>
        <v>161.11867769459042</v>
      </c>
      <c r="Q89" s="22">
        <f t="shared" si="29"/>
        <v>834.37838005148205</v>
      </c>
      <c r="R89" s="22">
        <f>'Rateio Custos Fixos'!F88</f>
        <v>1.9349658140934394</v>
      </c>
      <c r="S89" s="22">
        <f>'Rateio Custos Fixos'!G88</f>
        <v>6.0813211300079528</v>
      </c>
      <c r="T89" s="22">
        <f>'Rateio Custos Fixos'!H88</f>
        <v>8.292710631829026</v>
      </c>
      <c r="U89" s="22">
        <f>'Rateio Custos Fixos'!I88</f>
        <v>0.55284737545526841</v>
      </c>
      <c r="V89" s="22">
        <f>'Rateio Custos Fixos'!J88</f>
        <v>0.99512527581948318</v>
      </c>
      <c r="W89" s="22">
        <f>'Rateio Custos Fixos'!K88</f>
        <v>2.7089521397308154</v>
      </c>
      <c r="X89" s="22">
        <f>'Rateio Custos Fixos'!L88</f>
        <v>5.8601821798258449</v>
      </c>
      <c r="Y89" s="22">
        <f>'Rateio Custos Fixos'!M88</f>
        <v>2.0234213941662822</v>
      </c>
      <c r="Z89" s="22">
        <f>'Rateio Custos Fixos'!N88</f>
        <v>42.688662943154007</v>
      </c>
      <c r="AA89" s="22">
        <f>'Rateio Custos Fixos'!O88</f>
        <v>8.292710631829026</v>
      </c>
      <c r="AB89" s="22">
        <f>'Rateio Custos Fixos'!P88</f>
        <v>1.6585421263658053</v>
      </c>
      <c r="AC89" s="22">
        <f>'Rateio Custos Fixos'!Q88</f>
        <v>1.7709359977958612</v>
      </c>
      <c r="AD89" s="22">
        <f>'Rateio Custos Fixos'!R88</f>
        <v>1.1056947509105368</v>
      </c>
      <c r="AE89" s="22">
        <f>'Rateio Custos Fixos'!S88</f>
        <v>24.87813189548708</v>
      </c>
      <c r="AF89" s="22">
        <f>'Rateio Custos Fixos'!T88</f>
        <v>45.904576126177297</v>
      </c>
      <c r="AG89" s="22">
        <f>'Rateio Custos Fixos'!U88</f>
        <v>7.187015880918489</v>
      </c>
      <c r="AH89" s="22">
        <f t="shared" si="30"/>
        <v>161.9357962935662</v>
      </c>
      <c r="AI89" s="22">
        <f t="shared" si="31"/>
        <v>3411.162463134473</v>
      </c>
      <c r="AJ89" s="22">
        <f t="shared" si="32"/>
        <v>68.223249262689464</v>
      </c>
    </row>
    <row r="90" spans="1:36" ht="14.4" x14ac:dyDescent="0.3">
      <c r="A90">
        <f>'Lista de Compra'!A88</f>
        <v>85</v>
      </c>
      <c r="B90" t="str">
        <f>'Lista de Compra'!B88</f>
        <v>FLANGE 1" 150LBS LISO ASTM A105 GR WPB B16.5 RF</v>
      </c>
      <c r="C90">
        <f>'Lista de Compra'!C88</f>
        <v>72121000</v>
      </c>
      <c r="D90" s="98">
        <f>'Lista de Compra'!I88</f>
        <v>40</v>
      </c>
      <c r="E90" s="142">
        <f>'Lista de Compra'!L88</f>
        <v>5.9816273409914287E-4</v>
      </c>
      <c r="F90" s="139">
        <f>'Lista de Compra'!J88</f>
        <v>0.99</v>
      </c>
      <c r="G90" s="139">
        <f t="shared" si="24"/>
        <v>39.6</v>
      </c>
      <c r="H90" s="22">
        <f t="shared" si="25"/>
        <v>203.54399999999998</v>
      </c>
      <c r="I90" s="143">
        <f>'Rateio Custos Fixos'!E89</f>
        <v>57.734667095249272</v>
      </c>
      <c r="J90" s="22">
        <f t="shared" si="26"/>
        <v>261.27866709524926</v>
      </c>
      <c r="K90" s="22">
        <f t="shared" si="27"/>
        <v>290.5418778099172</v>
      </c>
      <c r="L90" s="22">
        <f t="shared" si="28"/>
        <v>29.263210714667917</v>
      </c>
      <c r="M90" s="22">
        <f t="shared" si="33"/>
        <v>9.4426110288223093</v>
      </c>
      <c r="N90" s="22">
        <f t="shared" si="33"/>
        <v>6.1013794340082619</v>
      </c>
      <c r="O90" s="22">
        <f t="shared" si="33"/>
        <v>28.03729120865701</v>
      </c>
      <c r="P90" s="22">
        <f t="shared" si="33"/>
        <v>17.432512668595031</v>
      </c>
      <c r="Q90" s="22">
        <f t="shared" si="29"/>
        <v>90.277005054750532</v>
      </c>
      <c r="R90" s="22">
        <f>'Rateio Custos Fixos'!F89</f>
        <v>0.20935695693469999</v>
      </c>
      <c r="S90" s="22">
        <f>'Rateio Custos Fixos'!G89</f>
        <v>0.65797900750905713</v>
      </c>
      <c r="T90" s="22">
        <f>'Rateio Custos Fixos'!H89</f>
        <v>0.89724410114871433</v>
      </c>
      <c r="U90" s="22">
        <f>'Rateio Custos Fixos'!I89</f>
        <v>5.9816273409914286E-2</v>
      </c>
      <c r="V90" s="22">
        <f>'Rateio Custos Fixos'!J89</f>
        <v>0.10766929213784572</v>
      </c>
      <c r="W90" s="22">
        <f>'Rateio Custos Fixos'!K89</f>
        <v>0.29309973970858</v>
      </c>
      <c r="X90" s="22">
        <f>'Rateio Custos Fixos'!L89</f>
        <v>0.63405249814509146</v>
      </c>
      <c r="Y90" s="22">
        <f>'Rateio Custos Fixos'!M89</f>
        <v>0.21892756068028629</v>
      </c>
      <c r="Z90" s="22">
        <f>'Rateio Custos Fixos'!N89</f>
        <v>4.6187733676199416</v>
      </c>
      <c r="AA90" s="22">
        <f>'Rateio Custos Fixos'!O89</f>
        <v>0.89724410114871433</v>
      </c>
      <c r="AB90" s="22">
        <f>'Rateio Custos Fixos'!P89</f>
        <v>0.17944882022974287</v>
      </c>
      <c r="AC90" s="22">
        <f>'Rateio Custos Fixos'!Q89</f>
        <v>0.19160946861397843</v>
      </c>
      <c r="AD90" s="22">
        <f>'Rateio Custos Fixos'!R89</f>
        <v>0.11963254681982857</v>
      </c>
      <c r="AE90" s="22">
        <f>'Rateio Custos Fixos'!S89</f>
        <v>2.6917323034461429</v>
      </c>
      <c r="AF90" s="22">
        <f>'Rateio Custos Fixos'!T89</f>
        <v>4.9667246300454124</v>
      </c>
      <c r="AG90" s="22">
        <f>'Rateio Custos Fixos'!U89</f>
        <v>0.77761155432888573</v>
      </c>
      <c r="AH90" s="22">
        <f t="shared" si="30"/>
        <v>17.520922221926835</v>
      </c>
      <c r="AI90" s="22">
        <f t="shared" si="31"/>
        <v>369.0765943719266</v>
      </c>
      <c r="AJ90" s="22">
        <f t="shared" si="32"/>
        <v>9.2269148592981658</v>
      </c>
    </row>
    <row r="91" spans="1:36" ht="14.4" x14ac:dyDescent="0.3">
      <c r="A91">
        <f>'Lista de Compra'!A89</f>
        <v>86</v>
      </c>
      <c r="B91" t="str">
        <f>'Lista de Compra'!B89</f>
        <v>FLANGE 1" 300LBS LISO ASTM A105 GR WPB B16.5 RF</v>
      </c>
      <c r="C91">
        <f>'Lista de Compra'!C89</f>
        <v>72121000</v>
      </c>
      <c r="D91" s="98">
        <f>'Lista de Compra'!I89</f>
        <v>40</v>
      </c>
      <c r="E91" s="142">
        <f>'Lista de Compra'!L89</f>
        <v>9.5464355543095538E-4</v>
      </c>
      <c r="F91" s="139">
        <f>'Lista de Compra'!J89</f>
        <v>1.58</v>
      </c>
      <c r="G91" s="139">
        <f t="shared" si="24"/>
        <v>63.2</v>
      </c>
      <c r="H91" s="22">
        <f t="shared" si="25"/>
        <v>324.84800000000001</v>
      </c>
      <c r="I91" s="143">
        <f>'Rateio Custos Fixos'!E90</f>
        <v>92.142195970195814</v>
      </c>
      <c r="J91" s="22">
        <f t="shared" si="26"/>
        <v>416.99019597019583</v>
      </c>
      <c r="K91" s="22">
        <f t="shared" si="27"/>
        <v>463.69309791885775</v>
      </c>
      <c r="L91" s="22">
        <f t="shared" si="28"/>
        <v>46.702901948661932</v>
      </c>
      <c r="M91" s="22">
        <f t="shared" si="33"/>
        <v>15.070025682362877</v>
      </c>
      <c r="N91" s="22">
        <f t="shared" si="33"/>
        <v>9.7375550562960136</v>
      </c>
      <c r="O91" s="22">
        <f t="shared" si="33"/>
        <v>44.746383949169775</v>
      </c>
      <c r="P91" s="22">
        <f t="shared" si="33"/>
        <v>27.821585875131465</v>
      </c>
      <c r="Q91" s="22">
        <f t="shared" si="29"/>
        <v>144.07845251162206</v>
      </c>
      <c r="R91" s="22">
        <f>'Rateio Custos Fixos'!F90</f>
        <v>0.33412524440083441</v>
      </c>
      <c r="S91" s="22">
        <f>'Rateio Custos Fixos'!G90</f>
        <v>1.050107910974051</v>
      </c>
      <c r="T91" s="22">
        <f>'Rateio Custos Fixos'!H90</f>
        <v>1.431965333146433</v>
      </c>
      <c r="U91" s="22">
        <f>'Rateio Custos Fixos'!I90</f>
        <v>9.5464355543095542E-2</v>
      </c>
      <c r="V91" s="22">
        <f>'Rateio Custos Fixos'!J90</f>
        <v>0.17183583997757196</v>
      </c>
      <c r="W91" s="22">
        <f>'Rateio Custos Fixos'!K90</f>
        <v>0.46777534216116812</v>
      </c>
      <c r="X91" s="22">
        <f>'Rateio Custos Fixos'!L90</f>
        <v>1.0119221687568127</v>
      </c>
      <c r="Y91" s="22">
        <f>'Rateio Custos Fixos'!M90</f>
        <v>0.34939954128772965</v>
      </c>
      <c r="Z91" s="22">
        <f>'Rateio Custos Fixos'!N90</f>
        <v>7.3713756776156654</v>
      </c>
      <c r="AA91" s="22">
        <f>'Rateio Custos Fixos'!O90</f>
        <v>1.431965333146433</v>
      </c>
      <c r="AB91" s="22">
        <f>'Rateio Custos Fixos'!P90</f>
        <v>0.2863930666292866</v>
      </c>
      <c r="AC91" s="22">
        <f>'Rateio Custos Fixos'!Q90</f>
        <v>0.30580097011119795</v>
      </c>
      <c r="AD91" s="22">
        <f>'Rateio Custos Fixos'!R90</f>
        <v>0.19092871108619108</v>
      </c>
      <c r="AE91" s="22">
        <f>'Rateio Custos Fixos'!S90</f>
        <v>4.2958959994392991</v>
      </c>
      <c r="AF91" s="22">
        <f>'Rateio Custos Fixos'!T90</f>
        <v>7.9266918338098513</v>
      </c>
      <c r="AG91" s="22">
        <f>'Rateio Custos Fixos'!U90</f>
        <v>1.241036622060242</v>
      </c>
      <c r="AH91" s="22">
        <f t="shared" si="30"/>
        <v>27.962683950145863</v>
      </c>
      <c r="AI91" s="22">
        <f t="shared" si="31"/>
        <v>589.03133243196385</v>
      </c>
      <c r="AJ91" s="22">
        <f t="shared" si="32"/>
        <v>14.725783310799097</v>
      </c>
    </row>
    <row r="92" spans="1:36" ht="14.4" x14ac:dyDescent="0.3">
      <c r="A92">
        <f>'Lista de Compra'!A90</f>
        <v>87</v>
      </c>
      <c r="B92" t="str">
        <f>'Lista de Compra'!B90</f>
        <v>FLANGE 1.1/2" 150LBS LISO ASTM A105 GR WPB B16.5</v>
      </c>
      <c r="C92">
        <f>'Lista de Compra'!C90</f>
        <v>72121000</v>
      </c>
      <c r="D92" s="98">
        <f>'Lista de Compra'!I90</f>
        <v>100</v>
      </c>
      <c r="E92" s="142">
        <f>'Lista de Compra'!L90</f>
        <v>2.2355576930978066E-3</v>
      </c>
      <c r="F92" s="139">
        <f>'Lista de Compra'!J90</f>
        <v>1.48</v>
      </c>
      <c r="G92" s="139">
        <f t="shared" si="24"/>
        <v>148</v>
      </c>
      <c r="H92" s="22">
        <f t="shared" si="25"/>
        <v>760.71999999999991</v>
      </c>
      <c r="I92" s="143">
        <f>'Rateio Custos Fixos'!E91</f>
        <v>215.7760285378003</v>
      </c>
      <c r="J92" s="22">
        <f t="shared" si="26"/>
        <v>976.49602853780016</v>
      </c>
      <c r="K92" s="22">
        <f t="shared" si="27"/>
        <v>1085.8635837340337</v>
      </c>
      <c r="L92" s="22">
        <f t="shared" si="28"/>
        <v>109.36755519623362</v>
      </c>
      <c r="M92" s="22">
        <f t="shared" si="33"/>
        <v>35.290566471356094</v>
      </c>
      <c r="N92" s="22">
        <f t="shared" si="33"/>
        <v>22.803135258414709</v>
      </c>
      <c r="O92" s="22">
        <f t="shared" si="33"/>
        <v>104.78583583033425</v>
      </c>
      <c r="P92" s="22">
        <f t="shared" si="33"/>
        <v>65.151815024042023</v>
      </c>
      <c r="Q92" s="22">
        <f t="shared" si="29"/>
        <v>337.39890778038068</v>
      </c>
      <c r="R92" s="22">
        <f>'Rateio Custos Fixos'!F91</f>
        <v>0.78244519258423229</v>
      </c>
      <c r="S92" s="22">
        <f>'Rateio Custos Fixos'!G91</f>
        <v>2.4591134624075872</v>
      </c>
      <c r="T92" s="22">
        <f>'Rateio Custos Fixos'!H91</f>
        <v>3.3533365396467101</v>
      </c>
      <c r="U92" s="22">
        <f>'Rateio Custos Fixos'!I91</f>
        <v>0.22355576930978066</v>
      </c>
      <c r="V92" s="22">
        <f>'Rateio Custos Fixos'!J91</f>
        <v>0.4024003847576052</v>
      </c>
      <c r="W92" s="22">
        <f>'Rateio Custos Fixos'!K91</f>
        <v>1.0954232696179251</v>
      </c>
      <c r="X92" s="22">
        <f>'Rateio Custos Fixos'!L91</f>
        <v>2.3696911546836747</v>
      </c>
      <c r="Y92" s="22">
        <f>'Rateio Custos Fixos'!M91</f>
        <v>0.8182141156737972</v>
      </c>
      <c r="Z92" s="22">
        <f>'Rateio Custos Fixos'!N91</f>
        <v>17.262082283024025</v>
      </c>
      <c r="AA92" s="22">
        <f>'Rateio Custos Fixos'!O91</f>
        <v>3.3533365396467101</v>
      </c>
      <c r="AB92" s="22">
        <f>'Rateio Custos Fixos'!P91</f>
        <v>0.67066730792934193</v>
      </c>
      <c r="AC92" s="22">
        <f>'Rateio Custos Fixos'!Q91</f>
        <v>0.7161161958300204</v>
      </c>
      <c r="AD92" s="22">
        <f>'Rateio Custos Fixos'!R91</f>
        <v>0.44711153861956132</v>
      </c>
      <c r="AE92" s="22">
        <f>'Rateio Custos Fixos'!S91</f>
        <v>10.06000961894013</v>
      </c>
      <c r="AF92" s="22">
        <f>'Rateio Custos Fixos'!T91</f>
        <v>18.562506193099015</v>
      </c>
      <c r="AG92" s="22">
        <f>'Rateio Custos Fixos'!U91</f>
        <v>2.9062250010271486</v>
      </c>
      <c r="AH92" s="22">
        <f t="shared" si="30"/>
        <v>65.48223456679726</v>
      </c>
      <c r="AI92" s="22">
        <f t="shared" si="31"/>
        <v>1379.3771708849781</v>
      </c>
      <c r="AJ92" s="22">
        <f t="shared" si="32"/>
        <v>13.793771708849782</v>
      </c>
    </row>
    <row r="93" spans="1:36" ht="14.4" x14ac:dyDescent="0.3">
      <c r="A93">
        <f>'Lista de Compra'!A91</f>
        <v>88</v>
      </c>
      <c r="B93" t="str">
        <f>'Lista de Compra'!B91</f>
        <v>FLANGE 1.1/2" 300LBS LISO ASTM A105 GR WPB B16.5 RF</v>
      </c>
      <c r="C93">
        <f>'Lista de Compra'!C91</f>
        <v>72121000</v>
      </c>
      <c r="D93" s="98">
        <f>'Lista de Compra'!I91</f>
        <v>30</v>
      </c>
      <c r="E93" s="142">
        <f>'Lista de Compra'!L91</f>
        <v>1.250703898570935E-3</v>
      </c>
      <c r="F93" s="139">
        <f>'Lista de Compra'!J91</f>
        <v>2.76</v>
      </c>
      <c r="G93" s="139">
        <f t="shared" si="24"/>
        <v>82.8</v>
      </c>
      <c r="H93" s="22">
        <f t="shared" si="25"/>
        <v>425.59199999999998</v>
      </c>
      <c r="I93" s="143">
        <f>'Rateio Custos Fixos'!E92</f>
        <v>120.71794029006665</v>
      </c>
      <c r="J93" s="22">
        <f t="shared" si="26"/>
        <v>546.30994029006661</v>
      </c>
      <c r="K93" s="22">
        <f t="shared" si="27"/>
        <v>607.49665360255403</v>
      </c>
      <c r="L93" s="22">
        <f t="shared" si="28"/>
        <v>61.186713312487463</v>
      </c>
      <c r="M93" s="22">
        <f t="shared" si="33"/>
        <v>19.743641242083008</v>
      </c>
      <c r="N93" s="22">
        <f t="shared" si="33"/>
        <v>12.757429725653635</v>
      </c>
      <c r="O93" s="22">
        <f t="shared" si="33"/>
        <v>58.623427072646464</v>
      </c>
      <c r="P93" s="22">
        <f t="shared" si="33"/>
        <v>36.449799216153238</v>
      </c>
      <c r="Q93" s="22">
        <f t="shared" si="29"/>
        <v>188.76101056902382</v>
      </c>
      <c r="R93" s="22">
        <f>'Rateio Custos Fixos'!F92</f>
        <v>0.43774636449982729</v>
      </c>
      <c r="S93" s="22">
        <f>'Rateio Custos Fixos'!G92</f>
        <v>1.3757742884280286</v>
      </c>
      <c r="T93" s="22">
        <f>'Rateio Custos Fixos'!H92</f>
        <v>1.8760558478564024</v>
      </c>
      <c r="U93" s="22">
        <f>'Rateio Custos Fixos'!I92</f>
        <v>0.12507038985709351</v>
      </c>
      <c r="V93" s="22">
        <f>'Rateio Custos Fixos'!J92</f>
        <v>0.2251267017427683</v>
      </c>
      <c r="W93" s="22">
        <f>'Rateio Custos Fixos'!K92</f>
        <v>0.61284491029975818</v>
      </c>
      <c r="X93" s="22">
        <f>'Rateio Custos Fixos'!L92</f>
        <v>1.3257461324851911</v>
      </c>
      <c r="Y93" s="22">
        <f>'Rateio Custos Fixos'!M92</f>
        <v>0.4577576268769622</v>
      </c>
      <c r="Z93" s="22">
        <f>'Rateio Custos Fixos'!N92</f>
        <v>9.6574352232053329</v>
      </c>
      <c r="AA93" s="22">
        <f>'Rateio Custos Fixos'!O92</f>
        <v>1.8760558478564024</v>
      </c>
      <c r="AB93" s="22">
        <f>'Rateio Custos Fixos'!P92</f>
        <v>0.37521116957128053</v>
      </c>
      <c r="AC93" s="22">
        <f>'Rateio Custos Fixos'!Q92</f>
        <v>0.40063797982922761</v>
      </c>
      <c r="AD93" s="22">
        <f>'Rateio Custos Fixos'!R92</f>
        <v>0.25014077971418702</v>
      </c>
      <c r="AE93" s="22">
        <f>'Rateio Custos Fixos'!S92</f>
        <v>5.6281675435692078</v>
      </c>
      <c r="AF93" s="22">
        <f>'Rateio Custos Fixos'!T92</f>
        <v>10.384969681004044</v>
      </c>
      <c r="AG93" s="22">
        <f>'Rateio Custos Fixos'!U92</f>
        <v>1.6259150681422156</v>
      </c>
      <c r="AH93" s="22">
        <f t="shared" si="30"/>
        <v>36.634655554937929</v>
      </c>
      <c r="AI93" s="22">
        <f t="shared" si="31"/>
        <v>771.70560641402835</v>
      </c>
      <c r="AJ93" s="22">
        <f t="shared" si="32"/>
        <v>25.723520213800946</v>
      </c>
    </row>
    <row r="94" spans="1:36" ht="14.4" x14ac:dyDescent="0.3">
      <c r="A94">
        <f>'Lista de Compra'!A92</f>
        <v>89</v>
      </c>
      <c r="B94" t="str">
        <f>'Lista de Compra'!B92</f>
        <v>FLANGE 1.1/4" 150LBS LISO ASTM A105 GR WPB B16.5 RF</v>
      </c>
      <c r="C94">
        <f>'Lista de Compra'!C92</f>
        <v>72121000</v>
      </c>
      <c r="D94" s="98">
        <f>'Lista de Compra'!I92</f>
        <v>30</v>
      </c>
      <c r="E94" s="142">
        <f>'Lista de Compra'!L92</f>
        <v>6.2535194928546752E-4</v>
      </c>
      <c r="F94" s="139">
        <f>'Lista de Compra'!J92</f>
        <v>1.38</v>
      </c>
      <c r="G94" s="139">
        <f t="shared" si="24"/>
        <v>41.4</v>
      </c>
      <c r="H94" s="22">
        <f t="shared" si="25"/>
        <v>212.79599999999999</v>
      </c>
      <c r="I94" s="143">
        <f>'Rateio Custos Fixos'!E93</f>
        <v>60.358970145033325</v>
      </c>
      <c r="J94" s="22">
        <f t="shared" si="26"/>
        <v>273.1549701450333</v>
      </c>
      <c r="K94" s="22">
        <f t="shared" si="27"/>
        <v>303.74832680127702</v>
      </c>
      <c r="L94" s="22">
        <f t="shared" si="28"/>
        <v>30.593356656243731</v>
      </c>
      <c r="M94" s="22">
        <f t="shared" si="33"/>
        <v>9.871820621041504</v>
      </c>
      <c r="N94" s="22">
        <f t="shared" si="33"/>
        <v>6.3787148628268175</v>
      </c>
      <c r="O94" s="22">
        <f t="shared" si="33"/>
        <v>29.311713536323232</v>
      </c>
      <c r="P94" s="22">
        <f t="shared" si="33"/>
        <v>18.224899608076619</v>
      </c>
      <c r="Q94" s="22">
        <f t="shared" si="29"/>
        <v>94.380505284511912</v>
      </c>
      <c r="R94" s="22">
        <f>'Rateio Custos Fixos'!F93</f>
        <v>0.21887318224991364</v>
      </c>
      <c r="S94" s="22">
        <f>'Rateio Custos Fixos'!G93</f>
        <v>0.68788714421401431</v>
      </c>
      <c r="T94" s="22">
        <f>'Rateio Custos Fixos'!H93</f>
        <v>0.93802792392820122</v>
      </c>
      <c r="U94" s="22">
        <f>'Rateio Custos Fixos'!I93</f>
        <v>6.2535194928546756E-2</v>
      </c>
      <c r="V94" s="22">
        <f>'Rateio Custos Fixos'!J93</f>
        <v>0.11256335087138415</v>
      </c>
      <c r="W94" s="22">
        <f>'Rateio Custos Fixos'!K93</f>
        <v>0.30642245514987909</v>
      </c>
      <c r="X94" s="22">
        <f>'Rateio Custos Fixos'!L93</f>
        <v>0.66287306624259557</v>
      </c>
      <c r="Y94" s="22">
        <f>'Rateio Custos Fixos'!M93</f>
        <v>0.2288788134384811</v>
      </c>
      <c r="Z94" s="22">
        <f>'Rateio Custos Fixos'!N93</f>
        <v>4.8287176116026664</v>
      </c>
      <c r="AA94" s="22">
        <f>'Rateio Custos Fixos'!O93</f>
        <v>0.93802792392820122</v>
      </c>
      <c r="AB94" s="22">
        <f>'Rateio Custos Fixos'!P93</f>
        <v>0.18760558478564027</v>
      </c>
      <c r="AC94" s="22">
        <f>'Rateio Custos Fixos'!Q93</f>
        <v>0.2003189899146138</v>
      </c>
      <c r="AD94" s="22">
        <f>'Rateio Custos Fixos'!R93</f>
        <v>0.12507038985709351</v>
      </c>
      <c r="AE94" s="22">
        <f>'Rateio Custos Fixos'!S93</f>
        <v>2.8140837717846039</v>
      </c>
      <c r="AF94" s="22">
        <f>'Rateio Custos Fixos'!T93</f>
        <v>5.1924848405020221</v>
      </c>
      <c r="AG94" s="22">
        <f>'Rateio Custos Fixos'!U93</f>
        <v>0.81295753407110782</v>
      </c>
      <c r="AH94" s="22">
        <f t="shared" si="30"/>
        <v>18.317327777468964</v>
      </c>
      <c r="AI94" s="22">
        <f t="shared" si="31"/>
        <v>385.85280320701418</v>
      </c>
      <c r="AJ94" s="22">
        <f t="shared" si="32"/>
        <v>12.861760106900473</v>
      </c>
    </row>
    <row r="95" spans="1:36" ht="14.4" x14ac:dyDescent="0.3">
      <c r="A95">
        <f>'Lista de Compra'!A93</f>
        <v>90</v>
      </c>
      <c r="B95" t="str">
        <f>'Lista de Compra'!B93</f>
        <v>FLANGE 2" 150LBS LISO ASTM A105 GR WPB B16.5 RF</v>
      </c>
      <c r="C95">
        <f>'Lista de Compra'!C93</f>
        <v>72121000</v>
      </c>
      <c r="D95" s="98">
        <f>'Lista de Compra'!I93</f>
        <v>250</v>
      </c>
      <c r="E95" s="142">
        <f>'Lista de Compra'!L93</f>
        <v>7.4392713773693908E-3</v>
      </c>
      <c r="F95" s="139">
        <f>'Lista de Compra'!J93</f>
        <v>1.97</v>
      </c>
      <c r="G95" s="139">
        <f t="shared" si="24"/>
        <v>492.5</v>
      </c>
      <c r="H95" s="22">
        <f t="shared" si="25"/>
        <v>2531.4499999999998</v>
      </c>
      <c r="I95" s="143">
        <f>'Rateio Custos Fixos'!E94</f>
        <v>718.03847334369357</v>
      </c>
      <c r="J95" s="22">
        <f t="shared" si="26"/>
        <v>3249.4884733436934</v>
      </c>
      <c r="K95" s="22">
        <f t="shared" si="27"/>
        <v>3613.431182358187</v>
      </c>
      <c r="L95" s="22">
        <f t="shared" si="28"/>
        <v>363.94270901449369</v>
      </c>
      <c r="M95" s="22">
        <f t="shared" si="33"/>
        <v>117.43651342664108</v>
      </c>
      <c r="N95" s="22">
        <f t="shared" si="33"/>
        <v>75.882054829521934</v>
      </c>
      <c r="O95" s="22">
        <f t="shared" si="33"/>
        <v>348.69610909756506</v>
      </c>
      <c r="P95" s="22">
        <f t="shared" si="33"/>
        <v>216.80587094149121</v>
      </c>
      <c r="Q95" s="22">
        <f t="shared" si="29"/>
        <v>1122.763257309713</v>
      </c>
      <c r="R95" s="22">
        <f>'Rateio Custos Fixos'!F94</f>
        <v>2.6037449820792866</v>
      </c>
      <c r="S95" s="22">
        <f>'Rateio Custos Fixos'!G94</f>
        <v>8.18319851510633</v>
      </c>
      <c r="T95" s="22">
        <f>'Rateio Custos Fixos'!H94</f>
        <v>11.158907066054086</v>
      </c>
      <c r="U95" s="22">
        <f>'Rateio Custos Fixos'!I94</f>
        <v>0.74392713773693908</v>
      </c>
      <c r="V95" s="22">
        <f>'Rateio Custos Fixos'!J94</f>
        <v>1.3390688479264903</v>
      </c>
      <c r="W95" s="22">
        <f>'Rateio Custos Fixos'!K94</f>
        <v>3.6452429749110014</v>
      </c>
      <c r="X95" s="22">
        <f>'Rateio Custos Fixos'!L94</f>
        <v>7.8856276600115542</v>
      </c>
      <c r="Y95" s="22">
        <f>'Rateio Custos Fixos'!M94</f>
        <v>2.7227733241171972</v>
      </c>
      <c r="Z95" s="22">
        <f>'Rateio Custos Fixos'!N94</f>
        <v>57.443077867495489</v>
      </c>
      <c r="AA95" s="22">
        <f>'Rateio Custos Fixos'!O94</f>
        <v>11.158907066054086</v>
      </c>
      <c r="AB95" s="22">
        <f>'Rateio Custos Fixos'!P94</f>
        <v>2.2317814132108174</v>
      </c>
      <c r="AC95" s="22">
        <f>'Rateio Custos Fixos'!Q94</f>
        <v>2.3830218003127368</v>
      </c>
      <c r="AD95" s="22">
        <f>'Rateio Custos Fixos'!R94</f>
        <v>1.4878542754738782</v>
      </c>
      <c r="AE95" s="22">
        <f>'Rateio Custos Fixos'!S94</f>
        <v>33.476721198162259</v>
      </c>
      <c r="AF95" s="22">
        <f>'Rateio Custos Fixos'!T94</f>
        <v>61.77050202771126</v>
      </c>
      <c r="AG95" s="22">
        <f>'Rateio Custos Fixos'!U94</f>
        <v>9.6710527905802088</v>
      </c>
      <c r="AH95" s="22">
        <f t="shared" si="30"/>
        <v>217.9054089469436</v>
      </c>
      <c r="AI95" s="22">
        <f t="shared" si="31"/>
        <v>4590.1571396003501</v>
      </c>
      <c r="AJ95" s="22">
        <f t="shared" si="32"/>
        <v>18.360628558401402</v>
      </c>
    </row>
    <row r="96" spans="1:36" ht="14.4" x14ac:dyDescent="0.3">
      <c r="A96">
        <f>'Lista de Compra'!A94</f>
        <v>91</v>
      </c>
      <c r="B96" t="str">
        <f>'Lista de Compra'!B94</f>
        <v>FLANGE 2" 300LBS LISO ASTM A105 GR WPB B16.5 RF</v>
      </c>
      <c r="C96">
        <f>'Lista de Compra'!C94</f>
        <v>72121000</v>
      </c>
      <c r="D96" s="98">
        <f>'Lista de Compra'!I94</f>
        <v>80</v>
      </c>
      <c r="E96" s="142">
        <f>'Lista de Compra'!L94</f>
        <v>3.8064901260854546E-3</v>
      </c>
      <c r="F96" s="139">
        <f>'Lista de Compra'!J94</f>
        <v>3.15</v>
      </c>
      <c r="G96" s="139">
        <f t="shared" si="24"/>
        <v>252</v>
      </c>
      <c r="H96" s="22">
        <f t="shared" si="25"/>
        <v>1295.28</v>
      </c>
      <c r="I96" s="143">
        <f>'Rateio Custos Fixos'!E95</f>
        <v>367.4024269697681</v>
      </c>
      <c r="J96" s="22">
        <f t="shared" si="26"/>
        <v>1662.6824269697681</v>
      </c>
      <c r="K96" s="22">
        <f t="shared" si="27"/>
        <v>1848.9028587903822</v>
      </c>
      <c r="L96" s="22">
        <f t="shared" si="28"/>
        <v>186.22043182061404</v>
      </c>
      <c r="M96" s="22">
        <f t="shared" si="33"/>
        <v>60.089342910687421</v>
      </c>
      <c r="N96" s="22">
        <f t="shared" si="33"/>
        <v>38.826960034598031</v>
      </c>
      <c r="O96" s="22">
        <f t="shared" si="33"/>
        <v>178.41912587327189</v>
      </c>
      <c r="P96" s="22">
        <f t="shared" si="33"/>
        <v>110.93417152742293</v>
      </c>
      <c r="Q96" s="22">
        <f t="shared" si="29"/>
        <v>574.49003216659423</v>
      </c>
      <c r="R96" s="22">
        <f>'Rateio Custos Fixos'!F95</f>
        <v>1.3322715441299091</v>
      </c>
      <c r="S96" s="22">
        <f>'Rateio Custos Fixos'!G95</f>
        <v>4.1871391386940005</v>
      </c>
      <c r="T96" s="22">
        <f>'Rateio Custos Fixos'!H95</f>
        <v>5.7097351891281818</v>
      </c>
      <c r="U96" s="22">
        <f>'Rateio Custos Fixos'!I95</f>
        <v>0.38064901260854545</v>
      </c>
      <c r="V96" s="22">
        <f>'Rateio Custos Fixos'!J95</f>
        <v>0.6851682226953818</v>
      </c>
      <c r="W96" s="22">
        <f>'Rateio Custos Fixos'!K95</f>
        <v>1.8651801617818728</v>
      </c>
      <c r="X96" s="22">
        <f>'Rateio Custos Fixos'!L95</f>
        <v>4.0348795336505816</v>
      </c>
      <c r="Y96" s="22">
        <f>'Rateio Custos Fixos'!M95</f>
        <v>1.3931753861472764</v>
      </c>
      <c r="Z96" s="22">
        <f>'Rateio Custos Fixos'!N95</f>
        <v>29.39219415758145</v>
      </c>
      <c r="AA96" s="22">
        <f>'Rateio Custos Fixos'!O95</f>
        <v>5.7097351891281818</v>
      </c>
      <c r="AB96" s="22">
        <f>'Rateio Custos Fixos'!P95</f>
        <v>1.1419470378256364</v>
      </c>
      <c r="AC96" s="22">
        <f>'Rateio Custos Fixos'!Q95</f>
        <v>1.2193329820889536</v>
      </c>
      <c r="AD96" s="22">
        <f>'Rateio Custos Fixos'!R95</f>
        <v>0.76129802521709089</v>
      </c>
      <c r="AE96" s="22">
        <f>'Rateio Custos Fixos'!S95</f>
        <v>17.129205567384545</v>
      </c>
      <c r="AF96" s="22">
        <f>'Rateio Custos Fixos'!T95</f>
        <v>31.606429463925352</v>
      </c>
      <c r="AG96" s="22">
        <f>'Rateio Custos Fixos'!U95</f>
        <v>4.9484371639110911</v>
      </c>
      <c r="AH96" s="22">
        <f t="shared" si="30"/>
        <v>111.49677777589807</v>
      </c>
      <c r="AI96" s="22">
        <f t="shared" si="31"/>
        <v>2348.6692369122602</v>
      </c>
      <c r="AJ96" s="22">
        <f t="shared" si="32"/>
        <v>29.358365461403253</v>
      </c>
    </row>
    <row r="97" spans="1:36" ht="14.4" x14ac:dyDescent="0.3">
      <c r="A97">
        <f>'Lista de Compra'!A95</f>
        <v>92</v>
      </c>
      <c r="B97" t="str">
        <f>'Lista de Compra'!B95</f>
        <v>FLANGE 2.1/2" 150LBS LISO ASTM A105 GR WPB B16.5 RF</v>
      </c>
      <c r="C97">
        <f>'Lista de Compra'!C95</f>
        <v>72121000</v>
      </c>
      <c r="D97" s="98">
        <f>'Lista de Compra'!I95</f>
        <v>50</v>
      </c>
      <c r="E97" s="142">
        <f>'Lista de Compra'!L95</f>
        <v>2.379056328803409E-3</v>
      </c>
      <c r="F97" s="139">
        <f>'Lista de Compra'!J95</f>
        <v>3.15</v>
      </c>
      <c r="G97" s="139">
        <f t="shared" si="24"/>
        <v>157.5</v>
      </c>
      <c r="H97" s="22">
        <f t="shared" si="25"/>
        <v>809.55</v>
      </c>
      <c r="I97" s="143">
        <f>'Rateio Custos Fixos'!E96</f>
        <v>229.62651685610504</v>
      </c>
      <c r="J97" s="22">
        <f t="shared" si="26"/>
        <v>1039.1765168561051</v>
      </c>
      <c r="K97" s="22">
        <f t="shared" si="27"/>
        <v>1155.5642867439888</v>
      </c>
      <c r="L97" s="22">
        <f t="shared" si="28"/>
        <v>116.38776988788378</v>
      </c>
      <c r="M97" s="22">
        <f t="shared" si="33"/>
        <v>37.555839319179633</v>
      </c>
      <c r="N97" s="22">
        <f t="shared" si="33"/>
        <v>24.266850021623764</v>
      </c>
      <c r="O97" s="22">
        <f t="shared" si="33"/>
        <v>111.51195367079492</v>
      </c>
      <c r="P97" s="22">
        <f t="shared" si="33"/>
        <v>69.33385720463933</v>
      </c>
      <c r="Q97" s="22">
        <f t="shared" si="29"/>
        <v>359.05627010412144</v>
      </c>
      <c r="R97" s="22">
        <f>'Rateio Custos Fixos'!F96</f>
        <v>0.83266971508119314</v>
      </c>
      <c r="S97" s="22">
        <f>'Rateio Custos Fixos'!G96</f>
        <v>2.6169619616837498</v>
      </c>
      <c r="T97" s="22">
        <f>'Rateio Custos Fixos'!H96</f>
        <v>3.5685844932051136</v>
      </c>
      <c r="U97" s="22">
        <f>'Rateio Custos Fixos'!I96</f>
        <v>0.23790563288034089</v>
      </c>
      <c r="V97" s="22">
        <f>'Rateio Custos Fixos'!J96</f>
        <v>0.42823013918461361</v>
      </c>
      <c r="W97" s="22">
        <f>'Rateio Custos Fixos'!K96</f>
        <v>1.1657376011136704</v>
      </c>
      <c r="X97" s="22">
        <f>'Rateio Custos Fixos'!L96</f>
        <v>2.5217997085316135</v>
      </c>
      <c r="Y97" s="22">
        <f>'Rateio Custos Fixos'!M96</f>
        <v>0.87073461634204774</v>
      </c>
      <c r="Z97" s="22">
        <f>'Rateio Custos Fixos'!N96</f>
        <v>18.370121348488404</v>
      </c>
      <c r="AA97" s="22">
        <f>'Rateio Custos Fixos'!O96</f>
        <v>3.5685844932051136</v>
      </c>
      <c r="AB97" s="22">
        <f>'Rateio Custos Fixos'!P96</f>
        <v>0.71371689864102272</v>
      </c>
      <c r="AC97" s="22">
        <f>'Rateio Custos Fixos'!Q96</f>
        <v>0.76208311380559601</v>
      </c>
      <c r="AD97" s="22">
        <f>'Rateio Custos Fixos'!R96</f>
        <v>0.47581126576068178</v>
      </c>
      <c r="AE97" s="22">
        <f>'Rateio Custos Fixos'!S96</f>
        <v>10.705753479615341</v>
      </c>
      <c r="AF97" s="22">
        <f>'Rateio Custos Fixos'!T96</f>
        <v>19.754018414953343</v>
      </c>
      <c r="AG97" s="22">
        <f>'Rateio Custos Fixos'!U96</f>
        <v>3.0927732274444319</v>
      </c>
      <c r="AH97" s="22">
        <f t="shared" si="30"/>
        <v>69.685486109936264</v>
      </c>
      <c r="AI97" s="22">
        <f t="shared" si="31"/>
        <v>1467.9182730701627</v>
      </c>
      <c r="AJ97" s="22">
        <f t="shared" si="32"/>
        <v>29.358365461403256</v>
      </c>
    </row>
    <row r="98" spans="1:36" ht="14.4" x14ac:dyDescent="0.3">
      <c r="A98">
        <f>'Lista de Compra'!A96</f>
        <v>93</v>
      </c>
      <c r="B98" t="str">
        <f>'Lista de Compra'!B96</f>
        <v>FLANGE 2.1/2" 300LBS LISO ASTM A105 GR WPB B16.5 RF</v>
      </c>
      <c r="C98">
        <f>'Lista de Compra'!C96</f>
        <v>72121000</v>
      </c>
      <c r="D98" s="98">
        <f>'Lista de Compra'!I96</f>
        <v>30</v>
      </c>
      <c r="E98" s="142">
        <f>'Lista de Compra'!L96</f>
        <v>1.8760558478564024E-3</v>
      </c>
      <c r="F98" s="139">
        <f>'Lista de Compra'!J96</f>
        <v>4.1399999999999997</v>
      </c>
      <c r="G98" s="139">
        <f t="shared" si="24"/>
        <v>124.19999999999999</v>
      </c>
      <c r="H98" s="22">
        <f t="shared" si="25"/>
        <v>638.38799999999992</v>
      </c>
      <c r="I98" s="143">
        <f>'Rateio Custos Fixos'!E97</f>
        <v>181.07691043509996</v>
      </c>
      <c r="J98" s="22">
        <f t="shared" si="26"/>
        <v>819.46491043509991</v>
      </c>
      <c r="K98" s="22">
        <f t="shared" si="27"/>
        <v>911.24498040383105</v>
      </c>
      <c r="L98" s="22">
        <f t="shared" si="28"/>
        <v>91.780069968731198</v>
      </c>
      <c r="M98" s="22">
        <f t="shared" si="33"/>
        <v>29.615461863124509</v>
      </c>
      <c r="N98" s="22">
        <f t="shared" si="33"/>
        <v>19.136144588480452</v>
      </c>
      <c r="O98" s="22">
        <f t="shared" si="33"/>
        <v>87.935140608969704</v>
      </c>
      <c r="P98" s="22">
        <f t="shared" si="33"/>
        <v>54.674698824229864</v>
      </c>
      <c r="Q98" s="22">
        <f t="shared" si="29"/>
        <v>283.14151585353574</v>
      </c>
      <c r="R98" s="22">
        <f>'Rateio Custos Fixos'!F97</f>
        <v>0.65661954674974088</v>
      </c>
      <c r="S98" s="22">
        <f>'Rateio Custos Fixos'!G97</f>
        <v>2.0636614326420428</v>
      </c>
      <c r="T98" s="22">
        <f>'Rateio Custos Fixos'!H97</f>
        <v>2.8140837717846034</v>
      </c>
      <c r="U98" s="22">
        <f>'Rateio Custos Fixos'!I97</f>
        <v>0.18760558478564024</v>
      </c>
      <c r="V98" s="22">
        <f>'Rateio Custos Fixos'!J97</f>
        <v>0.33769005261415241</v>
      </c>
      <c r="W98" s="22">
        <f>'Rateio Custos Fixos'!K97</f>
        <v>0.91926736544963716</v>
      </c>
      <c r="X98" s="22">
        <f>'Rateio Custos Fixos'!L97</f>
        <v>1.9886191987277866</v>
      </c>
      <c r="Y98" s="22">
        <f>'Rateio Custos Fixos'!M97</f>
        <v>0.68663644031544324</v>
      </c>
      <c r="Z98" s="22">
        <f>'Rateio Custos Fixos'!N97</f>
        <v>14.486152834807998</v>
      </c>
      <c r="AA98" s="22">
        <f>'Rateio Custos Fixos'!O97</f>
        <v>2.8140837717846034</v>
      </c>
      <c r="AB98" s="22">
        <f>'Rateio Custos Fixos'!P97</f>
        <v>0.56281675435692069</v>
      </c>
      <c r="AC98" s="22">
        <f>'Rateio Custos Fixos'!Q97</f>
        <v>0.60095696974384138</v>
      </c>
      <c r="AD98" s="22">
        <f>'Rateio Custos Fixos'!R97</f>
        <v>0.37521116957128048</v>
      </c>
      <c r="AE98" s="22">
        <f>'Rateio Custos Fixos'!S97</f>
        <v>8.4422513153538112</v>
      </c>
      <c r="AF98" s="22">
        <f>'Rateio Custos Fixos'!T97</f>
        <v>15.577454521506064</v>
      </c>
      <c r="AG98" s="22">
        <f>'Rateio Custos Fixos'!U97</f>
        <v>2.4388726022133231</v>
      </c>
      <c r="AH98" s="22">
        <f t="shared" si="30"/>
        <v>54.951983332406883</v>
      </c>
      <c r="AI98" s="22">
        <f t="shared" si="31"/>
        <v>1157.5584096210425</v>
      </c>
      <c r="AJ98" s="22">
        <f t="shared" si="32"/>
        <v>38.585280320701415</v>
      </c>
    </row>
    <row r="99" spans="1:36" ht="14.4" x14ac:dyDescent="0.3">
      <c r="A99">
        <f>'Lista de Compra'!A97</f>
        <v>94</v>
      </c>
      <c r="B99" t="str">
        <f>'Lista de Compra'!B97</f>
        <v>FLANGE 3" 150LBS LISO ASTM A105 GR WPB B16.5 RF</v>
      </c>
      <c r="C99">
        <f>'Lista de Compra'!C97</f>
        <v>72121000</v>
      </c>
      <c r="D99" s="98">
        <f>'Lista de Compra'!I97</f>
        <v>50</v>
      </c>
      <c r="E99" s="142">
        <f>'Lista de Compra'!L97</f>
        <v>2.6811587197625724E-3</v>
      </c>
      <c r="F99" s="139">
        <f>'Lista de Compra'!J97</f>
        <v>3.55</v>
      </c>
      <c r="G99" s="139">
        <f t="shared" si="24"/>
        <v>177.5</v>
      </c>
      <c r="H99" s="22">
        <f t="shared" si="25"/>
        <v>912.34999999999991</v>
      </c>
      <c r="I99" s="143">
        <f>'Rateio Custos Fixos'!E98</f>
        <v>258.78543963148348</v>
      </c>
      <c r="J99" s="22">
        <f t="shared" si="26"/>
        <v>1171.1354396314835</v>
      </c>
      <c r="K99" s="22">
        <f t="shared" si="27"/>
        <v>1302.3026088702095</v>
      </c>
      <c r="L99" s="22">
        <f t="shared" si="28"/>
        <v>131.16716923872616</v>
      </c>
      <c r="M99" s="22">
        <f t="shared" si="33"/>
        <v>42.324834788281812</v>
      </c>
      <c r="N99" s="22">
        <f t="shared" si="33"/>
        <v>27.348354786274403</v>
      </c>
      <c r="O99" s="22">
        <f t="shared" si="33"/>
        <v>125.67220175597522</v>
      </c>
      <c r="P99" s="22">
        <f t="shared" si="33"/>
        <v>78.138156532212562</v>
      </c>
      <c r="Q99" s="22">
        <f t="shared" si="29"/>
        <v>404.65071710147015</v>
      </c>
      <c r="R99" s="22">
        <f>'Rateio Custos Fixos'!F98</f>
        <v>0.93840555191690034</v>
      </c>
      <c r="S99" s="22">
        <f>'Rateio Custos Fixos'!G98</f>
        <v>2.9492745917388294</v>
      </c>
      <c r="T99" s="22">
        <f>'Rateio Custos Fixos'!H98</f>
        <v>4.0217380796438587</v>
      </c>
      <c r="U99" s="22">
        <f>'Rateio Custos Fixos'!I98</f>
        <v>0.26811587197625725</v>
      </c>
      <c r="V99" s="22">
        <f>'Rateio Custos Fixos'!J98</f>
        <v>0.482608569557263</v>
      </c>
      <c r="W99" s="22">
        <f>'Rateio Custos Fixos'!K98</f>
        <v>1.3137677726836605</v>
      </c>
      <c r="X99" s="22">
        <f>'Rateio Custos Fixos'!L98</f>
        <v>2.8420282429483268</v>
      </c>
      <c r="Y99" s="22">
        <f>'Rateio Custos Fixos'!M98</f>
        <v>0.98130409143310149</v>
      </c>
      <c r="Z99" s="22">
        <f>'Rateio Custos Fixos'!N98</f>
        <v>20.702835170518679</v>
      </c>
      <c r="AA99" s="22">
        <f>'Rateio Custos Fixos'!O98</f>
        <v>4.0217380796438587</v>
      </c>
      <c r="AB99" s="22">
        <f>'Rateio Custos Fixos'!P98</f>
        <v>0.80434761592877169</v>
      </c>
      <c r="AC99" s="22">
        <f>'Rateio Custos Fixos'!Q98</f>
        <v>0.85885557270154478</v>
      </c>
      <c r="AD99" s="22">
        <f>'Rateio Custos Fixos'!R98</f>
        <v>0.53623174395251449</v>
      </c>
      <c r="AE99" s="22">
        <f>'Rateio Custos Fixos'!S98</f>
        <v>12.065214238931576</v>
      </c>
      <c r="AF99" s="22">
        <f>'Rateio Custos Fixos'!T98</f>
        <v>22.262465197804566</v>
      </c>
      <c r="AG99" s="22">
        <f>'Rateio Custos Fixos'!U98</f>
        <v>3.485506335691344</v>
      </c>
      <c r="AH99" s="22">
        <f t="shared" si="30"/>
        <v>78.534436727071039</v>
      </c>
      <c r="AI99" s="22">
        <f t="shared" si="31"/>
        <v>1654.3205934600248</v>
      </c>
      <c r="AJ99" s="22">
        <f t="shared" si="32"/>
        <v>33.086411869200496</v>
      </c>
    </row>
    <row r="100" spans="1:36" ht="14.4" x14ac:dyDescent="0.3">
      <c r="A100">
        <f>'Lista de Compra'!A98</f>
        <v>95</v>
      </c>
      <c r="B100" t="str">
        <f>'Lista de Compra'!B98</f>
        <v>FLANGE 4" 150LBS LISO ASTM A105 GR WPB B16.5 RF</v>
      </c>
      <c r="C100">
        <f>'Lista de Compra'!C98</f>
        <v>72121000</v>
      </c>
      <c r="D100" s="98">
        <f>'Lista de Compra'!I98</f>
        <v>50</v>
      </c>
      <c r="E100" s="142">
        <f>'Lista de Compra'!L98</f>
        <v>3.7234119685716849E-3</v>
      </c>
      <c r="F100" s="139">
        <f>'Lista de Compra'!J98</f>
        <v>4.93</v>
      </c>
      <c r="G100" s="139">
        <f t="shared" si="24"/>
        <v>246.5</v>
      </c>
      <c r="H100" s="22">
        <f t="shared" si="25"/>
        <v>1267.01</v>
      </c>
      <c r="I100" s="143">
        <f>'Rateio Custos Fixos'!E99</f>
        <v>359.383723206539</v>
      </c>
      <c r="J100" s="22">
        <f t="shared" si="26"/>
        <v>1626.3937232065391</v>
      </c>
      <c r="K100" s="22">
        <f t="shared" si="27"/>
        <v>1808.5498202056715</v>
      </c>
      <c r="L100" s="22">
        <f t="shared" si="28"/>
        <v>182.15609699913239</v>
      </c>
      <c r="M100" s="22">
        <f t="shared" si="33"/>
        <v>58.777869156684325</v>
      </c>
      <c r="N100" s="22">
        <f t="shared" si="33"/>
        <v>37.979546224319101</v>
      </c>
      <c r="O100" s="22">
        <f t="shared" si="33"/>
        <v>174.5250576498473</v>
      </c>
      <c r="P100" s="22">
        <f t="shared" si="33"/>
        <v>108.51298921234029</v>
      </c>
      <c r="Q100" s="22">
        <f t="shared" si="29"/>
        <v>561.95155924232336</v>
      </c>
      <c r="R100" s="22">
        <f>'Rateio Custos Fixos'!F99</f>
        <v>1.3031941890000898</v>
      </c>
      <c r="S100" s="22">
        <f>'Rateio Custos Fixos'!G99</f>
        <v>4.095753165428853</v>
      </c>
      <c r="T100" s="22">
        <f>'Rateio Custos Fixos'!H99</f>
        <v>5.5851179528575274</v>
      </c>
      <c r="U100" s="22">
        <f>'Rateio Custos Fixos'!I99</f>
        <v>0.37234119685716849</v>
      </c>
      <c r="V100" s="22">
        <f>'Rateio Custos Fixos'!J99</f>
        <v>0.67021415434290332</v>
      </c>
      <c r="W100" s="22">
        <f>'Rateio Custos Fixos'!K99</f>
        <v>1.8244718646001257</v>
      </c>
      <c r="X100" s="22">
        <f>'Rateio Custos Fixos'!L99</f>
        <v>3.946816686685986</v>
      </c>
      <c r="Y100" s="22">
        <f>'Rateio Custos Fixos'!M99</f>
        <v>1.3627687804972366</v>
      </c>
      <c r="Z100" s="22">
        <f>'Rateio Custos Fixos'!N99</f>
        <v>28.750697856523121</v>
      </c>
      <c r="AA100" s="22">
        <f>'Rateio Custos Fixos'!O99</f>
        <v>5.5851179528575274</v>
      </c>
      <c r="AB100" s="22">
        <f>'Rateio Custos Fixos'!P99</f>
        <v>1.1170235905715056</v>
      </c>
      <c r="AC100" s="22">
        <f>'Rateio Custos Fixos'!Q99</f>
        <v>1.1927205558925678</v>
      </c>
      <c r="AD100" s="22">
        <f>'Rateio Custos Fixos'!R99</f>
        <v>0.74468239371433698</v>
      </c>
      <c r="AE100" s="22">
        <f>'Rateio Custos Fixos'!S99</f>
        <v>16.755353858572583</v>
      </c>
      <c r="AF100" s="22">
        <f>'Rateio Custos Fixos'!T99</f>
        <v>30.91660659864127</v>
      </c>
      <c r="AG100" s="22">
        <f>'Rateio Custos Fixos'!U99</f>
        <v>4.8404355591431907</v>
      </c>
      <c r="AH100" s="22">
        <f t="shared" si="30"/>
        <v>109.06331635618599</v>
      </c>
      <c r="AI100" s="22">
        <f t="shared" si="31"/>
        <v>2297.4085988050483</v>
      </c>
      <c r="AJ100" s="22">
        <f t="shared" si="32"/>
        <v>45.948171976100966</v>
      </c>
    </row>
    <row r="101" spans="1:36" ht="14.4" x14ac:dyDescent="0.3">
      <c r="A101">
        <f>'Lista de Compra'!A99</f>
        <v>96</v>
      </c>
      <c r="B101" t="str">
        <f>'Lista de Compra'!B99</f>
        <v>FLANGE 5" 150LBS LISO ASTM A105 GR WPB B16.5 RF</v>
      </c>
      <c r="C101">
        <f>'Lista de Compra'!C99</f>
        <v>72121000</v>
      </c>
      <c r="D101" s="98">
        <f>'Lista de Compra'!I99</f>
        <v>80</v>
      </c>
      <c r="E101" s="142">
        <f>'Lista de Compra'!L99</f>
        <v>7.141700522274615E-3</v>
      </c>
      <c r="F101" s="139">
        <f>'Lista de Compra'!J99</f>
        <v>5.91</v>
      </c>
      <c r="G101" s="139">
        <f t="shared" si="24"/>
        <v>472.8</v>
      </c>
      <c r="H101" s="22">
        <f t="shared" si="25"/>
        <v>2430.192</v>
      </c>
      <c r="I101" s="143">
        <f>'Rateio Custos Fixos'!E100</f>
        <v>689.31693440994582</v>
      </c>
      <c r="J101" s="22">
        <f t="shared" si="26"/>
        <v>3119.5089344099461</v>
      </c>
      <c r="K101" s="22">
        <f t="shared" si="27"/>
        <v>3468.8939350638602</v>
      </c>
      <c r="L101" s="22">
        <f t="shared" si="28"/>
        <v>349.38500065391395</v>
      </c>
      <c r="M101" s="22">
        <f t="shared" si="33"/>
        <v>112.73905288957546</v>
      </c>
      <c r="N101" s="22">
        <f t="shared" si="33"/>
        <v>72.846772636341072</v>
      </c>
      <c r="O101" s="22">
        <f t="shared" si="33"/>
        <v>334.7482647336625</v>
      </c>
      <c r="P101" s="22">
        <f t="shared" si="33"/>
        <v>208.13363610383161</v>
      </c>
      <c r="Q101" s="22">
        <f t="shared" si="29"/>
        <v>1077.8527270173247</v>
      </c>
      <c r="R101" s="22">
        <f>'Rateio Custos Fixos'!F100</f>
        <v>2.4995951827961154</v>
      </c>
      <c r="S101" s="22">
        <f>'Rateio Custos Fixos'!G100</f>
        <v>7.8558705745020765</v>
      </c>
      <c r="T101" s="22">
        <f>'Rateio Custos Fixos'!H100</f>
        <v>10.712550783411922</v>
      </c>
      <c r="U101" s="22">
        <f>'Rateio Custos Fixos'!I100</f>
        <v>0.71417005222746155</v>
      </c>
      <c r="V101" s="22">
        <f>'Rateio Custos Fixos'!J100</f>
        <v>1.2855060940094307</v>
      </c>
      <c r="W101" s="22">
        <f>'Rateio Custos Fixos'!K100</f>
        <v>3.4994332559145613</v>
      </c>
      <c r="X101" s="22">
        <f>'Rateio Custos Fixos'!L100</f>
        <v>7.5702025536110922</v>
      </c>
      <c r="Y101" s="22">
        <f>'Rateio Custos Fixos'!M100</f>
        <v>2.6138623911525092</v>
      </c>
      <c r="Z101" s="22">
        <f>'Rateio Custos Fixos'!N100</f>
        <v>55.145354752795669</v>
      </c>
      <c r="AA101" s="22">
        <f>'Rateio Custos Fixos'!O100</f>
        <v>10.712550783411922</v>
      </c>
      <c r="AB101" s="22">
        <f>'Rateio Custos Fixos'!P100</f>
        <v>2.1425101566823845</v>
      </c>
      <c r="AC101" s="22">
        <f>'Rateio Custos Fixos'!Q100</f>
        <v>2.2877009283002274</v>
      </c>
      <c r="AD101" s="22">
        <f>'Rateio Custos Fixos'!R100</f>
        <v>1.4283401044549231</v>
      </c>
      <c r="AE101" s="22">
        <f>'Rateio Custos Fixos'!S100</f>
        <v>32.137652350235768</v>
      </c>
      <c r="AF101" s="22">
        <f>'Rateio Custos Fixos'!T100</f>
        <v>59.299681946602803</v>
      </c>
      <c r="AG101" s="22">
        <f>'Rateio Custos Fixos'!U100</f>
        <v>9.2842106789569989</v>
      </c>
      <c r="AH101" s="22">
        <f t="shared" si="30"/>
        <v>209.18919258906587</v>
      </c>
      <c r="AI101" s="22">
        <f t="shared" si="31"/>
        <v>4406.5508540163364</v>
      </c>
      <c r="AJ101" s="22">
        <f t="shared" si="32"/>
        <v>55.081885675204205</v>
      </c>
    </row>
    <row r="102" spans="1:36" ht="14.4" x14ac:dyDescent="0.3">
      <c r="A102">
        <f>'Lista de Compra'!A100</f>
        <v>97</v>
      </c>
      <c r="B102" t="str">
        <f>'Lista de Compra'!B100</f>
        <v>FLANGE 6" 150LBS LISO ASTM A105 GR WPB B16.5 RF</v>
      </c>
      <c r="C102">
        <f>'Lista de Compra'!C100</f>
        <v>72121000</v>
      </c>
      <c r="D102" s="98">
        <f>'Lista de Compra'!I100</f>
        <v>80</v>
      </c>
      <c r="E102" s="142">
        <f>'Lista de Compra'!L100</f>
        <v>8.3380259904729005E-3</v>
      </c>
      <c r="F102" s="139">
        <f>'Lista de Compra'!J100</f>
        <v>6.9</v>
      </c>
      <c r="G102" s="139">
        <f t="shared" ref="G102:G133" si="34">D102*F102</f>
        <v>552</v>
      </c>
      <c r="H102" s="22">
        <f t="shared" ref="H102:H133" si="35">G102*$H$4</f>
        <v>2837.2799999999997</v>
      </c>
      <c r="I102" s="143">
        <f>'Rateio Custos Fixos'!E101</f>
        <v>804.78626860044437</v>
      </c>
      <c r="J102" s="22">
        <f t="shared" ref="J102:J133" si="36">SUM(H102:I102)</f>
        <v>3642.0662686004443</v>
      </c>
      <c r="K102" s="22">
        <f t="shared" ref="K102:K133" si="37">J102+L102</f>
        <v>4049.9776906836942</v>
      </c>
      <c r="L102" s="22">
        <f t="shared" ref="L102:L133" si="38">L$5*$J102</f>
        <v>407.91142208324976</v>
      </c>
      <c r="M102" s="22">
        <f t="shared" si="33"/>
        <v>131.62427494722007</v>
      </c>
      <c r="N102" s="22">
        <f t="shared" si="33"/>
        <v>85.049531504357589</v>
      </c>
      <c r="O102" s="22">
        <f t="shared" si="33"/>
        <v>390.82284715097649</v>
      </c>
      <c r="P102" s="22">
        <f t="shared" si="33"/>
        <v>242.99866144102165</v>
      </c>
      <c r="Q102" s="22">
        <f t="shared" ref="Q102:Q133" si="39">SUM(L102:P102)</f>
        <v>1258.4067371268254</v>
      </c>
      <c r="R102" s="22">
        <f>'Rateio Custos Fixos'!F101</f>
        <v>2.918309096665515</v>
      </c>
      <c r="S102" s="22">
        <f>'Rateio Custos Fixos'!G101</f>
        <v>9.1718285895201905</v>
      </c>
      <c r="T102" s="22">
        <f>'Rateio Custos Fixos'!H101</f>
        <v>12.50703898570935</v>
      </c>
      <c r="U102" s="22">
        <f>'Rateio Custos Fixos'!I101</f>
        <v>0.83380259904729004</v>
      </c>
      <c r="V102" s="22">
        <f>'Rateio Custos Fixos'!J101</f>
        <v>1.5008446782851221</v>
      </c>
      <c r="W102" s="22">
        <f>'Rateio Custos Fixos'!K101</f>
        <v>4.0856327353317212</v>
      </c>
      <c r="X102" s="22">
        <f>'Rateio Custos Fixos'!L101</f>
        <v>8.8383075499012751</v>
      </c>
      <c r="Y102" s="22">
        <f>'Rateio Custos Fixos'!M101</f>
        <v>3.0517175125130818</v>
      </c>
      <c r="Z102" s="22">
        <f>'Rateio Custos Fixos'!N101</f>
        <v>64.382901488035557</v>
      </c>
      <c r="AA102" s="22">
        <f>'Rateio Custos Fixos'!O101</f>
        <v>12.50703898570935</v>
      </c>
      <c r="AB102" s="22">
        <f>'Rateio Custos Fixos'!P101</f>
        <v>2.5014077971418702</v>
      </c>
      <c r="AC102" s="22">
        <f>'Rateio Custos Fixos'!Q101</f>
        <v>2.6709198655281843</v>
      </c>
      <c r="AD102" s="22">
        <f>'Rateio Custos Fixos'!R101</f>
        <v>1.6676051980945801</v>
      </c>
      <c r="AE102" s="22">
        <f>'Rateio Custos Fixos'!S101</f>
        <v>37.521116957128051</v>
      </c>
      <c r="AF102" s="22">
        <f>'Rateio Custos Fixos'!T101</f>
        <v>69.233131206693628</v>
      </c>
      <c r="AG102" s="22">
        <f>'Rateio Custos Fixos'!U101</f>
        <v>10.839433787614771</v>
      </c>
      <c r="AH102" s="22">
        <f t="shared" ref="AH102:AH133" si="40">SUM(R102:AG102)</f>
        <v>244.23103703291955</v>
      </c>
      <c r="AI102" s="22">
        <f t="shared" ref="AI102:AI133" si="41">J102+Q102+AH102</f>
        <v>5144.7040427601896</v>
      </c>
      <c r="AJ102" s="22">
        <f t="shared" ref="AJ102:AJ133" si="42">AI102/D102</f>
        <v>64.308800534502367</v>
      </c>
    </row>
    <row r="103" spans="1:36" ht="14.4" x14ac:dyDescent="0.3">
      <c r="A103">
        <f>'Lista de Compra'!A101</f>
        <v>98</v>
      </c>
      <c r="B103" t="str">
        <f>'Lista de Compra'!B101</f>
        <v>FLANGE 8" 150LBS LISO ASTM A105 GR WPB B16.5 RF</v>
      </c>
      <c r="C103">
        <f>'Lista de Compra'!C101</f>
        <v>72121000</v>
      </c>
      <c r="D103" s="98">
        <f>'Lista de Compra'!I101</f>
        <v>80</v>
      </c>
      <c r="E103" s="142">
        <f>'Lista de Compra'!L101</f>
        <v>1.2615795846454649E-2</v>
      </c>
      <c r="F103" s="139">
        <f>'Lista de Compra'!J101</f>
        <v>10.44</v>
      </c>
      <c r="G103" s="139">
        <f t="shared" si="34"/>
        <v>835.19999999999993</v>
      </c>
      <c r="H103" s="22">
        <f t="shared" si="35"/>
        <v>4292.927999999999</v>
      </c>
      <c r="I103" s="143">
        <f>'Rateio Custos Fixos'!E102</f>
        <v>1217.6766150998026</v>
      </c>
      <c r="J103" s="22">
        <f t="shared" si="36"/>
        <v>5510.6046150998018</v>
      </c>
      <c r="K103" s="22">
        <f t="shared" si="37"/>
        <v>6127.7923319909796</v>
      </c>
      <c r="L103" s="22">
        <f t="shared" si="38"/>
        <v>617.18771689117784</v>
      </c>
      <c r="M103" s="22">
        <f t="shared" si="33"/>
        <v>199.15325078970685</v>
      </c>
      <c r="N103" s="22">
        <f t="shared" si="33"/>
        <v>128.68363897181058</v>
      </c>
      <c r="O103" s="22">
        <f t="shared" si="33"/>
        <v>591.33196003712953</v>
      </c>
      <c r="P103" s="22">
        <f t="shared" si="33"/>
        <v>367.66753991945876</v>
      </c>
      <c r="Q103" s="22">
        <f t="shared" si="39"/>
        <v>1904.0241066092835</v>
      </c>
      <c r="R103" s="22">
        <f>'Rateio Custos Fixos'!F102</f>
        <v>4.4155285462591269</v>
      </c>
      <c r="S103" s="22">
        <f>'Rateio Custos Fixos'!G102</f>
        <v>13.877375431100113</v>
      </c>
      <c r="T103" s="22">
        <f>'Rateio Custos Fixos'!H102</f>
        <v>18.923693769681972</v>
      </c>
      <c r="U103" s="22">
        <f>'Rateio Custos Fixos'!I102</f>
        <v>1.2615795846454649</v>
      </c>
      <c r="V103" s="22">
        <f>'Rateio Custos Fixos'!J102</f>
        <v>2.2708432523618369</v>
      </c>
      <c r="W103" s="22">
        <f>'Rateio Custos Fixos'!K102</f>
        <v>6.1817399647627775</v>
      </c>
      <c r="X103" s="22">
        <f>'Rateio Custos Fixos'!L102</f>
        <v>13.372743597241927</v>
      </c>
      <c r="Y103" s="22">
        <f>'Rateio Custos Fixos'!M102</f>
        <v>4.6173812798024017</v>
      </c>
      <c r="Z103" s="22">
        <f>'Rateio Custos Fixos'!N102</f>
        <v>97.414129207984203</v>
      </c>
      <c r="AA103" s="22">
        <f>'Rateio Custos Fixos'!O102</f>
        <v>18.923693769681972</v>
      </c>
      <c r="AB103" s="22">
        <f>'Rateio Custos Fixos'!P102</f>
        <v>3.7847387539363946</v>
      </c>
      <c r="AC103" s="22">
        <f>'Rateio Custos Fixos'!Q102</f>
        <v>4.0412178834948174</v>
      </c>
      <c r="AD103" s="22">
        <f>'Rateio Custos Fixos'!R102</f>
        <v>2.5231591692909299</v>
      </c>
      <c r="AE103" s="22">
        <f>'Rateio Custos Fixos'!S102</f>
        <v>56.771081309045918</v>
      </c>
      <c r="AF103" s="22">
        <f>'Rateio Custos Fixos'!T102</f>
        <v>104.75273765186688</v>
      </c>
      <c r="AG103" s="22">
        <f>'Rateio Custos Fixos'!U102</f>
        <v>16.400534600391044</v>
      </c>
      <c r="AH103" s="22">
        <f t="shared" si="40"/>
        <v>369.53217777154777</v>
      </c>
      <c r="AI103" s="22">
        <f t="shared" si="41"/>
        <v>7784.1608994806329</v>
      </c>
      <c r="AJ103" s="22">
        <f t="shared" si="42"/>
        <v>97.302011243507906</v>
      </c>
    </row>
    <row r="104" spans="1:36" ht="14.4" x14ac:dyDescent="0.3">
      <c r="A104">
        <f>'Lista de Compra'!A102</f>
        <v>99</v>
      </c>
      <c r="B104" t="str">
        <f>'Lista de Compra'!B102</f>
        <v>FLANGE 8" 300LBS LISO ASTM A105 GR WPB B16.5 RF</v>
      </c>
      <c r="C104">
        <f>'Lista de Compra'!C102</f>
        <v>72121000</v>
      </c>
      <c r="D104" s="98">
        <f>'Lista de Compra'!I102</f>
        <v>30</v>
      </c>
      <c r="E104" s="142">
        <f>'Lista de Compra'!L102</f>
        <v>1.1605263348696248E-2</v>
      </c>
      <c r="F104" s="139">
        <f>'Lista de Compra'!J102</f>
        <v>25.61</v>
      </c>
      <c r="G104" s="139">
        <f t="shared" si="34"/>
        <v>768.3</v>
      </c>
      <c r="H104" s="22">
        <f t="shared" si="35"/>
        <v>3949.0619999999994</v>
      </c>
      <c r="I104" s="143">
        <f>'Rateio Custos Fixos'!E103</f>
        <v>1120.1400184161619</v>
      </c>
      <c r="J104" s="22">
        <f t="shared" si="36"/>
        <v>5069.2020184161611</v>
      </c>
      <c r="K104" s="22">
        <f t="shared" si="37"/>
        <v>5636.9526444787716</v>
      </c>
      <c r="L104" s="22">
        <f t="shared" si="38"/>
        <v>567.75062606261008</v>
      </c>
      <c r="M104" s="22">
        <f t="shared" si="33"/>
        <v>183.2009609455601</v>
      </c>
      <c r="N104" s="22">
        <f t="shared" si="33"/>
        <v>118.37600553405422</v>
      </c>
      <c r="O104" s="22">
        <f t="shared" si="33"/>
        <v>543.96593019220143</v>
      </c>
      <c r="P104" s="22">
        <f t="shared" si="33"/>
        <v>338.21715866872626</v>
      </c>
      <c r="Q104" s="22">
        <f t="shared" si="39"/>
        <v>1751.5106814031524</v>
      </c>
      <c r="R104" s="22">
        <f>'Rateio Custos Fixos'!F103</f>
        <v>4.0618421720436872</v>
      </c>
      <c r="S104" s="22">
        <f>'Rateio Custos Fixos'!G103</f>
        <v>12.765789683565874</v>
      </c>
      <c r="T104" s="22">
        <f>'Rateio Custos Fixos'!H103</f>
        <v>17.407895023044372</v>
      </c>
      <c r="U104" s="22">
        <f>'Rateio Custos Fixos'!I103</f>
        <v>1.1605263348696249</v>
      </c>
      <c r="V104" s="22">
        <f>'Rateio Custos Fixos'!J103</f>
        <v>2.0889474027653248</v>
      </c>
      <c r="W104" s="22">
        <f>'Rateio Custos Fixos'!K103</f>
        <v>5.6865790408611616</v>
      </c>
      <c r="X104" s="22">
        <f>'Rateio Custos Fixos'!L103</f>
        <v>12.301579149618023</v>
      </c>
      <c r="Y104" s="22">
        <f>'Rateio Custos Fixos'!M103</f>
        <v>4.2475263856228267</v>
      </c>
      <c r="Z104" s="22">
        <f>'Rateio Custos Fixos'!N103</f>
        <v>89.611201473292951</v>
      </c>
      <c r="AA104" s="22">
        <f>'Rateio Custos Fixos'!O103</f>
        <v>17.407895023044372</v>
      </c>
      <c r="AB104" s="22">
        <f>'Rateio Custos Fixos'!P103</f>
        <v>3.4815790046088746</v>
      </c>
      <c r="AC104" s="22">
        <f>'Rateio Custos Fixos'!Q103</f>
        <v>3.7175140084878691</v>
      </c>
      <c r="AD104" s="22">
        <f>'Rateio Custos Fixos'!R103</f>
        <v>2.3210526697392497</v>
      </c>
      <c r="AE104" s="22">
        <f>'Rateio Custos Fixos'!S103</f>
        <v>52.223685069133118</v>
      </c>
      <c r="AF104" s="22">
        <f>'Rateio Custos Fixos'!T103</f>
        <v>96.361983163229553</v>
      </c>
      <c r="AG104" s="22">
        <f>'Rateio Custos Fixos'!U103</f>
        <v>15.086842353305123</v>
      </c>
      <c r="AH104" s="22">
        <f t="shared" si="40"/>
        <v>339.93243795723203</v>
      </c>
      <c r="AI104" s="22">
        <f t="shared" si="41"/>
        <v>7160.6451377765452</v>
      </c>
      <c r="AJ104" s="22">
        <f t="shared" si="42"/>
        <v>238.68817125921817</v>
      </c>
    </row>
    <row r="105" spans="1:36" ht="14.4" x14ac:dyDescent="0.3">
      <c r="A105">
        <f>'Lista de Compra'!A103</f>
        <v>100</v>
      </c>
      <c r="B105" t="str">
        <f>'Lista de Compra'!B103</f>
        <v>FLANGE 6" 300LBS LISO ASTM A105 GR WPB B16.5 RF</v>
      </c>
      <c r="C105">
        <f>'Lista de Compra'!C103</f>
        <v>72121000</v>
      </c>
      <c r="D105" s="98">
        <f>'Lista de Compra'!I103</f>
        <v>30</v>
      </c>
      <c r="E105" s="142">
        <f>'Lista de Compra'!L103</f>
        <v>7.141700522274615E-3</v>
      </c>
      <c r="F105" s="139">
        <f>'Lista de Compra'!J103</f>
        <v>15.76</v>
      </c>
      <c r="G105" s="139">
        <f t="shared" si="34"/>
        <v>472.8</v>
      </c>
      <c r="H105" s="22">
        <f t="shared" si="35"/>
        <v>2430.192</v>
      </c>
      <c r="I105" s="143">
        <f>'Rateio Custos Fixos'!E104</f>
        <v>689.31693440994582</v>
      </c>
      <c r="J105" s="22">
        <f t="shared" si="36"/>
        <v>3119.5089344099461</v>
      </c>
      <c r="K105" s="22">
        <f t="shared" si="37"/>
        <v>3468.8939350638602</v>
      </c>
      <c r="L105" s="22">
        <f t="shared" si="38"/>
        <v>349.38500065391395</v>
      </c>
      <c r="M105" s="22">
        <f t="shared" si="33"/>
        <v>112.73905288957546</v>
      </c>
      <c r="N105" s="22">
        <f t="shared" si="33"/>
        <v>72.846772636341072</v>
      </c>
      <c r="O105" s="22">
        <f t="shared" si="33"/>
        <v>334.7482647336625</v>
      </c>
      <c r="P105" s="22">
        <f t="shared" si="33"/>
        <v>208.13363610383161</v>
      </c>
      <c r="Q105" s="22">
        <f t="shared" si="39"/>
        <v>1077.8527270173247</v>
      </c>
      <c r="R105" s="22">
        <f>'Rateio Custos Fixos'!F104</f>
        <v>2.4995951827961154</v>
      </c>
      <c r="S105" s="22">
        <f>'Rateio Custos Fixos'!G104</f>
        <v>7.8558705745020765</v>
      </c>
      <c r="T105" s="22">
        <f>'Rateio Custos Fixos'!H104</f>
        <v>10.712550783411922</v>
      </c>
      <c r="U105" s="22">
        <f>'Rateio Custos Fixos'!I104</f>
        <v>0.71417005222746155</v>
      </c>
      <c r="V105" s="22">
        <f>'Rateio Custos Fixos'!J104</f>
        <v>1.2855060940094307</v>
      </c>
      <c r="W105" s="22">
        <f>'Rateio Custos Fixos'!K104</f>
        <v>3.4994332559145613</v>
      </c>
      <c r="X105" s="22">
        <f>'Rateio Custos Fixos'!L104</f>
        <v>7.5702025536110922</v>
      </c>
      <c r="Y105" s="22">
        <f>'Rateio Custos Fixos'!M104</f>
        <v>2.6138623911525092</v>
      </c>
      <c r="Z105" s="22">
        <f>'Rateio Custos Fixos'!N104</f>
        <v>55.145354752795669</v>
      </c>
      <c r="AA105" s="22">
        <f>'Rateio Custos Fixos'!O104</f>
        <v>10.712550783411922</v>
      </c>
      <c r="AB105" s="22">
        <f>'Rateio Custos Fixos'!P104</f>
        <v>2.1425101566823845</v>
      </c>
      <c r="AC105" s="22">
        <f>'Rateio Custos Fixos'!Q104</f>
        <v>2.2877009283002274</v>
      </c>
      <c r="AD105" s="22">
        <f>'Rateio Custos Fixos'!R104</f>
        <v>1.4283401044549231</v>
      </c>
      <c r="AE105" s="22">
        <f>'Rateio Custos Fixos'!S104</f>
        <v>32.137652350235768</v>
      </c>
      <c r="AF105" s="22">
        <f>'Rateio Custos Fixos'!T104</f>
        <v>59.299681946602803</v>
      </c>
      <c r="AG105" s="22">
        <f>'Rateio Custos Fixos'!U104</f>
        <v>9.2842106789569989</v>
      </c>
      <c r="AH105" s="22">
        <f t="shared" si="40"/>
        <v>209.18919258906587</v>
      </c>
      <c r="AI105" s="22">
        <f t="shared" si="41"/>
        <v>4406.5508540163364</v>
      </c>
      <c r="AJ105" s="22">
        <f t="shared" si="42"/>
        <v>146.88502846721121</v>
      </c>
    </row>
    <row r="106" spans="1:36" ht="14.4" x14ac:dyDescent="0.3">
      <c r="A106">
        <f>'Lista de Compra'!A104</f>
        <v>101</v>
      </c>
      <c r="B106" t="str">
        <f>'Lista de Compra'!B104</f>
        <v>FLANGE 5" 300LBS LISO ASTM A105 GR WPB B16.5 RF</v>
      </c>
      <c r="C106">
        <f>'Lista de Compra'!C104</f>
        <v>72121000</v>
      </c>
      <c r="D106" s="98">
        <f>'Lista de Compra'!I104</f>
        <v>15</v>
      </c>
      <c r="E106" s="142">
        <f>'Lista de Compra'!L104</f>
        <v>2.4991420292096761E-3</v>
      </c>
      <c r="F106" s="139">
        <f>'Lista de Compra'!J104</f>
        <v>11.03</v>
      </c>
      <c r="G106" s="139">
        <f t="shared" si="34"/>
        <v>165.45</v>
      </c>
      <c r="H106" s="22">
        <f t="shared" si="35"/>
        <v>850.4129999999999</v>
      </c>
      <c r="I106" s="143">
        <f>'Rateio Custos Fixos'!E105</f>
        <v>241.21718865931794</v>
      </c>
      <c r="J106" s="22">
        <f t="shared" si="36"/>
        <v>1091.6301886593178</v>
      </c>
      <c r="K106" s="22">
        <f t="shared" si="37"/>
        <v>1213.8927697891613</v>
      </c>
      <c r="L106" s="22">
        <f t="shared" si="38"/>
        <v>122.2625811298436</v>
      </c>
      <c r="M106" s="22">
        <f t="shared" ref="M106:P125" si="43">M$5*$K106</f>
        <v>39.451515018147745</v>
      </c>
      <c r="N106" s="22">
        <f t="shared" si="43"/>
        <v>25.491748165572389</v>
      </c>
      <c r="O106" s="22">
        <f t="shared" si="43"/>
        <v>117.14065228465407</v>
      </c>
      <c r="P106" s="22">
        <f t="shared" si="43"/>
        <v>72.833566187349675</v>
      </c>
      <c r="Q106" s="22">
        <f t="shared" si="39"/>
        <v>377.18006278556743</v>
      </c>
      <c r="R106" s="22">
        <f>'Rateio Custos Fixos'!F105</f>
        <v>0.87469971022338666</v>
      </c>
      <c r="S106" s="22">
        <f>'Rateio Custos Fixos'!G105</f>
        <v>2.7490562321306435</v>
      </c>
      <c r="T106" s="22">
        <f>'Rateio Custos Fixos'!H105</f>
        <v>3.7487130438145142</v>
      </c>
      <c r="U106" s="22">
        <f>'Rateio Custos Fixos'!I105</f>
        <v>0.24991420292096761</v>
      </c>
      <c r="V106" s="22">
        <f>'Rateio Custos Fixos'!J105</f>
        <v>0.44984556525774172</v>
      </c>
      <c r="W106" s="22">
        <f>'Rateio Custos Fixos'!K105</f>
        <v>1.2245795943127413</v>
      </c>
      <c r="X106" s="22">
        <f>'Rateio Custos Fixos'!L105</f>
        <v>2.6490905509622569</v>
      </c>
      <c r="Y106" s="22">
        <f>'Rateio Custos Fixos'!M105</f>
        <v>0.91468598269074142</v>
      </c>
      <c r="Z106" s="22">
        <f>'Rateio Custos Fixos'!N105</f>
        <v>19.297375092745437</v>
      </c>
      <c r="AA106" s="22">
        <f>'Rateio Custos Fixos'!O105</f>
        <v>3.7487130438145142</v>
      </c>
      <c r="AB106" s="22">
        <f>'Rateio Custos Fixos'!P105</f>
        <v>0.74974260876290288</v>
      </c>
      <c r="AC106" s="22">
        <f>'Rateio Custos Fixos'!Q105</f>
        <v>0.80055016621673547</v>
      </c>
      <c r="AD106" s="22">
        <f>'Rateio Custos Fixos'!R105</f>
        <v>0.49982840584193522</v>
      </c>
      <c r="AE106" s="22">
        <f>'Rateio Custos Fixos'!S105</f>
        <v>11.246139131443542</v>
      </c>
      <c r="AF106" s="22">
        <f>'Rateio Custos Fixos'!T105</f>
        <v>20.751126011136702</v>
      </c>
      <c r="AG106" s="22">
        <f>'Rateio Custos Fixos'!U105</f>
        <v>3.2488846379725791</v>
      </c>
      <c r="AH106" s="22">
        <f t="shared" si="40"/>
        <v>73.202943980247341</v>
      </c>
      <c r="AI106" s="22">
        <f t="shared" si="41"/>
        <v>1542.0131954251324</v>
      </c>
      <c r="AJ106" s="22">
        <f t="shared" si="42"/>
        <v>102.80087969500883</v>
      </c>
    </row>
    <row r="107" spans="1:36" ht="14.4" x14ac:dyDescent="0.3">
      <c r="A107">
        <f>'Lista de Compra'!A105</f>
        <v>102</v>
      </c>
      <c r="B107" t="str">
        <f>'Lista de Compra'!B105</f>
        <v>FLANGE 4" 300LBS LISO ASTM A105 GR WPB B16.5 RF</v>
      </c>
      <c r="C107">
        <f>'Lista de Compra'!C105</f>
        <v>72121000</v>
      </c>
      <c r="D107" s="98">
        <f>'Lista de Compra'!I105</f>
        <v>15</v>
      </c>
      <c r="E107" s="142">
        <f>'Lista de Compra'!L105</f>
        <v>1.9191054385680835E-3</v>
      </c>
      <c r="F107" s="139">
        <f>'Lista de Compra'!J105</f>
        <v>8.4700000000000006</v>
      </c>
      <c r="G107" s="139">
        <f t="shared" si="34"/>
        <v>127.05000000000001</v>
      </c>
      <c r="H107" s="22">
        <f t="shared" si="35"/>
        <v>653.03700000000003</v>
      </c>
      <c r="I107" s="143">
        <f>'Rateio Custos Fixos'!E106</f>
        <v>185.23205693059143</v>
      </c>
      <c r="J107" s="22">
        <f t="shared" si="36"/>
        <v>838.26905693059143</v>
      </c>
      <c r="K107" s="22">
        <f t="shared" si="37"/>
        <v>932.15519130681764</v>
      </c>
      <c r="L107" s="22">
        <f t="shared" si="38"/>
        <v>93.886134376226238</v>
      </c>
      <c r="M107" s="22">
        <f t="shared" si="43"/>
        <v>30.295043717471575</v>
      </c>
      <c r="N107" s="22">
        <f t="shared" si="43"/>
        <v>19.575259017443173</v>
      </c>
      <c r="O107" s="22">
        <f t="shared" si="43"/>
        <v>89.95297596110791</v>
      </c>
      <c r="P107" s="22">
        <f t="shared" si="43"/>
        <v>55.929311478409055</v>
      </c>
      <c r="Q107" s="22">
        <f t="shared" si="39"/>
        <v>289.63872455065797</v>
      </c>
      <c r="R107" s="22">
        <f>'Rateio Custos Fixos'!F106</f>
        <v>0.6716869034988292</v>
      </c>
      <c r="S107" s="22">
        <f>'Rateio Custos Fixos'!G106</f>
        <v>2.1110159824248917</v>
      </c>
      <c r="T107" s="22">
        <f>'Rateio Custos Fixos'!H106</f>
        <v>2.8786581578521253</v>
      </c>
      <c r="U107" s="22">
        <f>'Rateio Custos Fixos'!I106</f>
        <v>0.19191054385680834</v>
      </c>
      <c r="V107" s="22">
        <f>'Rateio Custos Fixos'!J106</f>
        <v>0.345438978942255</v>
      </c>
      <c r="W107" s="22">
        <f>'Rateio Custos Fixos'!K106</f>
        <v>0.94036166489836093</v>
      </c>
      <c r="X107" s="22">
        <f>'Rateio Custos Fixos'!L106</f>
        <v>2.0342517648821685</v>
      </c>
      <c r="Y107" s="22">
        <f>'Rateio Custos Fixos'!M106</f>
        <v>0.70239259051591851</v>
      </c>
      <c r="Z107" s="22">
        <f>'Rateio Custos Fixos'!N106</f>
        <v>14.818564554447315</v>
      </c>
      <c r="AA107" s="22">
        <f>'Rateio Custos Fixos'!O106</f>
        <v>2.8786581578521253</v>
      </c>
      <c r="AB107" s="22">
        <f>'Rateio Custos Fixos'!P106</f>
        <v>0.57573163157042506</v>
      </c>
      <c r="AC107" s="22">
        <f>'Rateio Custos Fixos'!Q106</f>
        <v>0.61474704513651413</v>
      </c>
      <c r="AD107" s="22">
        <f>'Rateio Custos Fixos'!R106</f>
        <v>0.38382108771361667</v>
      </c>
      <c r="AE107" s="22">
        <f>'Rateio Custos Fixos'!S106</f>
        <v>8.6359744735563755</v>
      </c>
      <c r="AF107" s="22">
        <f>'Rateio Custos Fixos'!T106</f>
        <v>15.934908188062366</v>
      </c>
      <c r="AG107" s="22">
        <f>'Rateio Custos Fixos'!U106</f>
        <v>2.4948370701385088</v>
      </c>
      <c r="AH107" s="22">
        <f t="shared" si="40"/>
        <v>56.212958795348605</v>
      </c>
      <c r="AI107" s="22">
        <f t="shared" si="41"/>
        <v>1184.1207402765981</v>
      </c>
      <c r="AJ107" s="22">
        <f t="shared" si="42"/>
        <v>78.941382685106547</v>
      </c>
    </row>
    <row r="108" spans="1:36" ht="14.4" x14ac:dyDescent="0.3">
      <c r="A108">
        <f>'Lista de Compra'!A106</f>
        <v>103</v>
      </c>
      <c r="B108" t="str">
        <f>'Lista de Compra'!B106</f>
        <v>CURVA 1.1/2" SCH40 RL 90° ASTM A-234 ASME B16.9</v>
      </c>
      <c r="C108">
        <f>'Lista de Compra'!C106</f>
        <v>72121000</v>
      </c>
      <c r="D108" s="98">
        <f>'Lista de Compra'!I106</f>
        <v>100</v>
      </c>
      <c r="E108" s="142">
        <f>'Lista de Compra'!L106</f>
        <v>6.042047819183261E-4</v>
      </c>
      <c r="F108" s="139">
        <f>'Lista de Compra'!J106</f>
        <v>0.4</v>
      </c>
      <c r="G108" s="139">
        <f t="shared" si="34"/>
        <v>40</v>
      </c>
      <c r="H108" s="22">
        <f t="shared" si="35"/>
        <v>205.6</v>
      </c>
      <c r="I108" s="143">
        <f>'Rateio Custos Fixos'!E107</f>
        <v>58.317845550756836</v>
      </c>
      <c r="J108" s="22">
        <f t="shared" si="36"/>
        <v>263.91784555075685</v>
      </c>
      <c r="K108" s="22">
        <f t="shared" si="37"/>
        <v>293.47664425244164</v>
      </c>
      <c r="L108" s="22">
        <f t="shared" si="38"/>
        <v>29.558798701684768</v>
      </c>
      <c r="M108" s="22">
        <f t="shared" si="43"/>
        <v>9.537990938204354</v>
      </c>
      <c r="N108" s="22">
        <f t="shared" si="43"/>
        <v>6.1630095293012745</v>
      </c>
      <c r="O108" s="22">
        <f t="shared" si="43"/>
        <v>28.32049617036062</v>
      </c>
      <c r="P108" s="22">
        <f t="shared" si="43"/>
        <v>17.608598655146498</v>
      </c>
      <c r="Q108" s="22">
        <f t="shared" si="39"/>
        <v>91.188893994697509</v>
      </c>
      <c r="R108" s="22">
        <f>'Rateio Custos Fixos'!F107</f>
        <v>0.21147167367141415</v>
      </c>
      <c r="S108" s="22">
        <f>'Rateio Custos Fixos'!G107</f>
        <v>0.66462526011015866</v>
      </c>
      <c r="T108" s="22">
        <f>'Rateio Custos Fixos'!H107</f>
        <v>0.90630717287748919</v>
      </c>
      <c r="U108" s="22">
        <f>'Rateio Custos Fixos'!I107</f>
        <v>6.0420478191832612E-2</v>
      </c>
      <c r="V108" s="22">
        <f>'Rateio Custos Fixos'!J107</f>
        <v>0.10875686074529869</v>
      </c>
      <c r="W108" s="22">
        <f>'Rateio Custos Fixos'!K107</f>
        <v>0.29606034313997981</v>
      </c>
      <c r="X108" s="22">
        <f>'Rateio Custos Fixos'!L107</f>
        <v>0.64045706883342568</v>
      </c>
      <c r="Y108" s="22">
        <f>'Rateio Custos Fixos'!M107</f>
        <v>0.22113895018210736</v>
      </c>
      <c r="Z108" s="22">
        <f>'Rateio Custos Fixos'!N107</f>
        <v>4.6654276440605473</v>
      </c>
      <c r="AA108" s="22">
        <f>'Rateio Custos Fixos'!O107</f>
        <v>0.90630717287748919</v>
      </c>
      <c r="AB108" s="22">
        <f>'Rateio Custos Fixos'!P107</f>
        <v>0.18126143457549784</v>
      </c>
      <c r="AC108" s="22">
        <f>'Rateio Custos Fixos'!Q107</f>
        <v>0.19354491779189739</v>
      </c>
      <c r="AD108" s="22">
        <f>'Rateio Custos Fixos'!R107</f>
        <v>0.12084095638366522</v>
      </c>
      <c r="AE108" s="22">
        <f>'Rateio Custos Fixos'!S107</f>
        <v>2.7189215186324676</v>
      </c>
      <c r="AF108" s="22">
        <f>'Rateio Custos Fixos'!T107</f>
        <v>5.0168935657024365</v>
      </c>
      <c r="AG108" s="22">
        <f>'Rateio Custos Fixos'!U107</f>
        <v>0.78546621649382398</v>
      </c>
      <c r="AH108" s="22">
        <f t="shared" si="40"/>
        <v>17.69790123426953</v>
      </c>
      <c r="AI108" s="22">
        <f t="shared" si="41"/>
        <v>372.80464077972391</v>
      </c>
      <c r="AJ108" s="22">
        <f t="shared" si="42"/>
        <v>3.7280464077972391</v>
      </c>
    </row>
    <row r="109" spans="1:36" ht="14.4" x14ac:dyDescent="0.3">
      <c r="A109">
        <f>'Lista de Compra'!A107</f>
        <v>104</v>
      </c>
      <c r="B109" t="str">
        <f>'Lista de Compra'!B107</f>
        <v>CURVA 2" SCH40 RL 90° ASTM A-234 ASME B16.9</v>
      </c>
      <c r="C109">
        <f>'Lista de Compra'!C107</f>
        <v>72121000</v>
      </c>
      <c r="D109" s="98">
        <f>'Lista de Compra'!I107</f>
        <v>200</v>
      </c>
      <c r="E109" s="142">
        <f>'Lista de Compra'!L107</f>
        <v>1.9032450630427273E-3</v>
      </c>
      <c r="F109" s="139">
        <f>'Lista de Compra'!J107</f>
        <v>0.63</v>
      </c>
      <c r="G109" s="139">
        <f t="shared" si="34"/>
        <v>126</v>
      </c>
      <c r="H109" s="22">
        <f t="shared" si="35"/>
        <v>647.64</v>
      </c>
      <c r="I109" s="143">
        <f>'Rateio Custos Fixos'!E108</f>
        <v>183.70121348488405</v>
      </c>
      <c r="J109" s="22">
        <f t="shared" si="36"/>
        <v>831.34121348488407</v>
      </c>
      <c r="K109" s="22">
        <f t="shared" si="37"/>
        <v>924.4514293951911</v>
      </c>
      <c r="L109" s="22">
        <f t="shared" si="38"/>
        <v>93.110215910307019</v>
      </c>
      <c r="M109" s="22">
        <f t="shared" si="43"/>
        <v>30.04467145534371</v>
      </c>
      <c r="N109" s="22">
        <f t="shared" si="43"/>
        <v>19.413480017299015</v>
      </c>
      <c r="O109" s="22">
        <f t="shared" si="43"/>
        <v>89.209562936635947</v>
      </c>
      <c r="P109" s="22">
        <f t="shared" si="43"/>
        <v>55.467085763711466</v>
      </c>
      <c r="Q109" s="22">
        <f t="shared" si="39"/>
        <v>287.24501608329712</v>
      </c>
      <c r="R109" s="22">
        <f>'Rateio Custos Fixos'!F108</f>
        <v>0.66613577206495456</v>
      </c>
      <c r="S109" s="22">
        <f>'Rateio Custos Fixos'!G108</f>
        <v>2.0935695693470002</v>
      </c>
      <c r="T109" s="22">
        <f>'Rateio Custos Fixos'!H108</f>
        <v>2.8548675945640909</v>
      </c>
      <c r="U109" s="22">
        <f>'Rateio Custos Fixos'!I108</f>
        <v>0.19032450630427272</v>
      </c>
      <c r="V109" s="22">
        <f>'Rateio Custos Fixos'!J108</f>
        <v>0.3425841113476909</v>
      </c>
      <c r="W109" s="22">
        <f>'Rateio Custos Fixos'!K108</f>
        <v>0.93259008089093642</v>
      </c>
      <c r="X109" s="22">
        <f>'Rateio Custos Fixos'!L108</f>
        <v>2.0174397668252908</v>
      </c>
      <c r="Y109" s="22">
        <f>'Rateio Custos Fixos'!M108</f>
        <v>0.69658769307363821</v>
      </c>
      <c r="Z109" s="22">
        <f>'Rateio Custos Fixos'!N108</f>
        <v>14.696097078790725</v>
      </c>
      <c r="AA109" s="22">
        <f>'Rateio Custos Fixos'!O108</f>
        <v>2.8548675945640909</v>
      </c>
      <c r="AB109" s="22">
        <f>'Rateio Custos Fixos'!P108</f>
        <v>0.57097351891281822</v>
      </c>
      <c r="AC109" s="22">
        <f>'Rateio Custos Fixos'!Q108</f>
        <v>0.60966649104447679</v>
      </c>
      <c r="AD109" s="22">
        <f>'Rateio Custos Fixos'!R108</f>
        <v>0.38064901260854545</v>
      </c>
      <c r="AE109" s="22">
        <f>'Rateio Custos Fixos'!S108</f>
        <v>8.5646027836922727</v>
      </c>
      <c r="AF109" s="22">
        <f>'Rateio Custos Fixos'!T108</f>
        <v>15.803214731962676</v>
      </c>
      <c r="AG109" s="22">
        <f>'Rateio Custos Fixos'!U108</f>
        <v>2.4742185819555456</v>
      </c>
      <c r="AH109" s="22">
        <f t="shared" si="40"/>
        <v>55.748388887949034</v>
      </c>
      <c r="AI109" s="22">
        <f t="shared" si="41"/>
        <v>1174.3346184561301</v>
      </c>
      <c r="AJ109" s="22">
        <f t="shared" si="42"/>
        <v>5.8716730922806502</v>
      </c>
    </row>
    <row r="110" spans="1:36" ht="14.4" x14ac:dyDescent="0.3">
      <c r="A110">
        <f>'Lista de Compra'!A108</f>
        <v>105</v>
      </c>
      <c r="B110" t="str">
        <f>'Lista de Compra'!B108</f>
        <v>CURVA 4" SCH40 RL 90° ASTM A-234 ASME B16.9</v>
      </c>
      <c r="C110">
        <f>'Lista de Compra'!C108</f>
        <v>72121000</v>
      </c>
      <c r="D110" s="98">
        <f>'Lista de Compra'!I108</f>
        <v>30</v>
      </c>
      <c r="E110" s="142">
        <f>'Lista de Compra'!L108</f>
        <v>1.3730553669093961E-3</v>
      </c>
      <c r="F110" s="139">
        <f>'Lista de Compra'!J108</f>
        <v>3.03</v>
      </c>
      <c r="G110" s="139">
        <f t="shared" si="34"/>
        <v>90.899999999999991</v>
      </c>
      <c r="H110" s="22">
        <f t="shared" si="35"/>
        <v>467.22599999999994</v>
      </c>
      <c r="I110" s="143">
        <f>'Rateio Custos Fixos'!E109</f>
        <v>132.52730401409491</v>
      </c>
      <c r="J110" s="22">
        <f t="shared" si="36"/>
        <v>599.75330401409485</v>
      </c>
      <c r="K110" s="22">
        <f t="shared" si="37"/>
        <v>666.92567406367345</v>
      </c>
      <c r="L110" s="22">
        <f t="shared" si="38"/>
        <v>67.172370049578632</v>
      </c>
      <c r="M110" s="22">
        <f t="shared" si="43"/>
        <v>21.675084407069388</v>
      </c>
      <c r="N110" s="22">
        <f t="shared" si="43"/>
        <v>14.005439155337143</v>
      </c>
      <c r="O110" s="22">
        <f t="shared" si="43"/>
        <v>64.358327547144484</v>
      </c>
      <c r="P110" s="22">
        <f t="shared" si="43"/>
        <v>40.015540443820406</v>
      </c>
      <c r="Q110" s="22">
        <f t="shared" si="39"/>
        <v>207.22676160295006</v>
      </c>
      <c r="R110" s="22">
        <f>'Rateio Custos Fixos'!F109</f>
        <v>0.48056937841828862</v>
      </c>
      <c r="S110" s="22">
        <f>'Rateio Custos Fixos'!G109</f>
        <v>1.5103609036003356</v>
      </c>
      <c r="T110" s="22">
        <f>'Rateio Custos Fixos'!H109</f>
        <v>2.0595830503640942</v>
      </c>
      <c r="U110" s="22">
        <f>'Rateio Custos Fixos'!I109</f>
        <v>0.13730553669093962</v>
      </c>
      <c r="V110" s="22">
        <f>'Rateio Custos Fixos'!J109</f>
        <v>0.2471499660436913</v>
      </c>
      <c r="W110" s="22">
        <f>'Rateio Custos Fixos'!K109</f>
        <v>0.67279712978560413</v>
      </c>
      <c r="X110" s="22">
        <f>'Rateio Custos Fixos'!L109</f>
        <v>1.4554386889239599</v>
      </c>
      <c r="Y110" s="22">
        <f>'Rateio Custos Fixos'!M109</f>
        <v>0.50253826428883897</v>
      </c>
      <c r="Z110" s="22">
        <f>'Rateio Custos Fixos'!N109</f>
        <v>10.602184321127593</v>
      </c>
      <c r="AA110" s="22">
        <f>'Rateio Custos Fixos'!O109</f>
        <v>2.0595830503640942</v>
      </c>
      <c r="AB110" s="22">
        <f>'Rateio Custos Fixos'!P109</f>
        <v>0.41191661007281882</v>
      </c>
      <c r="AC110" s="22">
        <f>'Rateio Custos Fixos'!Q109</f>
        <v>0.43983082568208681</v>
      </c>
      <c r="AD110" s="22">
        <f>'Rateio Custos Fixos'!R109</f>
        <v>0.27461107338187923</v>
      </c>
      <c r="AE110" s="22">
        <f>'Rateio Custos Fixos'!S109</f>
        <v>6.1787491510922825</v>
      </c>
      <c r="AF110" s="22">
        <f>'Rateio Custos Fixos'!T109</f>
        <v>11.400890628058788</v>
      </c>
      <c r="AG110" s="22">
        <f>'Rateio Custos Fixos'!U109</f>
        <v>1.784971976982215</v>
      </c>
      <c r="AH110" s="22">
        <f t="shared" si="40"/>
        <v>40.218480554877509</v>
      </c>
      <c r="AI110" s="22">
        <f t="shared" si="41"/>
        <v>847.19854617192243</v>
      </c>
      <c r="AJ110" s="22">
        <f t="shared" si="42"/>
        <v>28.23995153906408</v>
      </c>
    </row>
    <row r="111" spans="1:36" ht="14.4" x14ac:dyDescent="0.3">
      <c r="A111">
        <f>'Lista de Compra'!A109</f>
        <v>106</v>
      </c>
      <c r="B111" t="str">
        <f>'Lista de Compra'!B109</f>
        <v>CURVA 5" SCH40 RL 90° ASTM A-234 ASME B16.9</v>
      </c>
      <c r="C111">
        <f>'Lista de Compra'!C109</f>
        <v>72121000</v>
      </c>
      <c r="D111" s="98">
        <f>'Lista de Compra'!I109</f>
        <v>40</v>
      </c>
      <c r="E111" s="142">
        <f>'Lista de Compra'!L109</f>
        <v>2.9424772879422484E-3</v>
      </c>
      <c r="F111" s="139">
        <f>'Lista de Compra'!J109</f>
        <v>4.87</v>
      </c>
      <c r="G111" s="139">
        <f t="shared" si="34"/>
        <v>194.8</v>
      </c>
      <c r="H111" s="22">
        <f t="shared" si="35"/>
        <v>1001.272</v>
      </c>
      <c r="I111" s="143">
        <f>'Rateio Custos Fixos'!E110</f>
        <v>284.00790783218582</v>
      </c>
      <c r="J111" s="22">
        <f t="shared" si="36"/>
        <v>1285.2799078321859</v>
      </c>
      <c r="K111" s="22">
        <f t="shared" si="37"/>
        <v>1429.2312575093908</v>
      </c>
      <c r="L111" s="22">
        <f t="shared" si="38"/>
        <v>143.95134967720483</v>
      </c>
      <c r="M111" s="22">
        <f t="shared" si="43"/>
        <v>46.450015869055207</v>
      </c>
      <c r="N111" s="22">
        <f t="shared" si="43"/>
        <v>30.013856407697208</v>
      </c>
      <c r="O111" s="22">
        <f t="shared" si="43"/>
        <v>137.92081634965621</v>
      </c>
      <c r="P111" s="22">
        <f t="shared" si="43"/>
        <v>85.753875450563442</v>
      </c>
      <c r="Q111" s="22">
        <f t="shared" si="39"/>
        <v>444.08991375417691</v>
      </c>
      <c r="R111" s="22">
        <f>'Rateio Custos Fixos'!F110</f>
        <v>1.0298670507797869</v>
      </c>
      <c r="S111" s="22">
        <f>'Rateio Custos Fixos'!G110</f>
        <v>3.2367250167364734</v>
      </c>
      <c r="T111" s="22">
        <f>'Rateio Custos Fixos'!H110</f>
        <v>4.413715931913373</v>
      </c>
      <c r="U111" s="22">
        <f>'Rateio Custos Fixos'!I110</f>
        <v>0.29424772879422484</v>
      </c>
      <c r="V111" s="22">
        <f>'Rateio Custos Fixos'!J110</f>
        <v>0.52964591182960474</v>
      </c>
      <c r="W111" s="22">
        <f>'Rateio Custos Fixos'!K110</f>
        <v>1.4418138710917017</v>
      </c>
      <c r="X111" s="22">
        <f>'Rateio Custos Fixos'!L110</f>
        <v>3.1190259252187831</v>
      </c>
      <c r="Y111" s="22">
        <f>'Rateio Custos Fixos'!M110</f>
        <v>1.0769466873868629</v>
      </c>
      <c r="Z111" s="22">
        <f>'Rateio Custos Fixos'!N110</f>
        <v>22.720632626574865</v>
      </c>
      <c r="AA111" s="22">
        <f>'Rateio Custos Fixos'!O110</f>
        <v>4.413715931913373</v>
      </c>
      <c r="AB111" s="22">
        <f>'Rateio Custos Fixos'!P110</f>
        <v>0.88274318638267446</v>
      </c>
      <c r="AC111" s="22">
        <f>'Rateio Custos Fixos'!Q110</f>
        <v>0.94256374964654033</v>
      </c>
      <c r="AD111" s="22">
        <f>'Rateio Custos Fixos'!R110</f>
        <v>0.58849545758844968</v>
      </c>
      <c r="AE111" s="22">
        <f>'Rateio Custos Fixos'!S110</f>
        <v>13.241147795740117</v>
      </c>
      <c r="AF111" s="22">
        <f>'Rateio Custos Fixos'!T110</f>
        <v>24.43227166497087</v>
      </c>
      <c r="AG111" s="22">
        <f>'Rateio Custos Fixos'!U110</f>
        <v>3.8252204743249227</v>
      </c>
      <c r="AH111" s="22">
        <f t="shared" si="40"/>
        <v>86.188779010892617</v>
      </c>
      <c r="AI111" s="22">
        <f t="shared" si="41"/>
        <v>1815.5586005972555</v>
      </c>
      <c r="AJ111" s="22">
        <f t="shared" si="42"/>
        <v>45.388965014931387</v>
      </c>
    </row>
    <row r="112" spans="1:36" ht="14.4" x14ac:dyDescent="0.3">
      <c r="A112">
        <f>'Lista de Compra'!A110</f>
        <v>107</v>
      </c>
      <c r="B112" t="str">
        <f>'Lista de Compra'!B110</f>
        <v>CURVA 6" SCH40 RL 90° ASTM A-234 ASME B16.9</v>
      </c>
      <c r="C112">
        <f>'Lista de Compra'!C110</f>
        <v>72121000</v>
      </c>
      <c r="D112" s="98">
        <f>'Lista de Compra'!I110</f>
        <v>50</v>
      </c>
      <c r="E112" s="142">
        <f>'Lista de Compra'!L110</f>
        <v>5.5284737545526841E-3</v>
      </c>
      <c r="F112" s="139">
        <f>'Lista de Compra'!J110</f>
        <v>7.32</v>
      </c>
      <c r="G112" s="139">
        <f t="shared" si="34"/>
        <v>366</v>
      </c>
      <c r="H112" s="22">
        <f t="shared" si="35"/>
        <v>1881.2399999999998</v>
      </c>
      <c r="I112" s="143">
        <f>'Rateio Custos Fixos'!E111</f>
        <v>533.60828678942505</v>
      </c>
      <c r="J112" s="22">
        <f t="shared" si="36"/>
        <v>2414.8482867894249</v>
      </c>
      <c r="K112" s="22">
        <f t="shared" si="37"/>
        <v>2685.3112949098404</v>
      </c>
      <c r="L112" s="22">
        <f t="shared" si="38"/>
        <v>270.46300812041562</v>
      </c>
      <c r="M112" s="22">
        <f t="shared" si="43"/>
        <v>87.272617084569816</v>
      </c>
      <c r="N112" s="22">
        <f t="shared" si="43"/>
        <v>56.39153719310665</v>
      </c>
      <c r="O112" s="22">
        <f t="shared" si="43"/>
        <v>259.13253995879961</v>
      </c>
      <c r="P112" s="22">
        <f t="shared" si="43"/>
        <v>161.11867769459042</v>
      </c>
      <c r="Q112" s="22">
        <f t="shared" si="39"/>
        <v>834.37838005148205</v>
      </c>
      <c r="R112" s="22">
        <f>'Rateio Custos Fixos'!F111</f>
        <v>1.9349658140934394</v>
      </c>
      <c r="S112" s="22">
        <f>'Rateio Custos Fixos'!G111</f>
        <v>6.0813211300079528</v>
      </c>
      <c r="T112" s="22">
        <f>'Rateio Custos Fixos'!H111</f>
        <v>8.292710631829026</v>
      </c>
      <c r="U112" s="22">
        <f>'Rateio Custos Fixos'!I111</f>
        <v>0.55284737545526841</v>
      </c>
      <c r="V112" s="22">
        <f>'Rateio Custos Fixos'!J111</f>
        <v>0.99512527581948318</v>
      </c>
      <c r="W112" s="22">
        <f>'Rateio Custos Fixos'!K111</f>
        <v>2.7089521397308154</v>
      </c>
      <c r="X112" s="22">
        <f>'Rateio Custos Fixos'!L111</f>
        <v>5.8601821798258449</v>
      </c>
      <c r="Y112" s="22">
        <f>'Rateio Custos Fixos'!M111</f>
        <v>2.0234213941662822</v>
      </c>
      <c r="Z112" s="22">
        <f>'Rateio Custos Fixos'!N111</f>
        <v>42.688662943154007</v>
      </c>
      <c r="AA112" s="22">
        <f>'Rateio Custos Fixos'!O111</f>
        <v>8.292710631829026</v>
      </c>
      <c r="AB112" s="22">
        <f>'Rateio Custos Fixos'!P111</f>
        <v>1.6585421263658053</v>
      </c>
      <c r="AC112" s="22">
        <f>'Rateio Custos Fixos'!Q111</f>
        <v>1.7709359977958612</v>
      </c>
      <c r="AD112" s="22">
        <f>'Rateio Custos Fixos'!R111</f>
        <v>1.1056947509105368</v>
      </c>
      <c r="AE112" s="22">
        <f>'Rateio Custos Fixos'!S111</f>
        <v>24.87813189548708</v>
      </c>
      <c r="AF112" s="22">
        <f>'Rateio Custos Fixos'!T111</f>
        <v>45.904576126177297</v>
      </c>
      <c r="AG112" s="22">
        <f>'Rateio Custos Fixos'!U111</f>
        <v>7.187015880918489</v>
      </c>
      <c r="AH112" s="22">
        <f t="shared" si="40"/>
        <v>161.9357962935662</v>
      </c>
      <c r="AI112" s="22">
        <f t="shared" si="41"/>
        <v>3411.162463134473</v>
      </c>
      <c r="AJ112" s="22">
        <f t="shared" si="42"/>
        <v>68.223249262689464</v>
      </c>
    </row>
    <row r="113" spans="1:36" ht="14.4" x14ac:dyDescent="0.3">
      <c r="A113">
        <f>'Lista de Compra'!A111</f>
        <v>108</v>
      </c>
      <c r="B113" t="str">
        <f>'Lista de Compra'!B111</f>
        <v>FLANGE 1" 150LBS LISO ASTM A105 GR WPB B16.5 RF</v>
      </c>
      <c r="C113">
        <f>'Lista de Compra'!C111</f>
        <v>72121000</v>
      </c>
      <c r="D113" s="98">
        <f>'Lista de Compra'!I111</f>
        <v>200</v>
      </c>
      <c r="E113" s="142">
        <f>'Lista de Compra'!L111</f>
        <v>2.9908136704957142E-3</v>
      </c>
      <c r="F113" s="139">
        <f>'Lista de Compra'!J111</f>
        <v>0.99</v>
      </c>
      <c r="G113" s="139">
        <f t="shared" si="34"/>
        <v>198</v>
      </c>
      <c r="H113" s="22">
        <f t="shared" si="35"/>
        <v>1017.7199999999999</v>
      </c>
      <c r="I113" s="143">
        <f>'Rateio Custos Fixos'!E112</f>
        <v>288.67333547624634</v>
      </c>
      <c r="J113" s="22">
        <f t="shared" si="36"/>
        <v>1306.3933354762462</v>
      </c>
      <c r="K113" s="22">
        <f t="shared" si="37"/>
        <v>1452.7093890495858</v>
      </c>
      <c r="L113" s="22">
        <f t="shared" si="38"/>
        <v>146.31605357333959</v>
      </c>
      <c r="M113" s="22">
        <f t="shared" si="43"/>
        <v>47.213055144111536</v>
      </c>
      <c r="N113" s="22">
        <f t="shared" si="43"/>
        <v>30.506897170041302</v>
      </c>
      <c r="O113" s="22">
        <f t="shared" si="43"/>
        <v>140.18645604328503</v>
      </c>
      <c r="P113" s="22">
        <f t="shared" si="43"/>
        <v>87.162563342975147</v>
      </c>
      <c r="Q113" s="22">
        <f t="shared" si="39"/>
        <v>451.3850252737526</v>
      </c>
      <c r="R113" s="22">
        <f>'Rateio Custos Fixos'!F112</f>
        <v>1.0467847846734999</v>
      </c>
      <c r="S113" s="22">
        <f>'Rateio Custos Fixos'!G112</f>
        <v>3.2898950375452856</v>
      </c>
      <c r="T113" s="22">
        <f>'Rateio Custos Fixos'!H112</f>
        <v>4.4862205057435709</v>
      </c>
      <c r="U113" s="22">
        <f>'Rateio Custos Fixos'!I112</f>
        <v>0.29908136704957144</v>
      </c>
      <c r="V113" s="22">
        <f>'Rateio Custos Fixos'!J112</f>
        <v>0.53834646068922853</v>
      </c>
      <c r="W113" s="22">
        <f>'Rateio Custos Fixos'!K112</f>
        <v>1.4654986985428999</v>
      </c>
      <c r="X113" s="22">
        <f>'Rateio Custos Fixos'!L112</f>
        <v>3.1702624907254573</v>
      </c>
      <c r="Y113" s="22">
        <f>'Rateio Custos Fixos'!M112</f>
        <v>1.0946378034014315</v>
      </c>
      <c r="Z113" s="22">
        <f>'Rateio Custos Fixos'!N112</f>
        <v>23.093866838099707</v>
      </c>
      <c r="AA113" s="22">
        <f>'Rateio Custos Fixos'!O112</f>
        <v>4.4862205057435709</v>
      </c>
      <c r="AB113" s="22">
        <f>'Rateio Custos Fixos'!P112</f>
        <v>0.89724410114871422</v>
      </c>
      <c r="AC113" s="22">
        <f>'Rateio Custos Fixos'!Q112</f>
        <v>0.95804734306989214</v>
      </c>
      <c r="AD113" s="22">
        <f>'Rateio Custos Fixos'!R112</f>
        <v>0.59816273409914289</v>
      </c>
      <c r="AE113" s="22">
        <f>'Rateio Custos Fixos'!S112</f>
        <v>13.458661517230714</v>
      </c>
      <c r="AF113" s="22">
        <f>'Rateio Custos Fixos'!T112</f>
        <v>24.833623150227062</v>
      </c>
      <c r="AG113" s="22">
        <f>'Rateio Custos Fixos'!U112</f>
        <v>3.8880577716444287</v>
      </c>
      <c r="AH113" s="22">
        <f t="shared" si="40"/>
        <v>87.604611109634178</v>
      </c>
      <c r="AI113" s="22">
        <f t="shared" si="41"/>
        <v>1845.3829718596328</v>
      </c>
      <c r="AJ113" s="22">
        <f t="shared" si="42"/>
        <v>9.226914859298164</v>
      </c>
    </row>
    <row r="114" spans="1:36" ht="14.4" x14ac:dyDescent="0.3">
      <c r="A114">
        <f>'Lista de Compra'!A112</f>
        <v>109</v>
      </c>
      <c r="B114" t="str">
        <f>'Lista de Compra'!B112</f>
        <v>FLANGE 1" 300LBS LISO ASTM A105 GR WPB B16.5 RF</v>
      </c>
      <c r="C114">
        <f>'Lista de Compra'!C112</f>
        <v>72121000</v>
      </c>
      <c r="D114" s="98">
        <f>'Lista de Compra'!I112</f>
        <v>50</v>
      </c>
      <c r="E114" s="142">
        <f>'Lista de Compra'!L112</f>
        <v>1.1933044442886942E-3</v>
      </c>
      <c r="F114" s="139">
        <f>'Lista de Compra'!J112</f>
        <v>1.58</v>
      </c>
      <c r="G114" s="139">
        <f t="shared" si="34"/>
        <v>79</v>
      </c>
      <c r="H114" s="22">
        <f t="shared" si="35"/>
        <v>406.06</v>
      </c>
      <c r="I114" s="143">
        <f>'Rateio Custos Fixos'!E113</f>
        <v>115.17774496274477</v>
      </c>
      <c r="J114" s="22">
        <f t="shared" si="36"/>
        <v>521.23774496274473</v>
      </c>
      <c r="K114" s="22">
        <f t="shared" si="37"/>
        <v>579.61637239857214</v>
      </c>
      <c r="L114" s="22">
        <f t="shared" si="38"/>
        <v>58.378627435827411</v>
      </c>
      <c r="M114" s="22">
        <f t="shared" si="43"/>
        <v>18.837532102953595</v>
      </c>
      <c r="N114" s="22">
        <f t="shared" si="43"/>
        <v>12.171943820370016</v>
      </c>
      <c r="O114" s="22">
        <f t="shared" si="43"/>
        <v>55.93297993646221</v>
      </c>
      <c r="P114" s="22">
        <f t="shared" si="43"/>
        <v>34.776982343914327</v>
      </c>
      <c r="Q114" s="22">
        <f t="shared" si="39"/>
        <v>180.09806563952753</v>
      </c>
      <c r="R114" s="22">
        <f>'Rateio Custos Fixos'!F113</f>
        <v>0.41765655550104297</v>
      </c>
      <c r="S114" s="22">
        <f>'Rateio Custos Fixos'!G113</f>
        <v>1.3126348887175636</v>
      </c>
      <c r="T114" s="22">
        <f>'Rateio Custos Fixos'!H113</f>
        <v>1.7899566664330413</v>
      </c>
      <c r="U114" s="22">
        <f>'Rateio Custos Fixos'!I113</f>
        <v>0.11933044442886942</v>
      </c>
      <c r="V114" s="22">
        <f>'Rateio Custos Fixos'!J113</f>
        <v>0.21479479997196496</v>
      </c>
      <c r="W114" s="22">
        <f>'Rateio Custos Fixos'!K113</f>
        <v>0.5847191777014602</v>
      </c>
      <c r="X114" s="22">
        <f>'Rateio Custos Fixos'!L113</f>
        <v>1.2649027109460158</v>
      </c>
      <c r="Y114" s="22">
        <f>'Rateio Custos Fixos'!M113</f>
        <v>0.43674942660966209</v>
      </c>
      <c r="Z114" s="22">
        <f>'Rateio Custos Fixos'!N113</f>
        <v>9.2142195970195822</v>
      </c>
      <c r="AA114" s="22">
        <f>'Rateio Custos Fixos'!O113</f>
        <v>1.7899566664330413</v>
      </c>
      <c r="AB114" s="22">
        <f>'Rateio Custos Fixos'!P113</f>
        <v>0.35799133328660826</v>
      </c>
      <c r="AC114" s="22">
        <f>'Rateio Custos Fixos'!Q113</f>
        <v>0.38225121263899742</v>
      </c>
      <c r="AD114" s="22">
        <f>'Rateio Custos Fixos'!R113</f>
        <v>0.23866088885773884</v>
      </c>
      <c r="AE114" s="22">
        <f>'Rateio Custos Fixos'!S113</f>
        <v>5.3698699992991239</v>
      </c>
      <c r="AF114" s="22">
        <f>'Rateio Custos Fixos'!T113</f>
        <v>9.9083647922623133</v>
      </c>
      <c r="AG114" s="22">
        <f>'Rateio Custos Fixos'!U113</f>
        <v>1.5512957775753025</v>
      </c>
      <c r="AH114" s="22">
        <f t="shared" si="40"/>
        <v>34.953354937682334</v>
      </c>
      <c r="AI114" s="22">
        <f t="shared" si="41"/>
        <v>736.28916553995452</v>
      </c>
      <c r="AJ114" s="22">
        <f t="shared" si="42"/>
        <v>14.725783310799091</v>
      </c>
    </row>
    <row r="115" spans="1:36" ht="14.4" x14ac:dyDescent="0.3">
      <c r="A115">
        <f>'Lista de Compra'!A113</f>
        <v>110</v>
      </c>
      <c r="B115" t="str">
        <f>'Lista de Compra'!B113</f>
        <v>FLANGE 1.1/2" 150LBS LISO ASTM A105 GR WPB B16.5</v>
      </c>
      <c r="C115">
        <f>'Lista de Compra'!C113</f>
        <v>72121000</v>
      </c>
      <c r="D115" s="98">
        <f>'Lista de Compra'!I113</f>
        <v>800</v>
      </c>
      <c r="E115" s="142">
        <f>'Lista de Compra'!L113</f>
        <v>1.7884461544782453E-2</v>
      </c>
      <c r="F115" s="139">
        <f>'Lista de Compra'!J113</f>
        <v>1.48</v>
      </c>
      <c r="G115" s="139">
        <f t="shared" si="34"/>
        <v>1184</v>
      </c>
      <c r="H115" s="22">
        <f t="shared" si="35"/>
        <v>6085.7599999999993</v>
      </c>
      <c r="I115" s="143">
        <f>'Rateio Custos Fixos'!E114</f>
        <v>1726.2082283024024</v>
      </c>
      <c r="J115" s="22">
        <f t="shared" si="36"/>
        <v>7811.9682283024013</v>
      </c>
      <c r="K115" s="22">
        <f t="shared" si="37"/>
        <v>8686.9086698722695</v>
      </c>
      <c r="L115" s="22">
        <f t="shared" si="38"/>
        <v>874.94044156986899</v>
      </c>
      <c r="M115" s="22">
        <f t="shared" si="43"/>
        <v>282.32453177084875</v>
      </c>
      <c r="N115" s="22">
        <f t="shared" si="43"/>
        <v>182.42508206731767</v>
      </c>
      <c r="O115" s="22">
        <f t="shared" si="43"/>
        <v>838.286686642674</v>
      </c>
      <c r="P115" s="22">
        <f t="shared" si="43"/>
        <v>521.21452019233618</v>
      </c>
      <c r="Q115" s="22">
        <f t="shared" si="39"/>
        <v>2699.1912622430455</v>
      </c>
      <c r="R115" s="22">
        <f>'Rateio Custos Fixos'!F114</f>
        <v>6.2595615406738583</v>
      </c>
      <c r="S115" s="22">
        <f>'Rateio Custos Fixos'!G114</f>
        <v>19.672907699260698</v>
      </c>
      <c r="T115" s="22">
        <f>'Rateio Custos Fixos'!H114</f>
        <v>26.826692317173681</v>
      </c>
      <c r="U115" s="22">
        <f>'Rateio Custos Fixos'!I114</f>
        <v>1.7884461544782453</v>
      </c>
      <c r="V115" s="22">
        <f>'Rateio Custos Fixos'!J114</f>
        <v>3.2192030780608416</v>
      </c>
      <c r="W115" s="22">
        <f>'Rateio Custos Fixos'!K114</f>
        <v>8.7633861569434011</v>
      </c>
      <c r="X115" s="22">
        <f>'Rateio Custos Fixos'!L114</f>
        <v>18.957529237469398</v>
      </c>
      <c r="Y115" s="22">
        <f>'Rateio Custos Fixos'!M114</f>
        <v>6.5457129253903776</v>
      </c>
      <c r="Z115" s="22">
        <f>'Rateio Custos Fixos'!N114</f>
        <v>138.0966582641922</v>
      </c>
      <c r="AA115" s="22">
        <f>'Rateio Custos Fixos'!O114</f>
        <v>26.826692317173681</v>
      </c>
      <c r="AB115" s="22">
        <f>'Rateio Custos Fixos'!P114</f>
        <v>5.3653384634347354</v>
      </c>
      <c r="AC115" s="22">
        <f>'Rateio Custos Fixos'!Q114</f>
        <v>5.7289295666401632</v>
      </c>
      <c r="AD115" s="22">
        <f>'Rateio Custos Fixos'!R114</f>
        <v>3.5768923089564906</v>
      </c>
      <c r="AE115" s="22">
        <f>'Rateio Custos Fixos'!S114</f>
        <v>80.480076951521042</v>
      </c>
      <c r="AF115" s="22">
        <f>'Rateio Custos Fixos'!T114</f>
        <v>148.50004954479212</v>
      </c>
      <c r="AG115" s="22">
        <f>'Rateio Custos Fixos'!U114</f>
        <v>23.249800008217189</v>
      </c>
      <c r="AH115" s="22">
        <f t="shared" si="40"/>
        <v>523.85787653437808</v>
      </c>
      <c r="AI115" s="22">
        <f t="shared" si="41"/>
        <v>11035.017367079825</v>
      </c>
      <c r="AJ115" s="22">
        <f t="shared" si="42"/>
        <v>13.793771708849782</v>
      </c>
    </row>
    <row r="116" spans="1:36" ht="14.4" x14ac:dyDescent="0.3">
      <c r="A116">
        <f>'Lista de Compra'!A114</f>
        <v>111</v>
      </c>
      <c r="B116" t="str">
        <f>'Lista de Compra'!B114</f>
        <v>FLANGE 1.1/2" 300LBS LISO ASTM A105 GR WPB B16.5 RF</v>
      </c>
      <c r="C116">
        <f>'Lista de Compra'!C114</f>
        <v>72121000</v>
      </c>
      <c r="D116" s="98">
        <f>'Lista de Compra'!I114</f>
        <v>50</v>
      </c>
      <c r="E116" s="142">
        <f>'Lista de Compra'!L114</f>
        <v>2.0845064976182251E-3</v>
      </c>
      <c r="F116" s="139">
        <f>'Lista de Compra'!J114</f>
        <v>2.76</v>
      </c>
      <c r="G116" s="139">
        <f t="shared" si="34"/>
        <v>138</v>
      </c>
      <c r="H116" s="22">
        <f t="shared" si="35"/>
        <v>709.31999999999994</v>
      </c>
      <c r="I116" s="143">
        <f>'Rateio Custos Fixos'!E115</f>
        <v>201.19656715011109</v>
      </c>
      <c r="J116" s="22">
        <f t="shared" si="36"/>
        <v>910.51656715011109</v>
      </c>
      <c r="K116" s="22">
        <f t="shared" si="37"/>
        <v>1012.4944226709235</v>
      </c>
      <c r="L116" s="22">
        <f t="shared" si="38"/>
        <v>101.97785552081244</v>
      </c>
      <c r="M116" s="22">
        <f t="shared" si="43"/>
        <v>32.906068736805018</v>
      </c>
      <c r="N116" s="22">
        <f t="shared" si="43"/>
        <v>21.262382876089397</v>
      </c>
      <c r="O116" s="22">
        <f t="shared" si="43"/>
        <v>97.705711787744121</v>
      </c>
      <c r="P116" s="22">
        <f t="shared" si="43"/>
        <v>60.749665360255413</v>
      </c>
      <c r="Q116" s="22">
        <f t="shared" si="39"/>
        <v>314.60168428170635</v>
      </c>
      <c r="R116" s="22">
        <f>'Rateio Custos Fixos'!F115</f>
        <v>0.72957727416637874</v>
      </c>
      <c r="S116" s="22">
        <f>'Rateio Custos Fixos'!G115</f>
        <v>2.2929571473800476</v>
      </c>
      <c r="T116" s="22">
        <f>'Rateio Custos Fixos'!H115</f>
        <v>3.1267597464273376</v>
      </c>
      <c r="U116" s="22">
        <f>'Rateio Custos Fixos'!I115</f>
        <v>0.20845064976182251</v>
      </c>
      <c r="V116" s="22">
        <f>'Rateio Custos Fixos'!J115</f>
        <v>0.37521116957128053</v>
      </c>
      <c r="W116" s="22">
        <f>'Rateio Custos Fixos'!K115</f>
        <v>1.0214081838329303</v>
      </c>
      <c r="X116" s="22">
        <f>'Rateio Custos Fixos'!L115</f>
        <v>2.2095768874753188</v>
      </c>
      <c r="Y116" s="22">
        <f>'Rateio Custos Fixos'!M115</f>
        <v>0.76292937812827044</v>
      </c>
      <c r="Z116" s="22">
        <f>'Rateio Custos Fixos'!N115</f>
        <v>16.095725372008889</v>
      </c>
      <c r="AA116" s="22">
        <f>'Rateio Custos Fixos'!O115</f>
        <v>3.1267597464273376</v>
      </c>
      <c r="AB116" s="22">
        <f>'Rateio Custos Fixos'!P115</f>
        <v>0.62535194928546756</v>
      </c>
      <c r="AC116" s="22">
        <f>'Rateio Custos Fixos'!Q115</f>
        <v>0.66772996638204607</v>
      </c>
      <c r="AD116" s="22">
        <f>'Rateio Custos Fixos'!R115</f>
        <v>0.41690129952364502</v>
      </c>
      <c r="AE116" s="22">
        <f>'Rateio Custos Fixos'!S115</f>
        <v>9.3802792392820127</v>
      </c>
      <c r="AF116" s="22">
        <f>'Rateio Custos Fixos'!T115</f>
        <v>17.308282801673407</v>
      </c>
      <c r="AG116" s="22">
        <f>'Rateio Custos Fixos'!U115</f>
        <v>2.7098584469036928</v>
      </c>
      <c r="AH116" s="22">
        <f t="shared" si="40"/>
        <v>61.057759258229886</v>
      </c>
      <c r="AI116" s="22">
        <f t="shared" si="41"/>
        <v>1286.1760106900474</v>
      </c>
      <c r="AJ116" s="22">
        <f t="shared" si="42"/>
        <v>25.723520213800949</v>
      </c>
    </row>
    <row r="117" spans="1:36" ht="14.4" x14ac:dyDescent="0.3">
      <c r="A117">
        <f>'Lista de Compra'!A115</f>
        <v>112</v>
      </c>
      <c r="B117" t="str">
        <f>'Lista de Compra'!B115</f>
        <v>FLANGE 1.1/4" 150LBS LISO ASTM A105 GR WPB B16.5 RF</v>
      </c>
      <c r="C117">
        <f>'Lista de Compra'!C115</f>
        <v>72121000</v>
      </c>
      <c r="D117" s="98">
        <f>'Lista de Compra'!I115</f>
        <v>30</v>
      </c>
      <c r="E117" s="142">
        <f>'Lista de Compra'!L115</f>
        <v>6.2535194928546752E-4</v>
      </c>
      <c r="F117" s="139">
        <f>'Lista de Compra'!J115</f>
        <v>1.38</v>
      </c>
      <c r="G117" s="139">
        <f t="shared" si="34"/>
        <v>41.4</v>
      </c>
      <c r="H117" s="22">
        <f t="shared" si="35"/>
        <v>212.79599999999999</v>
      </c>
      <c r="I117" s="143">
        <f>'Rateio Custos Fixos'!E116</f>
        <v>60.358970145033325</v>
      </c>
      <c r="J117" s="22">
        <f t="shared" si="36"/>
        <v>273.1549701450333</v>
      </c>
      <c r="K117" s="22">
        <f t="shared" si="37"/>
        <v>303.74832680127702</v>
      </c>
      <c r="L117" s="22">
        <f t="shared" si="38"/>
        <v>30.593356656243731</v>
      </c>
      <c r="M117" s="22">
        <f t="shared" si="43"/>
        <v>9.871820621041504</v>
      </c>
      <c r="N117" s="22">
        <f t="shared" si="43"/>
        <v>6.3787148628268175</v>
      </c>
      <c r="O117" s="22">
        <f t="shared" si="43"/>
        <v>29.311713536323232</v>
      </c>
      <c r="P117" s="22">
        <f t="shared" si="43"/>
        <v>18.224899608076619</v>
      </c>
      <c r="Q117" s="22">
        <f t="shared" si="39"/>
        <v>94.380505284511912</v>
      </c>
      <c r="R117" s="22">
        <f>'Rateio Custos Fixos'!F116</f>
        <v>0.21887318224991364</v>
      </c>
      <c r="S117" s="22">
        <f>'Rateio Custos Fixos'!G116</f>
        <v>0.68788714421401431</v>
      </c>
      <c r="T117" s="22">
        <f>'Rateio Custos Fixos'!H116</f>
        <v>0.93802792392820122</v>
      </c>
      <c r="U117" s="22">
        <f>'Rateio Custos Fixos'!I116</f>
        <v>6.2535194928546756E-2</v>
      </c>
      <c r="V117" s="22">
        <f>'Rateio Custos Fixos'!J116</f>
        <v>0.11256335087138415</v>
      </c>
      <c r="W117" s="22">
        <f>'Rateio Custos Fixos'!K116</f>
        <v>0.30642245514987909</v>
      </c>
      <c r="X117" s="22">
        <f>'Rateio Custos Fixos'!L116</f>
        <v>0.66287306624259557</v>
      </c>
      <c r="Y117" s="22">
        <f>'Rateio Custos Fixos'!M116</f>
        <v>0.2288788134384811</v>
      </c>
      <c r="Z117" s="22">
        <f>'Rateio Custos Fixos'!N116</f>
        <v>4.8287176116026664</v>
      </c>
      <c r="AA117" s="22">
        <f>'Rateio Custos Fixos'!O116</f>
        <v>0.93802792392820122</v>
      </c>
      <c r="AB117" s="22">
        <f>'Rateio Custos Fixos'!P116</f>
        <v>0.18760558478564027</v>
      </c>
      <c r="AC117" s="22">
        <f>'Rateio Custos Fixos'!Q116</f>
        <v>0.2003189899146138</v>
      </c>
      <c r="AD117" s="22">
        <f>'Rateio Custos Fixos'!R116</f>
        <v>0.12507038985709351</v>
      </c>
      <c r="AE117" s="22">
        <f>'Rateio Custos Fixos'!S116</f>
        <v>2.8140837717846039</v>
      </c>
      <c r="AF117" s="22">
        <f>'Rateio Custos Fixos'!T116</f>
        <v>5.1924848405020221</v>
      </c>
      <c r="AG117" s="22">
        <f>'Rateio Custos Fixos'!U116</f>
        <v>0.81295753407110782</v>
      </c>
      <c r="AH117" s="22">
        <f t="shared" si="40"/>
        <v>18.317327777468964</v>
      </c>
      <c r="AI117" s="22">
        <f t="shared" si="41"/>
        <v>385.85280320701418</v>
      </c>
      <c r="AJ117" s="22">
        <f t="shared" si="42"/>
        <v>12.861760106900473</v>
      </c>
    </row>
    <row r="118" spans="1:36" ht="14.4" x14ac:dyDescent="0.3">
      <c r="A118">
        <f>'Lista de Compra'!A116</f>
        <v>113</v>
      </c>
      <c r="B118" t="str">
        <f>'Lista de Compra'!B116</f>
        <v>FLANGE 2" 150LBS LISO ASTM A105 GR WPB B16.5 RF</v>
      </c>
      <c r="C118">
        <f>'Lista de Compra'!C116</f>
        <v>72121000</v>
      </c>
      <c r="D118" s="98">
        <f>'Lista de Compra'!I116</f>
        <v>1500</v>
      </c>
      <c r="E118" s="142">
        <f>'Lista de Compra'!L116</f>
        <v>4.463562826421634E-2</v>
      </c>
      <c r="F118" s="139">
        <f>'Lista de Compra'!J116</f>
        <v>1.97</v>
      </c>
      <c r="G118" s="139">
        <f t="shared" si="34"/>
        <v>2955</v>
      </c>
      <c r="H118" s="22">
        <f t="shared" si="35"/>
        <v>15188.699999999999</v>
      </c>
      <c r="I118" s="143">
        <f>'Rateio Custos Fixos'!E117</f>
        <v>4308.2308400621614</v>
      </c>
      <c r="J118" s="22">
        <f t="shared" si="36"/>
        <v>19496.930840062159</v>
      </c>
      <c r="K118" s="22">
        <f t="shared" si="37"/>
        <v>21680.587094149123</v>
      </c>
      <c r="L118" s="22">
        <f t="shared" si="38"/>
        <v>2183.6562540869618</v>
      </c>
      <c r="M118" s="22">
        <f t="shared" si="43"/>
        <v>704.61908055984657</v>
      </c>
      <c r="N118" s="22">
        <f t="shared" si="43"/>
        <v>455.2923289771316</v>
      </c>
      <c r="O118" s="22">
        <f t="shared" si="43"/>
        <v>2092.1766545853902</v>
      </c>
      <c r="P118" s="22">
        <f t="shared" si="43"/>
        <v>1300.8352256489472</v>
      </c>
      <c r="Q118" s="22">
        <f t="shared" si="39"/>
        <v>6736.5795438582772</v>
      </c>
      <c r="R118" s="22">
        <f>'Rateio Custos Fixos'!F117</f>
        <v>15.622469892475719</v>
      </c>
      <c r="S118" s="22">
        <f>'Rateio Custos Fixos'!G117</f>
        <v>49.099191090637973</v>
      </c>
      <c r="T118" s="22">
        <f>'Rateio Custos Fixos'!H117</f>
        <v>66.953442396324505</v>
      </c>
      <c r="U118" s="22">
        <f>'Rateio Custos Fixos'!I117</f>
        <v>4.4635628264216338</v>
      </c>
      <c r="V118" s="22">
        <f>'Rateio Custos Fixos'!J117</f>
        <v>8.0344130875589403</v>
      </c>
      <c r="W118" s="22">
        <f>'Rateio Custos Fixos'!K117</f>
        <v>21.871457849466008</v>
      </c>
      <c r="X118" s="22">
        <f>'Rateio Custos Fixos'!L117</f>
        <v>47.313765960069318</v>
      </c>
      <c r="Y118" s="22">
        <f>'Rateio Custos Fixos'!M117</f>
        <v>16.33663994470318</v>
      </c>
      <c r="Z118" s="22">
        <f>'Rateio Custos Fixos'!N117</f>
        <v>344.65846720497291</v>
      </c>
      <c r="AA118" s="22">
        <f>'Rateio Custos Fixos'!O117</f>
        <v>66.953442396324505</v>
      </c>
      <c r="AB118" s="22">
        <f>'Rateio Custos Fixos'!P117</f>
        <v>13.390688479264902</v>
      </c>
      <c r="AC118" s="22">
        <f>'Rateio Custos Fixos'!Q117</f>
        <v>14.29813080187642</v>
      </c>
      <c r="AD118" s="22">
        <f>'Rateio Custos Fixos'!R117</f>
        <v>8.9271256528432676</v>
      </c>
      <c r="AE118" s="22">
        <f>'Rateio Custos Fixos'!S117</f>
        <v>200.86032718897354</v>
      </c>
      <c r="AF118" s="22">
        <f>'Rateio Custos Fixos'!T117</f>
        <v>370.62301216626753</v>
      </c>
      <c r="AG118" s="22">
        <f>'Rateio Custos Fixos'!U117</f>
        <v>58.026316743481239</v>
      </c>
      <c r="AH118" s="22">
        <f t="shared" si="40"/>
        <v>1307.4324536816614</v>
      </c>
      <c r="AI118" s="22">
        <f t="shared" si="41"/>
        <v>27540.942837602099</v>
      </c>
      <c r="AJ118" s="22">
        <f t="shared" si="42"/>
        <v>18.360628558401398</v>
      </c>
    </row>
    <row r="119" spans="1:36" ht="14.4" x14ac:dyDescent="0.3">
      <c r="A119">
        <f>'Lista de Compra'!A117</f>
        <v>114</v>
      </c>
      <c r="B119" t="str">
        <f>'Lista de Compra'!B117</f>
        <v>FLANGE 2" 300LBS LISO ASTM A105 GR WPB B16.5 RF</v>
      </c>
      <c r="C119">
        <f>'Lista de Compra'!C117</f>
        <v>72121000</v>
      </c>
      <c r="D119" s="98">
        <f>'Lista de Compra'!I117</f>
        <v>400</v>
      </c>
      <c r="E119" s="142">
        <f>'Lista de Compra'!L117</f>
        <v>1.9032450630427272E-2</v>
      </c>
      <c r="F119" s="139">
        <f>'Lista de Compra'!J117</f>
        <v>3.15</v>
      </c>
      <c r="G119" s="139">
        <f t="shared" si="34"/>
        <v>1260</v>
      </c>
      <c r="H119" s="22">
        <f t="shared" si="35"/>
        <v>6476.4</v>
      </c>
      <c r="I119" s="143">
        <f>'Rateio Custos Fixos'!E118</f>
        <v>1837.0121348488403</v>
      </c>
      <c r="J119" s="22">
        <f t="shared" si="36"/>
        <v>8313.4121348488407</v>
      </c>
      <c r="K119" s="22">
        <f t="shared" si="37"/>
        <v>9244.5142939519101</v>
      </c>
      <c r="L119" s="22">
        <f t="shared" si="38"/>
        <v>931.10215910307022</v>
      </c>
      <c r="M119" s="22">
        <f t="shared" si="43"/>
        <v>300.44671455343706</v>
      </c>
      <c r="N119" s="22">
        <f t="shared" si="43"/>
        <v>194.13480017299011</v>
      </c>
      <c r="O119" s="22">
        <f t="shared" si="43"/>
        <v>892.09562936635939</v>
      </c>
      <c r="P119" s="22">
        <f t="shared" si="43"/>
        <v>554.67085763711464</v>
      </c>
      <c r="Q119" s="22">
        <f t="shared" si="39"/>
        <v>2872.4501608329715</v>
      </c>
      <c r="R119" s="22">
        <f>'Rateio Custos Fixos'!F118</f>
        <v>6.6613577206495451</v>
      </c>
      <c r="S119" s="22">
        <f>'Rateio Custos Fixos'!G118</f>
        <v>20.935695693469999</v>
      </c>
      <c r="T119" s="22">
        <f>'Rateio Custos Fixos'!H118</f>
        <v>28.548675945640909</v>
      </c>
      <c r="U119" s="22">
        <f>'Rateio Custos Fixos'!I118</f>
        <v>1.9032450630427271</v>
      </c>
      <c r="V119" s="22">
        <f>'Rateio Custos Fixos'!J118</f>
        <v>3.4258411134769089</v>
      </c>
      <c r="W119" s="22">
        <f>'Rateio Custos Fixos'!K118</f>
        <v>9.3259008089093633</v>
      </c>
      <c r="X119" s="22">
        <f>'Rateio Custos Fixos'!L118</f>
        <v>20.174397668252908</v>
      </c>
      <c r="Y119" s="22">
        <f>'Rateio Custos Fixos'!M118</f>
        <v>6.9658769307363819</v>
      </c>
      <c r="Z119" s="22">
        <f>'Rateio Custos Fixos'!N118</f>
        <v>146.96097078790723</v>
      </c>
      <c r="AA119" s="22">
        <f>'Rateio Custos Fixos'!O118</f>
        <v>28.548675945640909</v>
      </c>
      <c r="AB119" s="22">
        <f>'Rateio Custos Fixos'!P118</f>
        <v>5.7097351891281818</v>
      </c>
      <c r="AC119" s="22">
        <f>'Rateio Custos Fixos'!Q118</f>
        <v>6.0966649104447681</v>
      </c>
      <c r="AD119" s="22">
        <f>'Rateio Custos Fixos'!R118</f>
        <v>3.8064901260854542</v>
      </c>
      <c r="AE119" s="22">
        <f>'Rateio Custos Fixos'!S118</f>
        <v>85.646027836922727</v>
      </c>
      <c r="AF119" s="22">
        <f>'Rateio Custos Fixos'!T118</f>
        <v>158.03214731962674</v>
      </c>
      <c r="AG119" s="22">
        <f>'Rateio Custos Fixos'!U118</f>
        <v>24.742185819555456</v>
      </c>
      <c r="AH119" s="22">
        <f t="shared" si="40"/>
        <v>557.48388887949011</v>
      </c>
      <c r="AI119" s="22">
        <f t="shared" si="41"/>
        <v>11743.346184561302</v>
      </c>
      <c r="AJ119" s="22">
        <f t="shared" si="42"/>
        <v>29.358365461403256</v>
      </c>
    </row>
    <row r="120" spans="1:36" ht="14.4" x14ac:dyDescent="0.3">
      <c r="A120">
        <f>'Lista de Compra'!A118</f>
        <v>115</v>
      </c>
      <c r="B120" t="str">
        <f>'Lista de Compra'!B118</f>
        <v>FLANGE 2.1/2" 150LBS LISO ASTM A105 GR WPB B16.5 RF</v>
      </c>
      <c r="C120">
        <f>'Lista de Compra'!C118</f>
        <v>72121000</v>
      </c>
      <c r="D120" s="98">
        <f>'Lista de Compra'!I118</f>
        <v>50</v>
      </c>
      <c r="E120" s="142">
        <f>'Lista de Compra'!L118</f>
        <v>2.379056328803409E-3</v>
      </c>
      <c r="F120" s="139">
        <f>'Lista de Compra'!J118</f>
        <v>3.15</v>
      </c>
      <c r="G120" s="139">
        <f t="shared" si="34"/>
        <v>157.5</v>
      </c>
      <c r="H120" s="22">
        <f t="shared" si="35"/>
        <v>809.55</v>
      </c>
      <c r="I120" s="143">
        <f>'Rateio Custos Fixos'!E119</f>
        <v>229.62651685610504</v>
      </c>
      <c r="J120" s="22">
        <f t="shared" si="36"/>
        <v>1039.1765168561051</v>
      </c>
      <c r="K120" s="22">
        <f t="shared" si="37"/>
        <v>1155.5642867439888</v>
      </c>
      <c r="L120" s="22">
        <f t="shared" si="38"/>
        <v>116.38776988788378</v>
      </c>
      <c r="M120" s="22">
        <f t="shared" si="43"/>
        <v>37.555839319179633</v>
      </c>
      <c r="N120" s="22">
        <f t="shared" si="43"/>
        <v>24.266850021623764</v>
      </c>
      <c r="O120" s="22">
        <f t="shared" si="43"/>
        <v>111.51195367079492</v>
      </c>
      <c r="P120" s="22">
        <f t="shared" si="43"/>
        <v>69.33385720463933</v>
      </c>
      <c r="Q120" s="22">
        <f t="shared" si="39"/>
        <v>359.05627010412144</v>
      </c>
      <c r="R120" s="22">
        <f>'Rateio Custos Fixos'!F119</f>
        <v>0.83266971508119314</v>
      </c>
      <c r="S120" s="22">
        <f>'Rateio Custos Fixos'!G119</f>
        <v>2.6169619616837498</v>
      </c>
      <c r="T120" s="22">
        <f>'Rateio Custos Fixos'!H119</f>
        <v>3.5685844932051136</v>
      </c>
      <c r="U120" s="22">
        <f>'Rateio Custos Fixos'!I119</f>
        <v>0.23790563288034089</v>
      </c>
      <c r="V120" s="22">
        <f>'Rateio Custos Fixos'!J119</f>
        <v>0.42823013918461361</v>
      </c>
      <c r="W120" s="22">
        <f>'Rateio Custos Fixos'!K119</f>
        <v>1.1657376011136704</v>
      </c>
      <c r="X120" s="22">
        <f>'Rateio Custos Fixos'!L119</f>
        <v>2.5217997085316135</v>
      </c>
      <c r="Y120" s="22">
        <f>'Rateio Custos Fixos'!M119</f>
        <v>0.87073461634204774</v>
      </c>
      <c r="Z120" s="22">
        <f>'Rateio Custos Fixos'!N119</f>
        <v>18.370121348488404</v>
      </c>
      <c r="AA120" s="22">
        <f>'Rateio Custos Fixos'!O119</f>
        <v>3.5685844932051136</v>
      </c>
      <c r="AB120" s="22">
        <f>'Rateio Custos Fixos'!P119</f>
        <v>0.71371689864102272</v>
      </c>
      <c r="AC120" s="22">
        <f>'Rateio Custos Fixos'!Q119</f>
        <v>0.76208311380559601</v>
      </c>
      <c r="AD120" s="22">
        <f>'Rateio Custos Fixos'!R119</f>
        <v>0.47581126576068178</v>
      </c>
      <c r="AE120" s="22">
        <f>'Rateio Custos Fixos'!S119</f>
        <v>10.705753479615341</v>
      </c>
      <c r="AF120" s="22">
        <f>'Rateio Custos Fixos'!T119</f>
        <v>19.754018414953343</v>
      </c>
      <c r="AG120" s="22">
        <f>'Rateio Custos Fixos'!U119</f>
        <v>3.0927732274444319</v>
      </c>
      <c r="AH120" s="22">
        <f t="shared" si="40"/>
        <v>69.685486109936264</v>
      </c>
      <c r="AI120" s="22">
        <f t="shared" si="41"/>
        <v>1467.9182730701627</v>
      </c>
      <c r="AJ120" s="22">
        <f t="shared" si="42"/>
        <v>29.358365461403256</v>
      </c>
    </row>
    <row r="121" spans="1:36" ht="14.4" x14ac:dyDescent="0.3">
      <c r="A121">
        <f>'Lista de Compra'!A119</f>
        <v>116</v>
      </c>
      <c r="B121" t="str">
        <f>'Lista de Compra'!B119</f>
        <v>FLANGE 2.1/2" 300LBS LISO ASTM A105 GR WPB B16.5 RF</v>
      </c>
      <c r="C121">
        <f>'Lista de Compra'!C119</f>
        <v>72121000</v>
      </c>
      <c r="D121" s="98">
        <f>'Lista de Compra'!I119</f>
        <v>30</v>
      </c>
      <c r="E121" s="142">
        <f>'Lista de Compra'!L119</f>
        <v>1.8760558478564024E-3</v>
      </c>
      <c r="F121" s="139">
        <f>'Lista de Compra'!J119</f>
        <v>4.1399999999999997</v>
      </c>
      <c r="G121" s="139">
        <f t="shared" si="34"/>
        <v>124.19999999999999</v>
      </c>
      <c r="H121" s="22">
        <f t="shared" si="35"/>
        <v>638.38799999999992</v>
      </c>
      <c r="I121" s="143">
        <f>'Rateio Custos Fixos'!E120</f>
        <v>181.07691043509996</v>
      </c>
      <c r="J121" s="22">
        <f t="shared" si="36"/>
        <v>819.46491043509991</v>
      </c>
      <c r="K121" s="22">
        <f t="shared" si="37"/>
        <v>911.24498040383105</v>
      </c>
      <c r="L121" s="22">
        <f t="shared" si="38"/>
        <v>91.780069968731198</v>
      </c>
      <c r="M121" s="22">
        <f t="shared" si="43"/>
        <v>29.615461863124509</v>
      </c>
      <c r="N121" s="22">
        <f t="shared" si="43"/>
        <v>19.136144588480452</v>
      </c>
      <c r="O121" s="22">
        <f t="shared" si="43"/>
        <v>87.935140608969704</v>
      </c>
      <c r="P121" s="22">
        <f t="shared" si="43"/>
        <v>54.674698824229864</v>
      </c>
      <c r="Q121" s="22">
        <f t="shared" si="39"/>
        <v>283.14151585353574</v>
      </c>
      <c r="R121" s="22">
        <f>'Rateio Custos Fixos'!F120</f>
        <v>0.65661954674974088</v>
      </c>
      <c r="S121" s="22">
        <f>'Rateio Custos Fixos'!G120</f>
        <v>2.0636614326420428</v>
      </c>
      <c r="T121" s="22">
        <f>'Rateio Custos Fixos'!H120</f>
        <v>2.8140837717846034</v>
      </c>
      <c r="U121" s="22">
        <f>'Rateio Custos Fixos'!I120</f>
        <v>0.18760558478564024</v>
      </c>
      <c r="V121" s="22">
        <f>'Rateio Custos Fixos'!J120</f>
        <v>0.33769005261415241</v>
      </c>
      <c r="W121" s="22">
        <f>'Rateio Custos Fixos'!K120</f>
        <v>0.91926736544963716</v>
      </c>
      <c r="X121" s="22">
        <f>'Rateio Custos Fixos'!L120</f>
        <v>1.9886191987277866</v>
      </c>
      <c r="Y121" s="22">
        <f>'Rateio Custos Fixos'!M120</f>
        <v>0.68663644031544324</v>
      </c>
      <c r="Z121" s="22">
        <f>'Rateio Custos Fixos'!N120</f>
        <v>14.486152834807998</v>
      </c>
      <c r="AA121" s="22">
        <f>'Rateio Custos Fixos'!O120</f>
        <v>2.8140837717846034</v>
      </c>
      <c r="AB121" s="22">
        <f>'Rateio Custos Fixos'!P120</f>
        <v>0.56281675435692069</v>
      </c>
      <c r="AC121" s="22">
        <f>'Rateio Custos Fixos'!Q120</f>
        <v>0.60095696974384138</v>
      </c>
      <c r="AD121" s="22">
        <f>'Rateio Custos Fixos'!R120</f>
        <v>0.37521116957128048</v>
      </c>
      <c r="AE121" s="22">
        <f>'Rateio Custos Fixos'!S120</f>
        <v>8.4422513153538112</v>
      </c>
      <c r="AF121" s="22">
        <f>'Rateio Custos Fixos'!T120</f>
        <v>15.577454521506064</v>
      </c>
      <c r="AG121" s="22">
        <f>'Rateio Custos Fixos'!U120</f>
        <v>2.4388726022133231</v>
      </c>
      <c r="AH121" s="22">
        <f t="shared" si="40"/>
        <v>54.951983332406883</v>
      </c>
      <c r="AI121" s="22">
        <f t="shared" si="41"/>
        <v>1157.5584096210425</v>
      </c>
      <c r="AJ121" s="22">
        <f t="shared" si="42"/>
        <v>38.585280320701415</v>
      </c>
    </row>
    <row r="122" spans="1:36" ht="14.4" x14ac:dyDescent="0.3">
      <c r="A122">
        <f>'Lista de Compra'!A120</f>
        <v>117</v>
      </c>
      <c r="B122" t="str">
        <f>'Lista de Compra'!B120</f>
        <v>FLANGE 3" 150LBS LISO ASTM A105 GR WPB B16.5 RF</v>
      </c>
      <c r="C122">
        <f>'Lista de Compra'!C120</f>
        <v>72121000</v>
      </c>
      <c r="D122" s="98">
        <f>'Lista de Compra'!I120</f>
        <v>150</v>
      </c>
      <c r="E122" s="142">
        <f>'Lista de Compra'!L120</f>
        <v>8.0434761592877175E-3</v>
      </c>
      <c r="F122" s="139">
        <f>'Lista de Compra'!J120</f>
        <v>3.55</v>
      </c>
      <c r="G122" s="139">
        <f t="shared" si="34"/>
        <v>532.5</v>
      </c>
      <c r="H122" s="22">
        <f t="shared" si="35"/>
        <v>2737.0499999999997</v>
      </c>
      <c r="I122" s="143">
        <f>'Rateio Custos Fixos'!E121</f>
        <v>776.35631889445051</v>
      </c>
      <c r="J122" s="22">
        <f t="shared" si="36"/>
        <v>3513.4063188944501</v>
      </c>
      <c r="K122" s="22">
        <f t="shared" si="37"/>
        <v>3906.9078266106285</v>
      </c>
      <c r="L122" s="22">
        <f t="shared" si="38"/>
        <v>393.50150771617842</v>
      </c>
      <c r="M122" s="22">
        <f t="shared" si="43"/>
        <v>126.97450436484543</v>
      </c>
      <c r="N122" s="22">
        <f t="shared" si="43"/>
        <v>82.045064358823197</v>
      </c>
      <c r="O122" s="22">
        <f t="shared" si="43"/>
        <v>377.01660526792568</v>
      </c>
      <c r="P122" s="22">
        <f t="shared" si="43"/>
        <v>234.4144695966377</v>
      </c>
      <c r="Q122" s="22">
        <f t="shared" si="39"/>
        <v>1213.9521513044106</v>
      </c>
      <c r="R122" s="22">
        <f>'Rateio Custos Fixos'!F121</f>
        <v>2.8152166557507012</v>
      </c>
      <c r="S122" s="22">
        <f>'Rateio Custos Fixos'!G121</f>
        <v>8.8478237752164901</v>
      </c>
      <c r="T122" s="22">
        <f>'Rateio Custos Fixos'!H121</f>
        <v>12.065214238931576</v>
      </c>
      <c r="U122" s="22">
        <f>'Rateio Custos Fixos'!I121</f>
        <v>0.8043476159287718</v>
      </c>
      <c r="V122" s="22">
        <f>'Rateio Custos Fixos'!J121</f>
        <v>1.4478257086717892</v>
      </c>
      <c r="W122" s="22">
        <f>'Rateio Custos Fixos'!K121</f>
        <v>3.9413033180509816</v>
      </c>
      <c r="X122" s="22">
        <f>'Rateio Custos Fixos'!L121</f>
        <v>8.5260847288449799</v>
      </c>
      <c r="Y122" s="22">
        <f>'Rateio Custos Fixos'!M121</f>
        <v>2.9439122742993047</v>
      </c>
      <c r="Z122" s="22">
        <f>'Rateio Custos Fixos'!N121</f>
        <v>62.108505511556039</v>
      </c>
      <c r="AA122" s="22">
        <f>'Rateio Custos Fixos'!O121</f>
        <v>12.065214238931576</v>
      </c>
      <c r="AB122" s="22">
        <f>'Rateio Custos Fixos'!P121</f>
        <v>2.4130428477863153</v>
      </c>
      <c r="AC122" s="22">
        <f>'Rateio Custos Fixos'!Q121</f>
        <v>2.5765667181046346</v>
      </c>
      <c r="AD122" s="22">
        <f>'Rateio Custos Fixos'!R121</f>
        <v>1.6086952318575436</v>
      </c>
      <c r="AE122" s="22">
        <f>'Rateio Custos Fixos'!S121</f>
        <v>36.19564271679473</v>
      </c>
      <c r="AF122" s="22">
        <f>'Rateio Custos Fixos'!T121</f>
        <v>66.787395593413706</v>
      </c>
      <c r="AG122" s="22">
        <f>'Rateio Custos Fixos'!U121</f>
        <v>10.456519007074032</v>
      </c>
      <c r="AH122" s="22">
        <f t="shared" si="40"/>
        <v>235.60331018121317</v>
      </c>
      <c r="AI122" s="22">
        <f t="shared" si="41"/>
        <v>4962.9617803800738</v>
      </c>
      <c r="AJ122" s="22">
        <f t="shared" si="42"/>
        <v>33.086411869200489</v>
      </c>
    </row>
    <row r="123" spans="1:36" ht="14.4" x14ac:dyDescent="0.3">
      <c r="A123">
        <f>'Lista de Compra'!A121</f>
        <v>118</v>
      </c>
      <c r="B123" t="str">
        <f>'Lista de Compra'!B121</f>
        <v>FLANGE 4" 150LBS LISO ASTM A105 GR WPB B16.5 RF</v>
      </c>
      <c r="C123">
        <f>'Lista de Compra'!C121</f>
        <v>72121000</v>
      </c>
      <c r="D123" s="98">
        <f>'Lista de Compra'!I121</f>
        <v>200</v>
      </c>
      <c r="E123" s="142">
        <f>'Lista de Compra'!L121</f>
        <v>1.489364787428674E-2</v>
      </c>
      <c r="F123" s="139">
        <f>'Lista de Compra'!J121</f>
        <v>4.93</v>
      </c>
      <c r="G123" s="139">
        <f t="shared" si="34"/>
        <v>986</v>
      </c>
      <c r="H123" s="22">
        <f t="shared" si="35"/>
        <v>5068.04</v>
      </c>
      <c r="I123" s="143">
        <f>'Rateio Custos Fixos'!E122</f>
        <v>1437.534892826156</v>
      </c>
      <c r="J123" s="22">
        <f t="shared" si="36"/>
        <v>6505.5748928261564</v>
      </c>
      <c r="K123" s="22">
        <f t="shared" si="37"/>
        <v>7234.199280822686</v>
      </c>
      <c r="L123" s="22">
        <f t="shared" si="38"/>
        <v>728.62438799652955</v>
      </c>
      <c r="M123" s="22">
        <f t="shared" si="43"/>
        <v>235.1114766267373</v>
      </c>
      <c r="N123" s="22">
        <f t="shared" si="43"/>
        <v>151.9181848972764</v>
      </c>
      <c r="O123" s="22">
        <f t="shared" si="43"/>
        <v>698.10023059938919</v>
      </c>
      <c r="P123" s="22">
        <f t="shared" si="43"/>
        <v>434.05195684936115</v>
      </c>
      <c r="Q123" s="22">
        <f t="shared" si="39"/>
        <v>2247.8062369692934</v>
      </c>
      <c r="R123" s="22">
        <f>'Rateio Custos Fixos'!F122</f>
        <v>5.2127767560003591</v>
      </c>
      <c r="S123" s="22">
        <f>'Rateio Custos Fixos'!G122</f>
        <v>16.383012661715412</v>
      </c>
      <c r="T123" s="22">
        <f>'Rateio Custos Fixos'!H122</f>
        <v>22.34047181143011</v>
      </c>
      <c r="U123" s="22">
        <f>'Rateio Custos Fixos'!I122</f>
        <v>1.489364787428674</v>
      </c>
      <c r="V123" s="22">
        <f>'Rateio Custos Fixos'!J122</f>
        <v>2.6808566173716133</v>
      </c>
      <c r="W123" s="22">
        <f>'Rateio Custos Fixos'!K122</f>
        <v>7.2978874584005027</v>
      </c>
      <c r="X123" s="22">
        <f>'Rateio Custos Fixos'!L122</f>
        <v>15.787266746743944</v>
      </c>
      <c r="Y123" s="22">
        <f>'Rateio Custos Fixos'!M122</f>
        <v>5.4510751219889464</v>
      </c>
      <c r="Z123" s="22">
        <f>'Rateio Custos Fixos'!N122</f>
        <v>115.00279142609249</v>
      </c>
      <c r="AA123" s="22">
        <f>'Rateio Custos Fixos'!O122</f>
        <v>22.34047181143011</v>
      </c>
      <c r="AB123" s="22">
        <f>'Rateio Custos Fixos'!P122</f>
        <v>4.4680943622860223</v>
      </c>
      <c r="AC123" s="22">
        <f>'Rateio Custos Fixos'!Q122</f>
        <v>4.770882223570271</v>
      </c>
      <c r="AD123" s="22">
        <f>'Rateio Custos Fixos'!R122</f>
        <v>2.9787295748573479</v>
      </c>
      <c r="AE123" s="22">
        <f>'Rateio Custos Fixos'!S122</f>
        <v>67.021415434290333</v>
      </c>
      <c r="AF123" s="22">
        <f>'Rateio Custos Fixos'!T122</f>
        <v>123.66642639456508</v>
      </c>
      <c r="AG123" s="22">
        <f>'Rateio Custos Fixos'!U122</f>
        <v>19.361742236572763</v>
      </c>
      <c r="AH123" s="22">
        <f t="shared" si="40"/>
        <v>436.25326542474397</v>
      </c>
      <c r="AI123" s="22">
        <f t="shared" si="41"/>
        <v>9189.6343952201933</v>
      </c>
      <c r="AJ123" s="22">
        <f t="shared" si="42"/>
        <v>45.948171976100966</v>
      </c>
    </row>
    <row r="124" spans="1:36" ht="14.4" x14ac:dyDescent="0.3">
      <c r="A124">
        <f>'Lista de Compra'!A122</f>
        <v>119</v>
      </c>
      <c r="B124" t="str">
        <f>'Lista de Compra'!B122</f>
        <v>FLANGE 4" 300LBS LISO ASTM A105 GR WPB B16.5 RF</v>
      </c>
      <c r="C124">
        <f>'Lista de Compra'!C122</f>
        <v>72121000</v>
      </c>
      <c r="D124" s="98">
        <f>'Lista de Compra'!I122</f>
        <v>60</v>
      </c>
      <c r="E124" s="142">
        <f>'Lista de Compra'!L122</f>
        <v>7.6764217542723339E-3</v>
      </c>
      <c r="F124" s="139">
        <f>'Lista de Compra'!J122</f>
        <v>8.4700000000000006</v>
      </c>
      <c r="G124" s="139">
        <f t="shared" si="34"/>
        <v>508.20000000000005</v>
      </c>
      <c r="H124" s="22">
        <f t="shared" si="35"/>
        <v>2612.1480000000001</v>
      </c>
      <c r="I124" s="143">
        <f>'Rateio Custos Fixos'!E123</f>
        <v>740.9282277223657</v>
      </c>
      <c r="J124" s="22">
        <f t="shared" si="36"/>
        <v>3353.0762277223657</v>
      </c>
      <c r="K124" s="22">
        <f t="shared" si="37"/>
        <v>3728.6207652272706</v>
      </c>
      <c r="L124" s="22">
        <f t="shared" si="38"/>
        <v>375.54453750490495</v>
      </c>
      <c r="M124" s="22">
        <f t="shared" si="43"/>
        <v>121.1801748698863</v>
      </c>
      <c r="N124" s="22">
        <f t="shared" si="43"/>
        <v>78.301036069772692</v>
      </c>
      <c r="O124" s="22">
        <f t="shared" si="43"/>
        <v>359.81190384443164</v>
      </c>
      <c r="P124" s="22">
        <f t="shared" si="43"/>
        <v>223.71724591363622</v>
      </c>
      <c r="Q124" s="22">
        <f t="shared" si="39"/>
        <v>1158.5548982026319</v>
      </c>
      <c r="R124" s="22">
        <f>'Rateio Custos Fixos'!F123</f>
        <v>2.6867476139953168</v>
      </c>
      <c r="S124" s="22">
        <f>'Rateio Custos Fixos'!G123</f>
        <v>8.444063929699567</v>
      </c>
      <c r="T124" s="22">
        <f>'Rateio Custos Fixos'!H123</f>
        <v>11.514632631408501</v>
      </c>
      <c r="U124" s="22">
        <f>'Rateio Custos Fixos'!I123</f>
        <v>0.76764217542723334</v>
      </c>
      <c r="V124" s="22">
        <f>'Rateio Custos Fixos'!J123</f>
        <v>1.38175591576902</v>
      </c>
      <c r="W124" s="22">
        <f>'Rateio Custos Fixos'!K123</f>
        <v>3.7614466595934437</v>
      </c>
      <c r="X124" s="22">
        <f>'Rateio Custos Fixos'!L123</f>
        <v>8.1370070595286741</v>
      </c>
      <c r="Y124" s="22">
        <f>'Rateio Custos Fixos'!M123</f>
        <v>2.8095703620636741</v>
      </c>
      <c r="Z124" s="22">
        <f>'Rateio Custos Fixos'!N123</f>
        <v>59.27425821778926</v>
      </c>
      <c r="AA124" s="22">
        <f>'Rateio Custos Fixos'!O123</f>
        <v>11.514632631408501</v>
      </c>
      <c r="AB124" s="22">
        <f>'Rateio Custos Fixos'!P123</f>
        <v>2.3029265262817002</v>
      </c>
      <c r="AC124" s="22">
        <f>'Rateio Custos Fixos'!Q123</f>
        <v>2.4589881805460565</v>
      </c>
      <c r="AD124" s="22">
        <f>'Rateio Custos Fixos'!R123</f>
        <v>1.5352843508544667</v>
      </c>
      <c r="AE124" s="22">
        <f>'Rateio Custos Fixos'!S123</f>
        <v>34.543897894225502</v>
      </c>
      <c r="AF124" s="22">
        <f>'Rateio Custos Fixos'!T123</f>
        <v>63.739632752249463</v>
      </c>
      <c r="AG124" s="22">
        <f>'Rateio Custos Fixos'!U123</f>
        <v>9.979348280554035</v>
      </c>
      <c r="AH124" s="22">
        <f t="shared" si="40"/>
        <v>224.85183518139442</v>
      </c>
      <c r="AI124" s="22">
        <f t="shared" si="41"/>
        <v>4736.4829611063924</v>
      </c>
      <c r="AJ124" s="22">
        <f t="shared" si="42"/>
        <v>78.941382685106547</v>
      </c>
    </row>
    <row r="125" spans="1:36" ht="14.4" x14ac:dyDescent="0.3">
      <c r="A125">
        <f>'Lista de Compra'!A123</f>
        <v>120</v>
      </c>
      <c r="B125" t="str">
        <f>'Lista de Compra'!B123</f>
        <v>CURVA 1.1/2" SCH40 RL 90° ASTM A-234 ASME B16.9</v>
      </c>
      <c r="C125">
        <f>'Lista de Compra'!C123</f>
        <v>72121000</v>
      </c>
      <c r="D125" s="98">
        <f>'Lista de Compra'!I123</f>
        <v>1300</v>
      </c>
      <c r="E125" s="142">
        <f>'Lista de Compra'!L123</f>
        <v>7.8546621649382403E-3</v>
      </c>
      <c r="F125" s="139">
        <f>'Lista de Compra'!J123</f>
        <v>0.4</v>
      </c>
      <c r="G125" s="139">
        <f t="shared" si="34"/>
        <v>520</v>
      </c>
      <c r="H125" s="22">
        <f t="shared" si="35"/>
        <v>2672.7999999999997</v>
      </c>
      <c r="I125" s="143">
        <f>'Rateio Custos Fixos'!E124</f>
        <v>758.131992159839</v>
      </c>
      <c r="J125" s="22">
        <f t="shared" si="36"/>
        <v>3430.931992159839</v>
      </c>
      <c r="K125" s="22">
        <f t="shared" si="37"/>
        <v>3815.196375281741</v>
      </c>
      <c r="L125" s="22">
        <f t="shared" si="38"/>
        <v>384.26438312190197</v>
      </c>
      <c r="M125" s="22">
        <f t="shared" si="43"/>
        <v>123.99388219665659</v>
      </c>
      <c r="N125" s="22">
        <f t="shared" si="43"/>
        <v>80.119123880916561</v>
      </c>
      <c r="O125" s="22">
        <f t="shared" si="43"/>
        <v>368.16645021468804</v>
      </c>
      <c r="P125" s="22">
        <f t="shared" si="43"/>
        <v>228.91178251690445</v>
      </c>
      <c r="Q125" s="22">
        <f t="shared" si="39"/>
        <v>1185.4556219310675</v>
      </c>
      <c r="R125" s="22">
        <f>'Rateio Custos Fixos'!F124</f>
        <v>2.7491317577283843</v>
      </c>
      <c r="S125" s="22">
        <f>'Rateio Custos Fixos'!G124</f>
        <v>8.6401283814320635</v>
      </c>
      <c r="T125" s="22">
        <f>'Rateio Custos Fixos'!H124</f>
        <v>11.78199324740736</v>
      </c>
      <c r="U125" s="22">
        <f>'Rateio Custos Fixos'!I124</f>
        <v>0.78546621649382398</v>
      </c>
      <c r="V125" s="22">
        <f>'Rateio Custos Fixos'!J124</f>
        <v>1.4138391896888833</v>
      </c>
      <c r="W125" s="22">
        <f>'Rateio Custos Fixos'!K124</f>
        <v>3.8487844608197377</v>
      </c>
      <c r="X125" s="22">
        <f>'Rateio Custos Fixos'!L124</f>
        <v>8.3259418948345338</v>
      </c>
      <c r="Y125" s="22">
        <f>'Rateio Custos Fixos'!M124</f>
        <v>2.8748063523673961</v>
      </c>
      <c r="Z125" s="22">
        <f>'Rateio Custos Fixos'!N124</f>
        <v>60.650559372787122</v>
      </c>
      <c r="AA125" s="22">
        <f>'Rateio Custos Fixos'!O124</f>
        <v>11.78199324740736</v>
      </c>
      <c r="AB125" s="22">
        <f>'Rateio Custos Fixos'!P124</f>
        <v>2.3563986494814722</v>
      </c>
      <c r="AC125" s="22">
        <f>'Rateio Custos Fixos'!Q124</f>
        <v>2.5160839312946663</v>
      </c>
      <c r="AD125" s="22">
        <f>'Rateio Custos Fixos'!R124</f>
        <v>1.570932432987648</v>
      </c>
      <c r="AE125" s="22">
        <f>'Rateio Custos Fixos'!S124</f>
        <v>35.345979742222084</v>
      </c>
      <c r="AF125" s="22">
        <f>'Rateio Custos Fixos'!T124</f>
        <v>65.219616354131688</v>
      </c>
      <c r="AG125" s="22">
        <f>'Rateio Custos Fixos'!U124</f>
        <v>10.211060814419712</v>
      </c>
      <c r="AH125" s="22">
        <f t="shared" si="40"/>
        <v>230.07271604550394</v>
      </c>
      <c r="AI125" s="22">
        <f t="shared" si="41"/>
        <v>4846.4603301364104</v>
      </c>
      <c r="AJ125" s="22">
        <f t="shared" si="42"/>
        <v>3.7280464077972386</v>
      </c>
    </row>
    <row r="126" spans="1:36" ht="14.4" x14ac:dyDescent="0.3">
      <c r="A126">
        <f>'Lista de Compra'!A124</f>
        <v>121</v>
      </c>
      <c r="B126" t="str">
        <f>'Lista de Compra'!B124</f>
        <v>CURVA 2" SCH40 RL 90° ASTM A-234 ASME B16.9</v>
      </c>
      <c r="C126">
        <f>'Lista de Compra'!C124</f>
        <v>72121000</v>
      </c>
      <c r="D126" s="98">
        <f>'Lista de Compra'!I124</f>
        <v>1700</v>
      </c>
      <c r="E126" s="142">
        <f>'Lista de Compra'!L124</f>
        <v>1.6177583035863183E-2</v>
      </c>
      <c r="F126" s="139">
        <f>'Lista de Compra'!J124</f>
        <v>0.63</v>
      </c>
      <c r="G126" s="139">
        <f t="shared" si="34"/>
        <v>1071</v>
      </c>
      <c r="H126" s="22">
        <f t="shared" si="35"/>
        <v>5504.94</v>
      </c>
      <c r="I126" s="143">
        <f>'Rateio Custos Fixos'!E125</f>
        <v>1561.4603146215145</v>
      </c>
      <c r="J126" s="22">
        <f t="shared" si="36"/>
        <v>7066.4003146215146</v>
      </c>
      <c r="K126" s="22">
        <f t="shared" si="37"/>
        <v>7857.8371498591241</v>
      </c>
      <c r="L126" s="22">
        <f t="shared" si="38"/>
        <v>791.43683523760967</v>
      </c>
      <c r="M126" s="22">
        <f t="shared" ref="M126:P145" si="44">M$5*$K126</f>
        <v>255.37970737042156</v>
      </c>
      <c r="N126" s="22">
        <f t="shared" si="44"/>
        <v>165.01458014704161</v>
      </c>
      <c r="O126" s="22">
        <f t="shared" si="44"/>
        <v>758.2812849614055</v>
      </c>
      <c r="P126" s="22">
        <f t="shared" si="44"/>
        <v>471.4702289915474</v>
      </c>
      <c r="Q126" s="22">
        <f t="shared" si="39"/>
        <v>2441.5826367080263</v>
      </c>
      <c r="R126" s="22">
        <f>'Rateio Custos Fixos'!F125</f>
        <v>5.6621540625521138</v>
      </c>
      <c r="S126" s="22">
        <f>'Rateio Custos Fixos'!G125</f>
        <v>17.7953413394495</v>
      </c>
      <c r="T126" s="22">
        <f>'Rateio Custos Fixos'!H125</f>
        <v>24.266374553794773</v>
      </c>
      <c r="U126" s="22">
        <f>'Rateio Custos Fixos'!I125</f>
        <v>1.6177583035863183</v>
      </c>
      <c r="V126" s="22">
        <f>'Rateio Custos Fixos'!J125</f>
        <v>2.911964946455373</v>
      </c>
      <c r="W126" s="22">
        <f>'Rateio Custos Fixos'!K125</f>
        <v>7.9270156875729594</v>
      </c>
      <c r="X126" s="22">
        <f>'Rateio Custos Fixos'!L125</f>
        <v>17.148238018014975</v>
      </c>
      <c r="Y126" s="22">
        <f>'Rateio Custos Fixos'!M125</f>
        <v>5.920995391125925</v>
      </c>
      <c r="Z126" s="22">
        <f>'Rateio Custos Fixos'!N125</f>
        <v>124.91682516972116</v>
      </c>
      <c r="AA126" s="22">
        <f>'Rateio Custos Fixos'!O125</f>
        <v>24.266374553794773</v>
      </c>
      <c r="AB126" s="22">
        <f>'Rateio Custos Fixos'!P125</f>
        <v>4.8532749107589552</v>
      </c>
      <c r="AC126" s="22">
        <f>'Rateio Custos Fixos'!Q125</f>
        <v>5.1821651738780528</v>
      </c>
      <c r="AD126" s="22">
        <f>'Rateio Custos Fixos'!R125</f>
        <v>3.2355166071726367</v>
      </c>
      <c r="AE126" s="22">
        <f>'Rateio Custos Fixos'!S125</f>
        <v>72.799123661384328</v>
      </c>
      <c r="AF126" s="22">
        <f>'Rateio Custos Fixos'!T125</f>
        <v>134.32732522168274</v>
      </c>
      <c r="AG126" s="22">
        <f>'Rateio Custos Fixos'!U125</f>
        <v>21.030857946622138</v>
      </c>
      <c r="AH126" s="22">
        <f t="shared" si="40"/>
        <v>473.8613055475667</v>
      </c>
      <c r="AI126" s="22">
        <f t="shared" si="41"/>
        <v>9981.8442568771079</v>
      </c>
      <c r="AJ126" s="22">
        <f t="shared" si="42"/>
        <v>5.8716730922806519</v>
      </c>
    </row>
    <row r="127" spans="1:36" ht="14.4" x14ac:dyDescent="0.3">
      <c r="A127">
        <f>'Lista de Compra'!A125</f>
        <v>122</v>
      </c>
      <c r="B127" t="str">
        <f>'Lista de Compra'!B125</f>
        <v>CURVA 4" SCH40 RL 90° ASTM A-234 ASME B16.9</v>
      </c>
      <c r="C127">
        <f>'Lista de Compra'!C125</f>
        <v>72121000</v>
      </c>
      <c r="D127" s="98">
        <f>'Lista de Compra'!I125</f>
        <v>220</v>
      </c>
      <c r="E127" s="142">
        <f>'Lista de Compra'!L125</f>
        <v>1.0069072690668904E-2</v>
      </c>
      <c r="F127" s="139">
        <f>'Lista de Compra'!J125</f>
        <v>3.03</v>
      </c>
      <c r="G127" s="139">
        <f t="shared" si="34"/>
        <v>666.59999999999991</v>
      </c>
      <c r="H127" s="22">
        <f t="shared" si="35"/>
        <v>3426.3239999999992</v>
      </c>
      <c r="I127" s="143">
        <f>'Rateio Custos Fixos'!E126</f>
        <v>971.86689610336259</v>
      </c>
      <c r="J127" s="22">
        <f t="shared" si="36"/>
        <v>4398.1908961033614</v>
      </c>
      <c r="K127" s="22">
        <f t="shared" si="37"/>
        <v>4890.7882764669375</v>
      </c>
      <c r="L127" s="22">
        <f t="shared" si="38"/>
        <v>492.59738036357646</v>
      </c>
      <c r="M127" s="22">
        <f t="shared" si="44"/>
        <v>158.95061898517548</v>
      </c>
      <c r="N127" s="22">
        <f t="shared" si="44"/>
        <v>102.7065538058057</v>
      </c>
      <c r="O127" s="22">
        <f t="shared" si="44"/>
        <v>471.96106867905951</v>
      </c>
      <c r="P127" s="22">
        <f t="shared" si="44"/>
        <v>293.44729658801623</v>
      </c>
      <c r="Q127" s="22">
        <f t="shared" si="39"/>
        <v>1519.6629184216335</v>
      </c>
      <c r="R127" s="22">
        <f>'Rateio Custos Fixos'!F126</f>
        <v>3.5241754417341165</v>
      </c>
      <c r="S127" s="22">
        <f>'Rateio Custos Fixos'!G126</f>
        <v>11.075979959735795</v>
      </c>
      <c r="T127" s="22">
        <f>'Rateio Custos Fixos'!H126</f>
        <v>15.103609036003355</v>
      </c>
      <c r="U127" s="22">
        <f>'Rateio Custos Fixos'!I126</f>
        <v>1.0069072690668903</v>
      </c>
      <c r="V127" s="22">
        <f>'Rateio Custos Fixos'!J126</f>
        <v>1.8124330843204028</v>
      </c>
      <c r="W127" s="22">
        <f>'Rateio Custos Fixos'!K126</f>
        <v>4.933845618427763</v>
      </c>
      <c r="X127" s="22">
        <f>'Rateio Custos Fixos'!L126</f>
        <v>10.673217052109038</v>
      </c>
      <c r="Y127" s="22">
        <f>'Rateio Custos Fixos'!M126</f>
        <v>3.6852806047848188</v>
      </c>
      <c r="Z127" s="22">
        <f>'Rateio Custos Fixos'!N126</f>
        <v>77.749351688269016</v>
      </c>
      <c r="AA127" s="22">
        <f>'Rateio Custos Fixos'!O126</f>
        <v>15.103609036003355</v>
      </c>
      <c r="AB127" s="22">
        <f>'Rateio Custos Fixos'!P126</f>
        <v>3.0207218072006712</v>
      </c>
      <c r="AC127" s="22">
        <f>'Rateio Custos Fixos'!Q126</f>
        <v>3.2254260550019698</v>
      </c>
      <c r="AD127" s="22">
        <f>'Rateio Custos Fixos'!R126</f>
        <v>2.0138145381337806</v>
      </c>
      <c r="AE127" s="22">
        <f>'Rateio Custos Fixos'!S126</f>
        <v>45.310827108010066</v>
      </c>
      <c r="AF127" s="22">
        <f>'Rateio Custos Fixos'!T126</f>
        <v>83.606531272431099</v>
      </c>
      <c r="AG127" s="22">
        <f>'Rateio Custos Fixos'!U126</f>
        <v>13.089794497869576</v>
      </c>
      <c r="AH127" s="22">
        <f t="shared" si="40"/>
        <v>294.93552406910169</v>
      </c>
      <c r="AI127" s="22">
        <f t="shared" si="41"/>
        <v>6212.789338594097</v>
      </c>
      <c r="AJ127" s="22">
        <f t="shared" si="42"/>
        <v>28.239951539064077</v>
      </c>
    </row>
    <row r="128" spans="1:36" ht="14.4" x14ac:dyDescent="0.3">
      <c r="A128">
        <f>'Lista de Compra'!A126</f>
        <v>123</v>
      </c>
      <c r="B128" t="str">
        <f>'Lista de Compra'!B126</f>
        <v>CURVA 5" SCH40 RL 90° ASTM A-234 ASME B16.9</v>
      </c>
      <c r="C128">
        <f>'Lista de Compra'!C126</f>
        <v>72121000</v>
      </c>
      <c r="D128" s="98">
        <f>'Lista de Compra'!I126</f>
        <v>210</v>
      </c>
      <c r="E128" s="142">
        <f>'Lista de Compra'!L126</f>
        <v>1.5448005761696804E-2</v>
      </c>
      <c r="F128" s="139">
        <f>'Lista de Compra'!J126</f>
        <v>4.87</v>
      </c>
      <c r="G128" s="139">
        <f t="shared" si="34"/>
        <v>1022.7</v>
      </c>
      <c r="H128" s="22">
        <f t="shared" si="35"/>
        <v>5256.6779999999999</v>
      </c>
      <c r="I128" s="143">
        <f>'Rateio Custos Fixos'!E127</f>
        <v>1491.0415161189756</v>
      </c>
      <c r="J128" s="22">
        <f t="shared" si="36"/>
        <v>6747.7195161189757</v>
      </c>
      <c r="K128" s="22">
        <f t="shared" si="37"/>
        <v>7503.4641019243008</v>
      </c>
      <c r="L128" s="22">
        <f t="shared" si="38"/>
        <v>755.7445858053253</v>
      </c>
      <c r="M128" s="22">
        <f t="shared" si="44"/>
        <v>243.86258331253978</v>
      </c>
      <c r="N128" s="22">
        <f t="shared" si="44"/>
        <v>157.57274614041032</v>
      </c>
      <c r="O128" s="22">
        <f t="shared" si="44"/>
        <v>724.08428583569503</v>
      </c>
      <c r="P128" s="22">
        <f t="shared" si="44"/>
        <v>450.20784611545804</v>
      </c>
      <c r="Q128" s="22">
        <f t="shared" si="39"/>
        <v>2331.4720472094282</v>
      </c>
      <c r="R128" s="22">
        <f>'Rateio Custos Fixos'!F127</f>
        <v>5.4068020165938808</v>
      </c>
      <c r="S128" s="22">
        <f>'Rateio Custos Fixos'!G127</f>
        <v>16.992806337866483</v>
      </c>
      <c r="T128" s="22">
        <f>'Rateio Custos Fixos'!H127</f>
        <v>23.172008642545205</v>
      </c>
      <c r="U128" s="22">
        <f>'Rateio Custos Fixos'!I127</f>
        <v>1.5448005761696804</v>
      </c>
      <c r="V128" s="22">
        <f>'Rateio Custos Fixos'!J127</f>
        <v>2.7806410371054247</v>
      </c>
      <c r="W128" s="22">
        <f>'Rateio Custos Fixos'!K127</f>
        <v>7.5695228232314342</v>
      </c>
      <c r="X128" s="22">
        <f>'Rateio Custos Fixos'!L127</f>
        <v>16.374886107398613</v>
      </c>
      <c r="Y128" s="22">
        <f>'Rateio Custos Fixos'!M127</f>
        <v>5.6539701087810297</v>
      </c>
      <c r="Z128" s="22">
        <f>'Rateio Custos Fixos'!N127</f>
        <v>119.28332128951804</v>
      </c>
      <c r="AA128" s="22">
        <f>'Rateio Custos Fixos'!O127</f>
        <v>23.172008642545205</v>
      </c>
      <c r="AB128" s="22">
        <f>'Rateio Custos Fixos'!P127</f>
        <v>4.6344017285090411</v>
      </c>
      <c r="AC128" s="22">
        <f>'Rateio Custos Fixos'!Q127</f>
        <v>4.9484596856443366</v>
      </c>
      <c r="AD128" s="22">
        <f>'Rateio Custos Fixos'!R127</f>
        <v>3.0896011523393607</v>
      </c>
      <c r="AE128" s="22">
        <f>'Rateio Custos Fixos'!S127</f>
        <v>69.51602592763561</v>
      </c>
      <c r="AF128" s="22">
        <f>'Rateio Custos Fixos'!T127</f>
        <v>128.26942624109705</v>
      </c>
      <c r="AG128" s="22">
        <f>'Rateio Custos Fixos'!U127</f>
        <v>20.082407490205846</v>
      </c>
      <c r="AH128" s="22">
        <f t="shared" si="40"/>
        <v>452.4910898071862</v>
      </c>
      <c r="AI128" s="22">
        <f t="shared" si="41"/>
        <v>9531.682653135591</v>
      </c>
      <c r="AJ128" s="22">
        <f t="shared" si="42"/>
        <v>45.388965014931387</v>
      </c>
    </row>
    <row r="129" spans="1:36" ht="14.4" x14ac:dyDescent="0.3">
      <c r="A129">
        <f>'Lista de Compra'!A127</f>
        <v>124</v>
      </c>
      <c r="B129" t="str">
        <f>'Lista de Compra'!B127</f>
        <v>CURVA 6" SCH40 RL 90° ASTM A-234 ASME B16.9</v>
      </c>
      <c r="C129">
        <f>'Lista de Compra'!C127</f>
        <v>72121000</v>
      </c>
      <c r="D129" s="98">
        <f>'Lista de Compra'!I127</f>
        <v>200</v>
      </c>
      <c r="E129" s="142">
        <f>'Lista de Compra'!L127</f>
        <v>2.2113895018210736E-2</v>
      </c>
      <c r="F129" s="139">
        <f>'Lista de Compra'!J127</f>
        <v>7.32</v>
      </c>
      <c r="G129" s="139">
        <f t="shared" si="34"/>
        <v>1464</v>
      </c>
      <c r="H129" s="22">
        <f t="shared" si="35"/>
        <v>7524.9599999999991</v>
      </c>
      <c r="I129" s="143">
        <f>'Rateio Custos Fixos'!E128</f>
        <v>2134.4331471577002</v>
      </c>
      <c r="J129" s="22">
        <f t="shared" si="36"/>
        <v>9659.3931471576998</v>
      </c>
      <c r="K129" s="22">
        <f t="shared" si="37"/>
        <v>10741.245179639362</v>
      </c>
      <c r="L129" s="22">
        <f t="shared" si="38"/>
        <v>1081.8520324816625</v>
      </c>
      <c r="M129" s="22">
        <f t="shared" si="44"/>
        <v>349.09046833827927</v>
      </c>
      <c r="N129" s="22">
        <f t="shared" si="44"/>
        <v>225.5661487724266</v>
      </c>
      <c r="O129" s="22">
        <f t="shared" si="44"/>
        <v>1036.5301598351984</v>
      </c>
      <c r="P129" s="22">
        <f t="shared" si="44"/>
        <v>644.47471077836167</v>
      </c>
      <c r="Q129" s="22">
        <f t="shared" si="39"/>
        <v>3337.5135202059282</v>
      </c>
      <c r="R129" s="22">
        <f>'Rateio Custos Fixos'!F128</f>
        <v>7.7398632563737575</v>
      </c>
      <c r="S129" s="22">
        <f>'Rateio Custos Fixos'!G128</f>
        <v>24.325284520031811</v>
      </c>
      <c r="T129" s="22">
        <f>'Rateio Custos Fixos'!H128</f>
        <v>33.170842527316104</v>
      </c>
      <c r="U129" s="22">
        <f>'Rateio Custos Fixos'!I128</f>
        <v>2.2113895018210736</v>
      </c>
      <c r="V129" s="22">
        <f>'Rateio Custos Fixos'!J128</f>
        <v>3.9805011032779327</v>
      </c>
      <c r="W129" s="22">
        <f>'Rateio Custos Fixos'!K128</f>
        <v>10.835808558923262</v>
      </c>
      <c r="X129" s="22">
        <f>'Rateio Custos Fixos'!L128</f>
        <v>23.44072871930338</v>
      </c>
      <c r="Y129" s="22">
        <f>'Rateio Custos Fixos'!M128</f>
        <v>8.0936855766651288</v>
      </c>
      <c r="Z129" s="22">
        <f>'Rateio Custos Fixos'!N128</f>
        <v>170.75465177261603</v>
      </c>
      <c r="AA129" s="22">
        <f>'Rateio Custos Fixos'!O128</f>
        <v>33.170842527316104</v>
      </c>
      <c r="AB129" s="22">
        <f>'Rateio Custos Fixos'!P128</f>
        <v>6.6341685054632213</v>
      </c>
      <c r="AC129" s="22">
        <f>'Rateio Custos Fixos'!Q128</f>
        <v>7.0837439911834448</v>
      </c>
      <c r="AD129" s="22">
        <f>'Rateio Custos Fixos'!R128</f>
        <v>4.4227790036421473</v>
      </c>
      <c r="AE129" s="22">
        <f>'Rateio Custos Fixos'!S128</f>
        <v>99.512527581948319</v>
      </c>
      <c r="AF129" s="22">
        <f>'Rateio Custos Fixos'!T128</f>
        <v>183.61830450470919</v>
      </c>
      <c r="AG129" s="22">
        <f>'Rateio Custos Fixos'!U128</f>
        <v>28.748063523673956</v>
      </c>
      <c r="AH129" s="22">
        <f t="shared" si="40"/>
        <v>647.7431851742648</v>
      </c>
      <c r="AI129" s="22">
        <f t="shared" si="41"/>
        <v>13644.649852537892</v>
      </c>
      <c r="AJ129" s="22">
        <f t="shared" si="42"/>
        <v>68.223249262689464</v>
      </c>
    </row>
    <row r="130" spans="1:36" ht="14.4" x14ac:dyDescent="0.3">
      <c r="A130">
        <f>'Lista de Compra'!A128</f>
        <v>125</v>
      </c>
      <c r="B130" t="str">
        <f>'Lista de Compra'!B128</f>
        <v>FLANGE 5" 150LBS LISO ASTM A105 GR WPB B16.5 RF</v>
      </c>
      <c r="C130">
        <f>'Lista de Compra'!C128</f>
        <v>72121000</v>
      </c>
      <c r="D130" s="98">
        <f>'Lista de Compra'!I128</f>
        <v>10</v>
      </c>
      <c r="E130" s="142">
        <f>'Lista de Compra'!L128</f>
        <v>8.9271256528432688E-4</v>
      </c>
      <c r="F130" s="139">
        <f>'Lista de Compra'!J128</f>
        <v>5.91</v>
      </c>
      <c r="G130" s="139">
        <f t="shared" si="34"/>
        <v>59.1</v>
      </c>
      <c r="H130" s="22">
        <f t="shared" si="35"/>
        <v>303.774</v>
      </c>
      <c r="I130" s="143">
        <f>'Rateio Custos Fixos'!E129</f>
        <v>86.164616801243227</v>
      </c>
      <c r="J130" s="22">
        <f t="shared" si="36"/>
        <v>389.93861680124326</v>
      </c>
      <c r="K130" s="22">
        <f t="shared" si="37"/>
        <v>433.61174188298253</v>
      </c>
      <c r="L130" s="22">
        <f t="shared" si="38"/>
        <v>43.673125081739244</v>
      </c>
      <c r="M130" s="22">
        <f t="shared" si="44"/>
        <v>14.092381611196933</v>
      </c>
      <c r="N130" s="22">
        <f t="shared" si="44"/>
        <v>9.105846579542634</v>
      </c>
      <c r="O130" s="22">
        <f t="shared" si="44"/>
        <v>41.843533091707812</v>
      </c>
      <c r="P130" s="22">
        <f t="shared" si="44"/>
        <v>26.016704512978951</v>
      </c>
      <c r="Q130" s="22">
        <f t="shared" si="39"/>
        <v>134.73159087716559</v>
      </c>
      <c r="R130" s="22">
        <f>'Rateio Custos Fixos'!F129</f>
        <v>0.31244939784951442</v>
      </c>
      <c r="S130" s="22">
        <f>'Rateio Custos Fixos'!G129</f>
        <v>0.98198382181275956</v>
      </c>
      <c r="T130" s="22">
        <f>'Rateio Custos Fixos'!H129</f>
        <v>1.3390688479264903</v>
      </c>
      <c r="U130" s="22">
        <f>'Rateio Custos Fixos'!I129</f>
        <v>8.9271256528432694E-2</v>
      </c>
      <c r="V130" s="22">
        <f>'Rateio Custos Fixos'!J129</f>
        <v>0.16068826175117884</v>
      </c>
      <c r="W130" s="22">
        <f>'Rateio Custos Fixos'!K129</f>
        <v>0.43742915698932017</v>
      </c>
      <c r="X130" s="22">
        <f>'Rateio Custos Fixos'!L129</f>
        <v>0.94627531920138652</v>
      </c>
      <c r="Y130" s="22">
        <f>'Rateio Custos Fixos'!M129</f>
        <v>0.32673279889406365</v>
      </c>
      <c r="Z130" s="22">
        <f>'Rateio Custos Fixos'!N129</f>
        <v>6.8931693440994586</v>
      </c>
      <c r="AA130" s="22">
        <f>'Rateio Custos Fixos'!O129</f>
        <v>1.3390688479264903</v>
      </c>
      <c r="AB130" s="22">
        <f>'Rateio Custos Fixos'!P129</f>
        <v>0.26781376958529807</v>
      </c>
      <c r="AC130" s="22">
        <f>'Rateio Custos Fixos'!Q129</f>
        <v>0.28596261603752843</v>
      </c>
      <c r="AD130" s="22">
        <f>'Rateio Custos Fixos'!R129</f>
        <v>0.17854251305686539</v>
      </c>
      <c r="AE130" s="22">
        <f>'Rateio Custos Fixos'!S129</f>
        <v>4.0172065437794711</v>
      </c>
      <c r="AF130" s="22">
        <f>'Rateio Custos Fixos'!T129</f>
        <v>7.4124602433253504</v>
      </c>
      <c r="AG130" s="22">
        <f>'Rateio Custos Fixos'!U129</f>
        <v>1.1605263348696249</v>
      </c>
      <c r="AH130" s="22">
        <f t="shared" si="40"/>
        <v>26.148649073633234</v>
      </c>
      <c r="AI130" s="22">
        <f t="shared" si="41"/>
        <v>550.81885675204205</v>
      </c>
      <c r="AJ130" s="22">
        <f t="shared" si="42"/>
        <v>55.081885675204205</v>
      </c>
    </row>
    <row r="131" spans="1:36" ht="14.4" x14ac:dyDescent="0.3">
      <c r="A131">
        <f>'Lista de Compra'!A129</f>
        <v>126</v>
      </c>
      <c r="B131" t="str">
        <f>'Lista de Compra'!B129</f>
        <v>FLANGE 6" 150LBS LISO ASTM A105 GR WPB B16.5 RF</v>
      </c>
      <c r="C131">
        <f>'Lista de Compra'!C129</f>
        <v>72121000</v>
      </c>
      <c r="D131" s="98">
        <f>'Lista de Compra'!I129</f>
        <v>20</v>
      </c>
      <c r="E131" s="142">
        <f>'Lista de Compra'!L129</f>
        <v>2.0845064976182251E-3</v>
      </c>
      <c r="F131" s="139">
        <f>'Lista de Compra'!J129</f>
        <v>6.9</v>
      </c>
      <c r="G131" s="139">
        <f t="shared" si="34"/>
        <v>138</v>
      </c>
      <c r="H131" s="22">
        <f t="shared" si="35"/>
        <v>709.31999999999994</v>
      </c>
      <c r="I131" s="143">
        <f>'Rateio Custos Fixos'!E130</f>
        <v>201.19656715011109</v>
      </c>
      <c r="J131" s="22">
        <f t="shared" si="36"/>
        <v>910.51656715011109</v>
      </c>
      <c r="K131" s="22">
        <f t="shared" si="37"/>
        <v>1012.4944226709235</v>
      </c>
      <c r="L131" s="22">
        <f t="shared" si="38"/>
        <v>101.97785552081244</v>
      </c>
      <c r="M131" s="22">
        <f t="shared" si="44"/>
        <v>32.906068736805018</v>
      </c>
      <c r="N131" s="22">
        <f t="shared" si="44"/>
        <v>21.262382876089397</v>
      </c>
      <c r="O131" s="22">
        <f t="shared" si="44"/>
        <v>97.705711787744121</v>
      </c>
      <c r="P131" s="22">
        <f t="shared" si="44"/>
        <v>60.749665360255413</v>
      </c>
      <c r="Q131" s="22">
        <f t="shared" si="39"/>
        <v>314.60168428170635</v>
      </c>
      <c r="R131" s="22">
        <f>'Rateio Custos Fixos'!F130</f>
        <v>0.72957727416637874</v>
      </c>
      <c r="S131" s="22">
        <f>'Rateio Custos Fixos'!G130</f>
        <v>2.2929571473800476</v>
      </c>
      <c r="T131" s="22">
        <f>'Rateio Custos Fixos'!H130</f>
        <v>3.1267597464273376</v>
      </c>
      <c r="U131" s="22">
        <f>'Rateio Custos Fixos'!I130</f>
        <v>0.20845064976182251</v>
      </c>
      <c r="V131" s="22">
        <f>'Rateio Custos Fixos'!J130</f>
        <v>0.37521116957128053</v>
      </c>
      <c r="W131" s="22">
        <f>'Rateio Custos Fixos'!K130</f>
        <v>1.0214081838329303</v>
      </c>
      <c r="X131" s="22">
        <f>'Rateio Custos Fixos'!L130</f>
        <v>2.2095768874753188</v>
      </c>
      <c r="Y131" s="22">
        <f>'Rateio Custos Fixos'!M130</f>
        <v>0.76292937812827044</v>
      </c>
      <c r="Z131" s="22">
        <f>'Rateio Custos Fixos'!N130</f>
        <v>16.095725372008889</v>
      </c>
      <c r="AA131" s="22">
        <f>'Rateio Custos Fixos'!O130</f>
        <v>3.1267597464273376</v>
      </c>
      <c r="AB131" s="22">
        <f>'Rateio Custos Fixos'!P130</f>
        <v>0.62535194928546756</v>
      </c>
      <c r="AC131" s="22">
        <f>'Rateio Custos Fixos'!Q130</f>
        <v>0.66772996638204607</v>
      </c>
      <c r="AD131" s="22">
        <f>'Rateio Custos Fixos'!R130</f>
        <v>0.41690129952364502</v>
      </c>
      <c r="AE131" s="22">
        <f>'Rateio Custos Fixos'!S130</f>
        <v>9.3802792392820127</v>
      </c>
      <c r="AF131" s="22">
        <f>'Rateio Custos Fixos'!T130</f>
        <v>17.308282801673407</v>
      </c>
      <c r="AG131" s="22">
        <f>'Rateio Custos Fixos'!U130</f>
        <v>2.7098584469036928</v>
      </c>
      <c r="AH131" s="22">
        <f t="shared" si="40"/>
        <v>61.057759258229886</v>
      </c>
      <c r="AI131" s="22">
        <f t="shared" si="41"/>
        <v>1286.1760106900474</v>
      </c>
      <c r="AJ131" s="22">
        <f t="shared" si="42"/>
        <v>64.308800534502367</v>
      </c>
    </row>
    <row r="132" spans="1:36" ht="14.4" x14ac:dyDescent="0.3">
      <c r="A132">
        <f>'Lista de Compra'!A130</f>
        <v>127</v>
      </c>
      <c r="B132" t="str">
        <f>'Lista de Compra'!B130</f>
        <v>FLANGE 8" 150LBS LISO ASTM A105 GR WPB B16.5 RF</v>
      </c>
      <c r="C132">
        <f>'Lista de Compra'!C130</f>
        <v>72121000</v>
      </c>
      <c r="D132" s="98">
        <f>'Lista de Compra'!I130</f>
        <v>8</v>
      </c>
      <c r="E132" s="142">
        <f>'Lista de Compra'!L130</f>
        <v>1.2615795846454649E-3</v>
      </c>
      <c r="F132" s="139">
        <f>'Lista de Compra'!J130</f>
        <v>10.44</v>
      </c>
      <c r="G132" s="139">
        <f t="shared" si="34"/>
        <v>83.52</v>
      </c>
      <c r="H132" s="22">
        <f t="shared" si="35"/>
        <v>429.29279999999994</v>
      </c>
      <c r="I132" s="143">
        <f>'Rateio Custos Fixos'!E131</f>
        <v>121.76766150998027</v>
      </c>
      <c r="J132" s="22">
        <f t="shared" si="36"/>
        <v>551.0604615099802</v>
      </c>
      <c r="K132" s="22">
        <f t="shared" si="37"/>
        <v>612.77923319909803</v>
      </c>
      <c r="L132" s="22">
        <f t="shared" si="38"/>
        <v>61.718771689117787</v>
      </c>
      <c r="M132" s="22">
        <f t="shared" si="44"/>
        <v>19.915325078970685</v>
      </c>
      <c r="N132" s="22">
        <f t="shared" si="44"/>
        <v>12.868363897181059</v>
      </c>
      <c r="O132" s="22">
        <f t="shared" si="44"/>
        <v>59.13319600371296</v>
      </c>
      <c r="P132" s="22">
        <f t="shared" si="44"/>
        <v>36.766753991945883</v>
      </c>
      <c r="Q132" s="22">
        <f t="shared" si="39"/>
        <v>190.40241066092835</v>
      </c>
      <c r="R132" s="22">
        <f>'Rateio Custos Fixos'!F131</f>
        <v>0.44155285462591271</v>
      </c>
      <c r="S132" s="22">
        <f>'Rateio Custos Fixos'!G131</f>
        <v>1.3877375431100114</v>
      </c>
      <c r="T132" s="22">
        <f>'Rateio Custos Fixos'!H131</f>
        <v>1.8923693769681975</v>
      </c>
      <c r="U132" s="22">
        <f>'Rateio Custos Fixos'!I131</f>
        <v>0.1261579584645465</v>
      </c>
      <c r="V132" s="22">
        <f>'Rateio Custos Fixos'!J131</f>
        <v>0.22708432523618369</v>
      </c>
      <c r="W132" s="22">
        <f>'Rateio Custos Fixos'!K131</f>
        <v>0.6181739964762778</v>
      </c>
      <c r="X132" s="22">
        <f>'Rateio Custos Fixos'!L131</f>
        <v>1.3372743597241927</v>
      </c>
      <c r="Y132" s="22">
        <f>'Rateio Custos Fixos'!M131</f>
        <v>0.46173812798024017</v>
      </c>
      <c r="Z132" s="22">
        <f>'Rateio Custos Fixos'!N131</f>
        <v>9.7414129207984228</v>
      </c>
      <c r="AA132" s="22">
        <f>'Rateio Custos Fixos'!O131</f>
        <v>1.8923693769681975</v>
      </c>
      <c r="AB132" s="22">
        <f>'Rateio Custos Fixos'!P131</f>
        <v>0.37847387539363947</v>
      </c>
      <c r="AC132" s="22">
        <f>'Rateio Custos Fixos'!Q131</f>
        <v>0.40412178834948176</v>
      </c>
      <c r="AD132" s="22">
        <f>'Rateio Custos Fixos'!R131</f>
        <v>0.252315916929093</v>
      </c>
      <c r="AE132" s="22">
        <f>'Rateio Custos Fixos'!S131</f>
        <v>5.6771081309045925</v>
      </c>
      <c r="AF132" s="22">
        <f>'Rateio Custos Fixos'!T131</f>
        <v>10.475273765186689</v>
      </c>
      <c r="AG132" s="22">
        <f>'Rateio Custos Fixos'!U131</f>
        <v>1.6400534600391043</v>
      </c>
      <c r="AH132" s="22">
        <f t="shared" si="40"/>
        <v>36.953217777154784</v>
      </c>
      <c r="AI132" s="22">
        <f t="shared" si="41"/>
        <v>778.41608994806336</v>
      </c>
      <c r="AJ132" s="22">
        <f t="shared" si="42"/>
        <v>97.30201124350792</v>
      </c>
    </row>
    <row r="133" spans="1:36" ht="14.4" x14ac:dyDescent="0.3">
      <c r="A133">
        <f>'Lista de Compra'!A131</f>
        <v>128</v>
      </c>
      <c r="B133" t="str">
        <f>'Lista de Compra'!B131</f>
        <v>FLANGE 8" 300LBS LISO ASTM A105 GR WPB B16.5 RF</v>
      </c>
      <c r="C133">
        <f>'Lista de Compra'!C131</f>
        <v>72121000</v>
      </c>
      <c r="D133" s="98">
        <f>'Lista de Compra'!I131</f>
        <v>5</v>
      </c>
      <c r="E133" s="142">
        <f>'Lista de Compra'!L131</f>
        <v>1.9342105581160417E-3</v>
      </c>
      <c r="F133" s="139">
        <f>'Lista de Compra'!J131</f>
        <v>25.61</v>
      </c>
      <c r="G133" s="139">
        <f t="shared" si="34"/>
        <v>128.05000000000001</v>
      </c>
      <c r="H133" s="22">
        <f t="shared" si="35"/>
        <v>658.17700000000002</v>
      </c>
      <c r="I133" s="143">
        <f>'Rateio Custos Fixos'!E132</f>
        <v>186.69000306936033</v>
      </c>
      <c r="J133" s="22">
        <f t="shared" si="36"/>
        <v>844.86700306936041</v>
      </c>
      <c r="K133" s="22">
        <f t="shared" si="37"/>
        <v>939.49210741312879</v>
      </c>
      <c r="L133" s="22">
        <f t="shared" si="38"/>
        <v>94.625104343768371</v>
      </c>
      <c r="M133" s="22">
        <f t="shared" si="44"/>
        <v>30.533493490926688</v>
      </c>
      <c r="N133" s="22">
        <f t="shared" si="44"/>
        <v>19.729334255675706</v>
      </c>
      <c r="O133" s="22">
        <f t="shared" si="44"/>
        <v>90.660988365366933</v>
      </c>
      <c r="P133" s="22">
        <f t="shared" si="44"/>
        <v>56.369526444787724</v>
      </c>
      <c r="Q133" s="22">
        <f t="shared" si="39"/>
        <v>291.9184469005254</v>
      </c>
      <c r="R133" s="22">
        <f>'Rateio Custos Fixos'!F132</f>
        <v>0.67697369534061458</v>
      </c>
      <c r="S133" s="22">
        <f>'Rateio Custos Fixos'!G132</f>
        <v>2.1276316139276457</v>
      </c>
      <c r="T133" s="22">
        <f>'Rateio Custos Fixos'!H132</f>
        <v>2.9013158371740624</v>
      </c>
      <c r="U133" s="22">
        <f>'Rateio Custos Fixos'!I132</f>
        <v>0.19342105581160418</v>
      </c>
      <c r="V133" s="22">
        <f>'Rateio Custos Fixos'!J132</f>
        <v>0.34815790046088751</v>
      </c>
      <c r="W133" s="22">
        <f>'Rateio Custos Fixos'!K132</f>
        <v>0.94776317347686045</v>
      </c>
      <c r="X133" s="22">
        <f>'Rateio Custos Fixos'!L132</f>
        <v>2.0502631916030043</v>
      </c>
      <c r="Y133" s="22">
        <f>'Rateio Custos Fixos'!M132</f>
        <v>0.7079210642704713</v>
      </c>
      <c r="Z133" s="22">
        <f>'Rateio Custos Fixos'!N132</f>
        <v>14.935200245548828</v>
      </c>
      <c r="AA133" s="22">
        <f>'Rateio Custos Fixos'!O132</f>
        <v>2.9013158371740624</v>
      </c>
      <c r="AB133" s="22">
        <f>'Rateio Custos Fixos'!P132</f>
        <v>0.58026316743481254</v>
      </c>
      <c r="AC133" s="22">
        <f>'Rateio Custos Fixos'!Q132</f>
        <v>0.61958566808131155</v>
      </c>
      <c r="AD133" s="22">
        <f>'Rateio Custos Fixos'!R132</f>
        <v>0.38684211162320836</v>
      </c>
      <c r="AE133" s="22">
        <f>'Rateio Custos Fixos'!S132</f>
        <v>8.7039475115221876</v>
      </c>
      <c r="AF133" s="22">
        <f>'Rateio Custos Fixos'!T132</f>
        <v>16.060330527204929</v>
      </c>
      <c r="AG133" s="22">
        <f>'Rateio Custos Fixos'!U132</f>
        <v>2.5144737255508542</v>
      </c>
      <c r="AH133" s="22">
        <f t="shared" si="40"/>
        <v>56.655406326205338</v>
      </c>
      <c r="AI133" s="22">
        <f t="shared" si="41"/>
        <v>1193.4408562960912</v>
      </c>
      <c r="AJ133" s="22">
        <f t="shared" si="42"/>
        <v>238.68817125921822</v>
      </c>
    </row>
    <row r="134" spans="1:36" ht="14.4" x14ac:dyDescent="0.3">
      <c r="A134">
        <f>'Lista de Compra'!A132</f>
        <v>129</v>
      </c>
      <c r="B134" t="str">
        <f>'Lista de Compra'!B132</f>
        <v>FLANGE 6" 300LBS LISO ASTM A105 GR WPB B16.5 RF</v>
      </c>
      <c r="C134">
        <f>'Lista de Compra'!C132</f>
        <v>72121000</v>
      </c>
      <c r="D134" s="98">
        <f>'Lista de Compra'!I132</f>
        <v>10</v>
      </c>
      <c r="E134" s="142">
        <f>'Lista de Compra'!L132</f>
        <v>2.380566840758205E-3</v>
      </c>
      <c r="F134" s="139">
        <f>'Lista de Compra'!J132</f>
        <v>15.76</v>
      </c>
      <c r="G134" s="139">
        <f t="shared" ref="G134:G165" si="45">D134*F134</f>
        <v>157.6</v>
      </c>
      <c r="H134" s="22">
        <f t="shared" ref="H134:H165" si="46">G134*$H$4</f>
        <v>810.06399999999996</v>
      </c>
      <c r="I134" s="143">
        <f>'Rateio Custos Fixos'!E133</f>
        <v>229.77231146998196</v>
      </c>
      <c r="J134" s="22">
        <f t="shared" ref="J134:J165" si="47">SUM(H134:I134)</f>
        <v>1039.8363114699819</v>
      </c>
      <c r="K134" s="22">
        <f t="shared" ref="K134:K165" si="48">J134+L134</f>
        <v>1156.2979783546198</v>
      </c>
      <c r="L134" s="22">
        <f t="shared" ref="L134:L167" si="49">L$5*$J134</f>
        <v>116.46166688463798</v>
      </c>
      <c r="M134" s="22">
        <f t="shared" si="44"/>
        <v>37.579684296525144</v>
      </c>
      <c r="N134" s="22">
        <f t="shared" si="44"/>
        <v>24.282257545447017</v>
      </c>
      <c r="O134" s="22">
        <f t="shared" si="44"/>
        <v>111.58275491122082</v>
      </c>
      <c r="P134" s="22">
        <f t="shared" si="44"/>
        <v>69.377878701277183</v>
      </c>
      <c r="Q134" s="22">
        <f t="shared" ref="Q134:Q165" si="50">SUM(L134:P134)</f>
        <v>359.28424233910812</v>
      </c>
      <c r="R134" s="22">
        <f>'Rateio Custos Fixos'!F133</f>
        <v>0.83319839426537179</v>
      </c>
      <c r="S134" s="22">
        <f>'Rateio Custos Fixos'!G133</f>
        <v>2.6186235248340255</v>
      </c>
      <c r="T134" s="22">
        <f>'Rateio Custos Fixos'!H133</f>
        <v>3.5708502611373074</v>
      </c>
      <c r="U134" s="22">
        <f>'Rateio Custos Fixos'!I133</f>
        <v>0.23805668407582051</v>
      </c>
      <c r="V134" s="22">
        <f>'Rateio Custos Fixos'!J133</f>
        <v>0.42850203133647691</v>
      </c>
      <c r="W134" s="22">
        <f>'Rateio Custos Fixos'!K133</f>
        <v>1.1664777519715204</v>
      </c>
      <c r="X134" s="22">
        <f>'Rateio Custos Fixos'!L133</f>
        <v>2.5234008512036974</v>
      </c>
      <c r="Y134" s="22">
        <f>'Rateio Custos Fixos'!M133</f>
        <v>0.87128746371750299</v>
      </c>
      <c r="Z134" s="22">
        <f>'Rateio Custos Fixos'!N133</f>
        <v>18.381784917598559</v>
      </c>
      <c r="AA134" s="22">
        <f>'Rateio Custos Fixos'!O133</f>
        <v>3.5708502611373074</v>
      </c>
      <c r="AB134" s="22">
        <f>'Rateio Custos Fixos'!P133</f>
        <v>0.71417005222746155</v>
      </c>
      <c r="AC134" s="22">
        <f>'Rateio Custos Fixos'!Q133</f>
        <v>0.76256697610007573</v>
      </c>
      <c r="AD134" s="22">
        <f>'Rateio Custos Fixos'!R133</f>
        <v>0.47611336815164101</v>
      </c>
      <c r="AE134" s="22">
        <f>'Rateio Custos Fixos'!S133</f>
        <v>10.712550783411922</v>
      </c>
      <c r="AF134" s="22">
        <f>'Rateio Custos Fixos'!T133</f>
        <v>19.766560648867603</v>
      </c>
      <c r="AG134" s="22">
        <f>'Rateio Custos Fixos'!U133</f>
        <v>3.0947368929856665</v>
      </c>
      <c r="AH134" s="22">
        <f t="shared" ref="AH134:AH165" si="51">SUM(R134:AG134)</f>
        <v>69.729730863021956</v>
      </c>
      <c r="AI134" s="22">
        <f t="shared" ref="AI134:AI165" si="52">J134+Q134+AH134</f>
        <v>1468.8502846721119</v>
      </c>
      <c r="AJ134" s="22">
        <f t="shared" ref="AJ134:AJ165" si="53">AI134/D134</f>
        <v>146.88502846721119</v>
      </c>
    </row>
    <row r="135" spans="1:36" ht="14.4" x14ac:dyDescent="0.3">
      <c r="A135">
        <f>'Lista de Compra'!A133</f>
        <v>130</v>
      </c>
      <c r="B135" t="str">
        <f>'Lista de Compra'!B133</f>
        <v>FLANGE 5" 300LBS LISO ASTM A105 GR WPB B16.5 RF</v>
      </c>
      <c r="C135">
        <f>'Lista de Compra'!C133</f>
        <v>72121000</v>
      </c>
      <c r="D135" s="98">
        <f>'Lista de Compra'!I133</f>
        <v>5</v>
      </c>
      <c r="E135" s="142">
        <f>'Lista de Compra'!L133</f>
        <v>8.3304734306989211E-4</v>
      </c>
      <c r="F135" s="139">
        <f>'Lista de Compra'!J133</f>
        <v>11.03</v>
      </c>
      <c r="G135" s="139">
        <f t="shared" si="45"/>
        <v>55.15</v>
      </c>
      <c r="H135" s="22">
        <f t="shared" si="46"/>
        <v>283.47099999999995</v>
      </c>
      <c r="I135" s="143">
        <f>'Rateio Custos Fixos'!E134</f>
        <v>80.405729553105985</v>
      </c>
      <c r="J135" s="22">
        <f t="shared" si="47"/>
        <v>363.87672955310592</v>
      </c>
      <c r="K135" s="22">
        <f t="shared" si="48"/>
        <v>404.63092326305377</v>
      </c>
      <c r="L135" s="22">
        <f t="shared" si="49"/>
        <v>40.754193709947863</v>
      </c>
      <c r="M135" s="22">
        <f t="shared" si="44"/>
        <v>13.150505006049247</v>
      </c>
      <c r="N135" s="22">
        <f t="shared" si="44"/>
        <v>8.4972493885241303</v>
      </c>
      <c r="O135" s="22">
        <f t="shared" si="44"/>
        <v>39.046884094884689</v>
      </c>
      <c r="P135" s="22">
        <f t="shared" si="44"/>
        <v>24.277855395783227</v>
      </c>
      <c r="Q135" s="22">
        <f t="shared" si="50"/>
        <v>125.72668759518916</v>
      </c>
      <c r="R135" s="22">
        <f>'Rateio Custos Fixos'!F134</f>
        <v>0.29156657007446224</v>
      </c>
      <c r="S135" s="22">
        <f>'Rateio Custos Fixos'!G134</f>
        <v>0.91635207737688129</v>
      </c>
      <c r="T135" s="22">
        <f>'Rateio Custos Fixos'!H134</f>
        <v>1.2495710146048382</v>
      </c>
      <c r="U135" s="22">
        <f>'Rateio Custos Fixos'!I134</f>
        <v>8.3304734306989217E-2</v>
      </c>
      <c r="V135" s="22">
        <f>'Rateio Custos Fixos'!J134</f>
        <v>0.14994852175258058</v>
      </c>
      <c r="W135" s="22">
        <f>'Rateio Custos Fixos'!K134</f>
        <v>0.40819319810424715</v>
      </c>
      <c r="X135" s="22">
        <f>'Rateio Custos Fixos'!L134</f>
        <v>0.88303018365408559</v>
      </c>
      <c r="Y135" s="22">
        <f>'Rateio Custos Fixos'!M134</f>
        <v>0.30489532756358051</v>
      </c>
      <c r="Z135" s="22">
        <f>'Rateio Custos Fixos'!N134</f>
        <v>6.4324583642484789</v>
      </c>
      <c r="AA135" s="22">
        <f>'Rateio Custos Fixos'!O134</f>
        <v>1.2495710146048382</v>
      </c>
      <c r="AB135" s="22">
        <f>'Rateio Custos Fixos'!P134</f>
        <v>0.24991420292096764</v>
      </c>
      <c r="AC135" s="22">
        <f>'Rateio Custos Fixos'!Q134</f>
        <v>0.26685005540557855</v>
      </c>
      <c r="AD135" s="22">
        <f>'Rateio Custos Fixos'!R134</f>
        <v>0.16660946861397843</v>
      </c>
      <c r="AE135" s="22">
        <f>'Rateio Custos Fixos'!S134</f>
        <v>3.7487130438145146</v>
      </c>
      <c r="AF135" s="22">
        <f>'Rateio Custos Fixos'!T134</f>
        <v>6.9170420037122344</v>
      </c>
      <c r="AG135" s="22">
        <f>'Rateio Custos Fixos'!U134</f>
        <v>1.0829615459908597</v>
      </c>
      <c r="AH135" s="22">
        <f t="shared" si="51"/>
        <v>24.400981326749115</v>
      </c>
      <c r="AI135" s="22">
        <f t="shared" si="52"/>
        <v>514.00439847504424</v>
      </c>
      <c r="AJ135" s="22">
        <f t="shared" si="53"/>
        <v>102.80087969500885</v>
      </c>
    </row>
    <row r="136" spans="1:36" ht="14.4" x14ac:dyDescent="0.3">
      <c r="A136">
        <f>'Lista de Compra'!A134</f>
        <v>131</v>
      </c>
      <c r="B136" t="str">
        <f>'Lista de Compra'!B134</f>
        <v>FLANGE 5" 150LBS WN ASTM A105 GR WPB B16.5</v>
      </c>
      <c r="C136">
        <f>'Lista de Compra'!C134</f>
        <v>72121000</v>
      </c>
      <c r="D136" s="98">
        <f>'Lista de Compra'!I134</f>
        <v>150</v>
      </c>
      <c r="E136" s="142">
        <f>'Lista de Compra'!L134</f>
        <v>2.1434164638552623E-2</v>
      </c>
      <c r="F136" s="139">
        <f>'Lista de Compra'!J134</f>
        <v>9.4600000000000009</v>
      </c>
      <c r="G136" s="139">
        <f t="shared" si="45"/>
        <v>1419.0000000000002</v>
      </c>
      <c r="H136" s="22">
        <f t="shared" si="46"/>
        <v>7293.6600000000008</v>
      </c>
      <c r="I136" s="143">
        <f>'Rateio Custos Fixos'!E135</f>
        <v>2068.825570913099</v>
      </c>
      <c r="J136" s="22">
        <f t="shared" si="47"/>
        <v>9362.4855709131007</v>
      </c>
      <c r="K136" s="22">
        <f t="shared" si="48"/>
        <v>10411.083954855369</v>
      </c>
      <c r="L136" s="22">
        <f t="shared" si="49"/>
        <v>1048.5983839422672</v>
      </c>
      <c r="M136" s="22">
        <f t="shared" si="44"/>
        <v>338.36022853279951</v>
      </c>
      <c r="N136" s="22">
        <f t="shared" si="44"/>
        <v>218.63276305196274</v>
      </c>
      <c r="O136" s="22">
        <f t="shared" si="44"/>
        <v>1004.669601643543</v>
      </c>
      <c r="P136" s="22">
        <f t="shared" si="44"/>
        <v>624.66503729132205</v>
      </c>
      <c r="Q136" s="22">
        <f t="shared" si="50"/>
        <v>3234.9260144618947</v>
      </c>
      <c r="R136" s="22">
        <f>'Rateio Custos Fixos'!F135</f>
        <v>7.5019576234934178</v>
      </c>
      <c r="S136" s="22">
        <f>'Rateio Custos Fixos'!G135</f>
        <v>23.577581102407883</v>
      </c>
      <c r="T136" s="22">
        <f>'Rateio Custos Fixos'!H135</f>
        <v>32.151246957828931</v>
      </c>
      <c r="U136" s="22">
        <f>'Rateio Custos Fixos'!I135</f>
        <v>2.1434164638552624</v>
      </c>
      <c r="V136" s="22">
        <f>'Rateio Custos Fixos'!J135</f>
        <v>3.8581496349394722</v>
      </c>
      <c r="W136" s="22">
        <f>'Rateio Custos Fixos'!K135</f>
        <v>10.502740672890786</v>
      </c>
      <c r="X136" s="22">
        <f>'Rateio Custos Fixos'!L135</f>
        <v>22.720214516865781</v>
      </c>
      <c r="Y136" s="22">
        <f>'Rateio Custos Fixos'!M135</f>
        <v>7.8449042577102599</v>
      </c>
      <c r="Z136" s="22">
        <f>'Rateio Custos Fixos'!N135</f>
        <v>165.50604567304794</v>
      </c>
      <c r="AA136" s="22">
        <f>'Rateio Custos Fixos'!O135</f>
        <v>32.151246957828931</v>
      </c>
      <c r="AB136" s="22">
        <f>'Rateio Custos Fixos'!P135</f>
        <v>6.4302493915657868</v>
      </c>
      <c r="AC136" s="22">
        <f>'Rateio Custos Fixos'!Q135</f>
        <v>6.8660059586675617</v>
      </c>
      <c r="AD136" s="22">
        <f>'Rateio Custos Fixos'!R135</f>
        <v>4.2868329277105248</v>
      </c>
      <c r="AE136" s="22">
        <f>'Rateio Custos Fixos'!S135</f>
        <v>96.453740873486808</v>
      </c>
      <c r="AF136" s="22">
        <f>'Rateio Custos Fixos'!T135</f>
        <v>177.97429924329398</v>
      </c>
      <c r="AG136" s="22">
        <f>'Rateio Custos Fixos'!U135</f>
        <v>27.864414030118411</v>
      </c>
      <c r="AH136" s="22">
        <f t="shared" si="51"/>
        <v>627.8330462857117</v>
      </c>
      <c r="AI136" s="22">
        <f t="shared" si="52"/>
        <v>13225.244631660707</v>
      </c>
      <c r="AJ136" s="22">
        <f t="shared" si="53"/>
        <v>88.168297544404723</v>
      </c>
    </row>
    <row r="137" spans="1:36" ht="14.4" x14ac:dyDescent="0.3">
      <c r="A137">
        <f>'Lista de Compra'!A135</f>
        <v>132</v>
      </c>
      <c r="B137" t="str">
        <f>'Lista de Compra'!B135</f>
        <v>FLANGE 6" 150LBS WN ASTM A105 GR WPB B16.5</v>
      </c>
      <c r="C137">
        <f>'Lista de Compra'!C135</f>
        <v>72121000</v>
      </c>
      <c r="D137" s="98">
        <f>'Lista de Compra'!I135</f>
        <v>250</v>
      </c>
      <c r="E137" s="142">
        <f>'Lista de Compra'!L135</f>
        <v>4.3464981499249586E-2</v>
      </c>
      <c r="F137" s="139">
        <f>'Lista de Compra'!J135</f>
        <v>11.51</v>
      </c>
      <c r="G137" s="139">
        <f t="shared" si="45"/>
        <v>2877.5</v>
      </c>
      <c r="H137" s="22">
        <f t="shared" si="46"/>
        <v>14790.349999999999</v>
      </c>
      <c r="I137" s="143">
        <f>'Rateio Custos Fixos'!E136</f>
        <v>4195.2400143075702</v>
      </c>
      <c r="J137" s="22">
        <f t="shared" si="47"/>
        <v>18985.590014307571</v>
      </c>
      <c r="K137" s="22">
        <f t="shared" si="48"/>
        <v>21111.976095910017</v>
      </c>
      <c r="L137" s="22">
        <f t="shared" si="49"/>
        <v>2126.386081602448</v>
      </c>
      <c r="M137" s="22">
        <f t="shared" si="44"/>
        <v>686.13922311707552</v>
      </c>
      <c r="N137" s="22">
        <f t="shared" si="44"/>
        <v>443.3514980141104</v>
      </c>
      <c r="O137" s="22">
        <f t="shared" si="44"/>
        <v>2037.3056932553166</v>
      </c>
      <c r="P137" s="22">
        <f t="shared" si="44"/>
        <v>1266.7185657546011</v>
      </c>
      <c r="Q137" s="22">
        <f t="shared" si="50"/>
        <v>6559.9010617435524</v>
      </c>
      <c r="R137" s="22">
        <f>'Rateio Custos Fixos'!F136</f>
        <v>15.212743524737355</v>
      </c>
      <c r="S137" s="22">
        <f>'Rateio Custos Fixos'!G136</f>
        <v>47.811479649174544</v>
      </c>
      <c r="T137" s="22">
        <f>'Rateio Custos Fixos'!H136</f>
        <v>65.197472248874377</v>
      </c>
      <c r="U137" s="22">
        <f>'Rateio Custos Fixos'!I136</f>
        <v>4.3464981499249582</v>
      </c>
      <c r="V137" s="22">
        <f>'Rateio Custos Fixos'!J136</f>
        <v>7.8236966698649253</v>
      </c>
      <c r="W137" s="22">
        <f>'Rateio Custos Fixos'!K136</f>
        <v>21.297840934632298</v>
      </c>
      <c r="X137" s="22">
        <f>'Rateio Custos Fixos'!L136</f>
        <v>46.072880389204563</v>
      </c>
      <c r="Y137" s="22">
        <f>'Rateio Custos Fixos'!M136</f>
        <v>15.908183228725349</v>
      </c>
      <c r="Z137" s="22">
        <f>'Rateio Custos Fixos'!N136</f>
        <v>335.6192011446056</v>
      </c>
      <c r="AA137" s="22">
        <f>'Rateio Custos Fixos'!O136</f>
        <v>65.197472248874377</v>
      </c>
      <c r="AB137" s="22">
        <f>'Rateio Custos Fixos'!P136</f>
        <v>13.039494449774876</v>
      </c>
      <c r="AC137" s="22">
        <f>'Rateio Custos Fixos'!Q136</f>
        <v>13.923137523654619</v>
      </c>
      <c r="AD137" s="22">
        <f>'Rateio Custos Fixos'!R136</f>
        <v>8.6929962998499164</v>
      </c>
      <c r="AE137" s="22">
        <f>'Rateio Custos Fixos'!S136</f>
        <v>195.59241674662314</v>
      </c>
      <c r="AF137" s="22">
        <f>'Rateio Custos Fixos'!T136</f>
        <v>360.90278088271907</v>
      </c>
      <c r="AG137" s="22">
        <f>'Rateio Custos Fixos'!U136</f>
        <v>56.50447594902446</v>
      </c>
      <c r="AH137" s="22">
        <f t="shared" si="51"/>
        <v>1273.1427700402644</v>
      </c>
      <c r="AI137" s="22">
        <f t="shared" si="52"/>
        <v>26818.633846091387</v>
      </c>
      <c r="AJ137" s="22">
        <f t="shared" si="53"/>
        <v>107.27453538436555</v>
      </c>
    </row>
    <row r="138" spans="1:36" ht="14.4" x14ac:dyDescent="0.3">
      <c r="A138">
        <f>'Lista de Compra'!A136</f>
        <v>133</v>
      </c>
      <c r="B138" t="str">
        <f>'Lista de Compra'!B136</f>
        <v>FLANGE 8" 150LBS WN ASTM A105 GR WPB B16.5</v>
      </c>
      <c r="C138">
        <f>'Lista de Compra'!C136</f>
        <v>72121000</v>
      </c>
      <c r="D138" s="98">
        <f>'Lista de Compra'!I136</f>
        <v>50</v>
      </c>
      <c r="E138" s="142">
        <f>'Lista de Compra'!L136</f>
        <v>1.3987340701409249E-2</v>
      </c>
      <c r="F138" s="139">
        <f>'Lista de Compra'!J136</f>
        <v>18.52</v>
      </c>
      <c r="G138" s="139">
        <f t="shared" si="45"/>
        <v>926</v>
      </c>
      <c r="H138" s="22">
        <f t="shared" si="46"/>
        <v>4759.6399999999994</v>
      </c>
      <c r="I138" s="143">
        <f>'Rateio Custos Fixos'!E137</f>
        <v>1350.0581245000208</v>
      </c>
      <c r="J138" s="22">
        <f t="shared" si="47"/>
        <v>6109.6981245000206</v>
      </c>
      <c r="K138" s="22">
        <f t="shared" si="48"/>
        <v>6793.9843144440229</v>
      </c>
      <c r="L138" s="22">
        <f t="shared" si="49"/>
        <v>684.28618994400233</v>
      </c>
      <c r="M138" s="22">
        <f t="shared" si="44"/>
        <v>220.80449021943076</v>
      </c>
      <c r="N138" s="22">
        <f t="shared" si="44"/>
        <v>142.6736706033245</v>
      </c>
      <c r="O138" s="22">
        <f t="shared" si="44"/>
        <v>655.61948634384817</v>
      </c>
      <c r="P138" s="22">
        <f t="shared" si="44"/>
        <v>407.63905886664134</v>
      </c>
      <c r="Q138" s="22">
        <f t="shared" si="50"/>
        <v>2111.0228959772471</v>
      </c>
      <c r="R138" s="22">
        <f>'Rateio Custos Fixos'!F137</f>
        <v>4.8955692454932374</v>
      </c>
      <c r="S138" s="22">
        <f>'Rateio Custos Fixos'!G137</f>
        <v>15.386074771550174</v>
      </c>
      <c r="T138" s="22">
        <f>'Rateio Custos Fixos'!H137</f>
        <v>20.981011052113875</v>
      </c>
      <c r="U138" s="22">
        <f>'Rateio Custos Fixos'!I137</f>
        <v>1.398734070140925</v>
      </c>
      <c r="V138" s="22">
        <f>'Rateio Custos Fixos'!J137</f>
        <v>2.5177213262536648</v>
      </c>
      <c r="W138" s="22">
        <f>'Rateio Custos Fixos'!K137</f>
        <v>6.8537969436905319</v>
      </c>
      <c r="X138" s="22">
        <f>'Rateio Custos Fixos'!L137</f>
        <v>14.826581143493804</v>
      </c>
      <c r="Y138" s="22">
        <f>'Rateio Custos Fixos'!M137</f>
        <v>5.1193666967157849</v>
      </c>
      <c r="Z138" s="22">
        <f>'Rateio Custos Fixos'!N137</f>
        <v>108.00464996000166</v>
      </c>
      <c r="AA138" s="22">
        <f>'Rateio Custos Fixos'!O137</f>
        <v>20.981011052113875</v>
      </c>
      <c r="AB138" s="22">
        <f>'Rateio Custos Fixos'!P137</f>
        <v>4.1962022104227747</v>
      </c>
      <c r="AC138" s="22">
        <f>'Rateio Custos Fixos'!Q137</f>
        <v>4.4805648468824248</v>
      </c>
      <c r="AD138" s="22">
        <f>'Rateio Custos Fixos'!R137</f>
        <v>2.79746814028185</v>
      </c>
      <c r="AE138" s="22">
        <f>'Rateio Custos Fixos'!S137</f>
        <v>62.94303315634162</v>
      </c>
      <c r="AF138" s="22">
        <f>'Rateio Custos Fixos'!T137</f>
        <v>116.14108604601141</v>
      </c>
      <c r="AG138" s="22">
        <f>'Rateio Custos Fixos'!U137</f>
        <v>18.183542911832024</v>
      </c>
      <c r="AH138" s="22">
        <f t="shared" si="51"/>
        <v>409.70641357333966</v>
      </c>
      <c r="AI138" s="22">
        <f t="shared" si="52"/>
        <v>8630.4274340506072</v>
      </c>
      <c r="AJ138" s="22">
        <f t="shared" si="53"/>
        <v>172.60854868101214</v>
      </c>
    </row>
    <row r="139" spans="1:36" ht="14.4" x14ac:dyDescent="0.3">
      <c r="A139">
        <f>'Lista de Compra'!A137</f>
        <v>134</v>
      </c>
      <c r="B139" t="str">
        <f>'Lista de Compra'!B137</f>
        <v>FLANGE 8" 300LBS WN ASTM A105 GR WPB B16.5</v>
      </c>
      <c r="C139">
        <f>'Lista de Compra'!C137</f>
        <v>72121000</v>
      </c>
      <c r="D139" s="98">
        <f>'Lista de Compra'!I137</f>
        <v>40</v>
      </c>
      <c r="E139" s="142">
        <f>'Lista de Compra'!L137</f>
        <v>2.3213547721302092E-2</v>
      </c>
      <c r="F139" s="139">
        <f>'Lista de Compra'!J137</f>
        <v>38.42</v>
      </c>
      <c r="G139" s="139">
        <f t="shared" si="45"/>
        <v>1536.8000000000002</v>
      </c>
      <c r="H139" s="22">
        <f t="shared" si="46"/>
        <v>7899.152</v>
      </c>
      <c r="I139" s="143">
        <f>'Rateio Custos Fixos'!E138</f>
        <v>2240.571626060078</v>
      </c>
      <c r="J139" s="22">
        <f t="shared" si="47"/>
        <v>10139.723626060078</v>
      </c>
      <c r="K139" s="22">
        <f t="shared" si="48"/>
        <v>11275.372672178808</v>
      </c>
      <c r="L139" s="22">
        <f t="shared" si="49"/>
        <v>1135.6490461187288</v>
      </c>
      <c r="M139" s="22">
        <f t="shared" si="44"/>
        <v>366.44961184581126</v>
      </c>
      <c r="N139" s="22">
        <f t="shared" si="44"/>
        <v>236.78282611575497</v>
      </c>
      <c r="O139" s="22">
        <f t="shared" si="44"/>
        <v>1088.0734628652549</v>
      </c>
      <c r="P139" s="22">
        <f t="shared" si="44"/>
        <v>676.52236033072847</v>
      </c>
      <c r="Q139" s="22">
        <f t="shared" si="50"/>
        <v>3503.4773072762782</v>
      </c>
      <c r="R139" s="22">
        <f>'Rateio Custos Fixos'!F138</f>
        <v>8.1247417024557329</v>
      </c>
      <c r="S139" s="22">
        <f>'Rateio Custos Fixos'!G138</f>
        <v>25.534902493432302</v>
      </c>
      <c r="T139" s="22">
        <f>'Rateio Custos Fixos'!H138</f>
        <v>34.820321581953138</v>
      </c>
      <c r="U139" s="22">
        <f>'Rateio Custos Fixos'!I138</f>
        <v>2.321354772130209</v>
      </c>
      <c r="V139" s="22">
        <f>'Rateio Custos Fixos'!J138</f>
        <v>4.1784385898343768</v>
      </c>
      <c r="W139" s="22">
        <f>'Rateio Custos Fixos'!K138</f>
        <v>11.374638383438025</v>
      </c>
      <c r="X139" s="22">
        <f>'Rateio Custos Fixos'!L138</f>
        <v>24.606360584580216</v>
      </c>
      <c r="Y139" s="22">
        <f>'Rateio Custos Fixos'!M138</f>
        <v>8.4961584659965652</v>
      </c>
      <c r="Z139" s="22">
        <f>'Rateio Custos Fixos'!N138</f>
        <v>179.24573008480624</v>
      </c>
      <c r="AA139" s="22">
        <f>'Rateio Custos Fixos'!O138</f>
        <v>34.820321581953138</v>
      </c>
      <c r="AB139" s="22">
        <f>'Rateio Custos Fixos'!P138</f>
        <v>6.964064316390628</v>
      </c>
      <c r="AC139" s="22">
        <f>'Rateio Custos Fixos'!Q138</f>
        <v>7.4359957415646987</v>
      </c>
      <c r="AD139" s="22">
        <f>'Rateio Custos Fixos'!R138</f>
        <v>4.642709544260418</v>
      </c>
      <c r="AE139" s="22">
        <f>'Rateio Custos Fixos'!S138</f>
        <v>104.46096474585941</v>
      </c>
      <c r="AF139" s="22">
        <f>'Rateio Custos Fixos'!T138</f>
        <v>192.74905079428765</v>
      </c>
      <c r="AG139" s="22">
        <f>'Rateio Custos Fixos'!U138</f>
        <v>30.177612037692718</v>
      </c>
      <c r="AH139" s="22">
        <f t="shared" si="51"/>
        <v>679.95336542063546</v>
      </c>
      <c r="AI139" s="22">
        <f t="shared" si="52"/>
        <v>14323.154298756992</v>
      </c>
      <c r="AJ139" s="22">
        <f t="shared" si="53"/>
        <v>358.07885746892481</v>
      </c>
    </row>
    <row r="140" spans="1:36" ht="14.4" x14ac:dyDescent="0.3">
      <c r="A140">
        <f>'Lista de Compra'!A138</f>
        <v>135</v>
      </c>
      <c r="B140" t="str">
        <f>'Lista de Compra'!B138</f>
        <v>FLANGE 6" 300LBS WN ASTM A105 GR WPB B16.5</v>
      </c>
      <c r="C140">
        <f>'Lista de Compra'!C138</f>
        <v>72121000</v>
      </c>
      <c r="D140" s="98">
        <f>'Lista de Compra'!I138</f>
        <v>50</v>
      </c>
      <c r="E140" s="142">
        <f>'Lista de Compra'!L138</f>
        <v>1.6071847199027475E-2</v>
      </c>
      <c r="F140" s="139">
        <f>'Lista de Compra'!J138</f>
        <v>21.28</v>
      </c>
      <c r="G140" s="139">
        <f t="shared" si="45"/>
        <v>1064</v>
      </c>
      <c r="H140" s="22">
        <f t="shared" si="46"/>
        <v>5468.96</v>
      </c>
      <c r="I140" s="143">
        <f>'Rateio Custos Fixos'!E139</f>
        <v>1551.2546916501319</v>
      </c>
      <c r="J140" s="22">
        <f t="shared" si="47"/>
        <v>7020.2146916501315</v>
      </c>
      <c r="K140" s="22">
        <f t="shared" si="48"/>
        <v>7806.4787371149459</v>
      </c>
      <c r="L140" s="22">
        <f t="shared" si="49"/>
        <v>786.26404546481479</v>
      </c>
      <c r="M140" s="22">
        <f t="shared" si="44"/>
        <v>253.71055895623576</v>
      </c>
      <c r="N140" s="22">
        <f t="shared" si="44"/>
        <v>163.93605347941389</v>
      </c>
      <c r="O140" s="22">
        <f t="shared" si="44"/>
        <v>753.32519813159229</v>
      </c>
      <c r="P140" s="22">
        <f t="shared" si="44"/>
        <v>468.38872422689673</v>
      </c>
      <c r="Q140" s="22">
        <f t="shared" si="50"/>
        <v>2425.6245802589533</v>
      </c>
      <c r="R140" s="22">
        <f>'Rateio Custos Fixos'!F139</f>
        <v>5.6251465196596167</v>
      </c>
      <c r="S140" s="22">
        <f>'Rateio Custos Fixos'!G139</f>
        <v>17.679031918930225</v>
      </c>
      <c r="T140" s="22">
        <f>'Rateio Custos Fixos'!H139</f>
        <v>24.107770798541214</v>
      </c>
      <c r="U140" s="22">
        <f>'Rateio Custos Fixos'!I139</f>
        <v>1.6071847199027476</v>
      </c>
      <c r="V140" s="22">
        <f>'Rateio Custos Fixos'!J139</f>
        <v>2.8929324958249456</v>
      </c>
      <c r="W140" s="22">
        <f>'Rateio Custos Fixos'!K139</f>
        <v>7.8752051275234631</v>
      </c>
      <c r="X140" s="22">
        <f>'Rateio Custos Fixos'!L139</f>
        <v>17.036158030969123</v>
      </c>
      <c r="Y140" s="22">
        <f>'Rateio Custos Fixos'!M139</f>
        <v>5.8822960748440556</v>
      </c>
      <c r="Z140" s="22">
        <f>'Rateio Custos Fixos'!N139</f>
        <v>124.10037533201056</v>
      </c>
      <c r="AA140" s="22">
        <f>'Rateio Custos Fixos'!O139</f>
        <v>24.107770798541214</v>
      </c>
      <c r="AB140" s="22">
        <f>'Rateio Custos Fixos'!P139</f>
        <v>4.821554159708243</v>
      </c>
      <c r="AC140" s="22">
        <f>'Rateio Custos Fixos'!Q139</f>
        <v>5.1482948132644708</v>
      </c>
      <c r="AD140" s="22">
        <f>'Rateio Custos Fixos'!R139</f>
        <v>3.2143694398054952</v>
      </c>
      <c r="AE140" s="22">
        <f>'Rateio Custos Fixos'!S139</f>
        <v>72.323312395623645</v>
      </c>
      <c r="AF140" s="22">
        <f>'Rateio Custos Fixos'!T139</f>
        <v>133.44936884768484</v>
      </c>
      <c r="AG140" s="22">
        <f>'Rateio Custos Fixos'!U139</f>
        <v>20.893401358735719</v>
      </c>
      <c r="AH140" s="22">
        <f t="shared" si="51"/>
        <v>470.76417283156962</v>
      </c>
      <c r="AI140" s="22">
        <f t="shared" si="52"/>
        <v>9916.6034447406546</v>
      </c>
      <c r="AJ140" s="22">
        <f t="shared" si="53"/>
        <v>198.33206889481309</v>
      </c>
    </row>
    <row r="141" spans="1:36" ht="14.4" x14ac:dyDescent="0.3">
      <c r="A141">
        <f>'Lista de Compra'!A139</f>
        <v>136</v>
      </c>
      <c r="B141" t="str">
        <f>'Lista de Compra'!B139</f>
        <v>FLANGE 5" 300LBS WN ASTM A105 GR WPB B16.5</v>
      </c>
      <c r="C141">
        <f>'Lista de Compra'!C139</f>
        <v>72121000</v>
      </c>
      <c r="D141" s="98">
        <f>'Lista de Compra'!I139</f>
        <v>15</v>
      </c>
      <c r="E141" s="142">
        <f>'Lista de Compra'!L139</f>
        <v>4.5541935437093829E-3</v>
      </c>
      <c r="F141" s="139">
        <f>'Lista de Compra'!J139</f>
        <v>20.100000000000001</v>
      </c>
      <c r="G141" s="139">
        <f t="shared" si="45"/>
        <v>301.5</v>
      </c>
      <c r="H141" s="22">
        <f t="shared" si="46"/>
        <v>1549.7099999999998</v>
      </c>
      <c r="I141" s="143">
        <f>'Rateio Custos Fixos'!E140</f>
        <v>439.57076083882964</v>
      </c>
      <c r="J141" s="22">
        <f t="shared" si="47"/>
        <v>1989.2807608388293</v>
      </c>
      <c r="K141" s="22">
        <f t="shared" si="48"/>
        <v>2212.0802060527781</v>
      </c>
      <c r="L141" s="22">
        <f t="shared" si="49"/>
        <v>222.7994452139489</v>
      </c>
      <c r="M141" s="22">
        <f t="shared" si="44"/>
        <v>71.892606696715291</v>
      </c>
      <c r="N141" s="22">
        <f t="shared" si="44"/>
        <v>46.453684327108341</v>
      </c>
      <c r="O141" s="22">
        <f t="shared" si="44"/>
        <v>213.4657398840931</v>
      </c>
      <c r="P141" s="22">
        <f t="shared" si="44"/>
        <v>132.72481236316668</v>
      </c>
      <c r="Q141" s="22">
        <f t="shared" si="50"/>
        <v>687.33628848503236</v>
      </c>
      <c r="R141" s="22">
        <f>'Rateio Custos Fixos'!F140</f>
        <v>1.5939677402982839</v>
      </c>
      <c r="S141" s="22">
        <f>'Rateio Custos Fixos'!G140</f>
        <v>5.009612898080321</v>
      </c>
      <c r="T141" s="22">
        <f>'Rateio Custos Fixos'!H140</f>
        <v>6.8312903155640745</v>
      </c>
      <c r="U141" s="22">
        <f>'Rateio Custos Fixos'!I140</f>
        <v>0.45541935437093828</v>
      </c>
      <c r="V141" s="22">
        <f>'Rateio Custos Fixos'!J140</f>
        <v>0.81975483786768888</v>
      </c>
      <c r="W141" s="22">
        <f>'Rateio Custos Fixos'!K140</f>
        <v>2.2315548364175974</v>
      </c>
      <c r="X141" s="22">
        <f>'Rateio Custos Fixos'!L140</f>
        <v>4.8274451563319456</v>
      </c>
      <c r="Y141" s="22">
        <f>'Rateio Custos Fixos'!M140</f>
        <v>1.666834836997634</v>
      </c>
      <c r="Z141" s="22">
        <f>'Rateio Custos Fixos'!N140</f>
        <v>35.165660867106375</v>
      </c>
      <c r="AA141" s="22">
        <f>'Rateio Custos Fixos'!O140</f>
        <v>6.8312903155640745</v>
      </c>
      <c r="AB141" s="22">
        <f>'Rateio Custos Fixos'!P140</f>
        <v>1.3662580631128149</v>
      </c>
      <c r="AC141" s="22">
        <f>'Rateio Custos Fixos'!Q140</f>
        <v>1.4588448178564266</v>
      </c>
      <c r="AD141" s="22">
        <f>'Rateio Custos Fixos'!R140</f>
        <v>0.91083870874187656</v>
      </c>
      <c r="AE141" s="22">
        <f>'Rateio Custos Fixos'!S140</f>
        <v>20.493870946692223</v>
      </c>
      <c r="AF141" s="22">
        <f>'Rateio Custos Fixos'!T140</f>
        <v>37.814835251482116</v>
      </c>
      <c r="AG141" s="22">
        <f>'Rateio Custos Fixos'!U140</f>
        <v>5.9204516068221977</v>
      </c>
      <c r="AH141" s="22">
        <f t="shared" si="51"/>
        <v>133.39793055330659</v>
      </c>
      <c r="AI141" s="22">
        <f t="shared" si="52"/>
        <v>2810.0149798771681</v>
      </c>
      <c r="AJ141" s="22">
        <f t="shared" si="53"/>
        <v>187.33433199181121</v>
      </c>
    </row>
    <row r="142" spans="1:36" ht="14.4" x14ac:dyDescent="0.3">
      <c r="A142">
        <f>'Lista de Compra'!A140</f>
        <v>137</v>
      </c>
      <c r="B142" t="str">
        <f>'Lista de Compra'!B140</f>
        <v>CURVA SOLD RL 90° ASTM A-234 ASME B16.9 SCH 80 - 2"</v>
      </c>
      <c r="C142">
        <f>'Lista de Compra'!C140</f>
        <v>72121000</v>
      </c>
      <c r="D142" s="98">
        <f>'Lista de Compra'!I140</f>
        <v>1600</v>
      </c>
      <c r="E142" s="142">
        <f>'Lista de Compra'!L140</f>
        <v>2.0784644497990418E-2</v>
      </c>
      <c r="F142" s="139">
        <f>'Lista de Compra'!J140</f>
        <v>0.86</v>
      </c>
      <c r="G142" s="139">
        <f t="shared" si="45"/>
        <v>1376</v>
      </c>
      <c r="H142" s="22">
        <f t="shared" si="46"/>
        <v>7072.6399999999994</v>
      </c>
      <c r="I142" s="143">
        <f>'Rateio Custos Fixos'!E141</f>
        <v>2006.1338869460351</v>
      </c>
      <c r="J142" s="22">
        <f t="shared" si="47"/>
        <v>9078.7738869460336</v>
      </c>
      <c r="K142" s="22">
        <f t="shared" si="48"/>
        <v>10095.596562283989</v>
      </c>
      <c r="L142" s="22">
        <f t="shared" si="49"/>
        <v>1016.8226753379557</v>
      </c>
      <c r="M142" s="22">
        <f t="shared" si="44"/>
        <v>328.10688827422962</v>
      </c>
      <c r="N142" s="22">
        <f t="shared" si="44"/>
        <v>212.00752780796378</v>
      </c>
      <c r="O142" s="22">
        <f t="shared" si="44"/>
        <v>974.2250682604049</v>
      </c>
      <c r="P142" s="22">
        <f t="shared" si="44"/>
        <v>605.73579373703933</v>
      </c>
      <c r="Q142" s="22">
        <f t="shared" si="50"/>
        <v>3136.8979534175933</v>
      </c>
      <c r="R142" s="22">
        <f>'Rateio Custos Fixos'!F141</f>
        <v>7.2746255742966461</v>
      </c>
      <c r="S142" s="22">
        <f>'Rateio Custos Fixos'!G141</f>
        <v>22.86310894778946</v>
      </c>
      <c r="T142" s="22">
        <f>'Rateio Custos Fixos'!H141</f>
        <v>31.176966746985627</v>
      </c>
      <c r="U142" s="22">
        <f>'Rateio Custos Fixos'!I141</f>
        <v>2.0784644497990419</v>
      </c>
      <c r="V142" s="22">
        <f>'Rateio Custos Fixos'!J141</f>
        <v>3.7412360096382753</v>
      </c>
      <c r="W142" s="22">
        <f>'Rateio Custos Fixos'!K141</f>
        <v>10.184475804015305</v>
      </c>
      <c r="X142" s="22">
        <f>'Rateio Custos Fixos'!L141</f>
        <v>22.031723167869842</v>
      </c>
      <c r="Y142" s="22">
        <f>'Rateio Custos Fixos'!M141</f>
        <v>7.6071798862644933</v>
      </c>
      <c r="Z142" s="22">
        <f>'Rateio Custos Fixos'!N141</f>
        <v>160.4907109556828</v>
      </c>
      <c r="AA142" s="22">
        <f>'Rateio Custos Fixos'!O141</f>
        <v>31.176966746985627</v>
      </c>
      <c r="AB142" s="22">
        <f>'Rateio Custos Fixos'!P141</f>
        <v>6.2353933493971256</v>
      </c>
      <c r="AC142" s="22">
        <f>'Rateio Custos Fixos'!Q141</f>
        <v>6.6579451720412699</v>
      </c>
      <c r="AD142" s="22">
        <f>'Rateio Custos Fixos'!R141</f>
        <v>4.1569288995980838</v>
      </c>
      <c r="AE142" s="22">
        <f>'Rateio Custos Fixos'!S141</f>
        <v>93.530900240956882</v>
      </c>
      <c r="AF142" s="22">
        <f>'Rateio Custos Fixos'!T141</f>
        <v>172.58113866016382</v>
      </c>
      <c r="AG142" s="22">
        <f>'Rateio Custos Fixos'!U141</f>
        <v>27.020037847387542</v>
      </c>
      <c r="AH142" s="22">
        <f t="shared" si="51"/>
        <v>608.80780245887183</v>
      </c>
      <c r="AI142" s="22">
        <f t="shared" si="52"/>
        <v>12824.479642822498</v>
      </c>
      <c r="AJ142" s="22">
        <f t="shared" si="53"/>
        <v>8.0152997767640617</v>
      </c>
    </row>
    <row r="143" spans="1:36" ht="14.4" x14ac:dyDescent="0.3">
      <c r="A143">
        <f>'Lista de Compra'!A141</f>
        <v>138</v>
      </c>
      <c r="B143" t="str">
        <f>'Lista de Compra'!B141</f>
        <v>CURVA SOLD RL 90° ASTM A-234 ASME B16.9 SCH 80 - 6"</v>
      </c>
      <c r="C143">
        <f>'Lista de Compra'!C141</f>
        <v>72121000</v>
      </c>
      <c r="D143" s="98">
        <f>'Lista de Compra'!I141</f>
        <v>70</v>
      </c>
      <c r="E143" s="142">
        <f>'Lista de Compra'!L141</f>
        <v>1.3185258853412674E-2</v>
      </c>
      <c r="F143" s="139">
        <f>'Lista de Compra'!J141</f>
        <v>12.47</v>
      </c>
      <c r="G143" s="139">
        <f t="shared" si="45"/>
        <v>872.90000000000009</v>
      </c>
      <c r="H143" s="22">
        <f t="shared" si="46"/>
        <v>4486.7060000000001</v>
      </c>
      <c r="I143" s="143">
        <f>'Rateio Custos Fixos'!E142</f>
        <v>1272.6411845313912</v>
      </c>
      <c r="J143" s="22">
        <f t="shared" si="47"/>
        <v>5759.3471845313916</v>
      </c>
      <c r="K143" s="22">
        <f t="shared" si="48"/>
        <v>6404.3940691989073</v>
      </c>
      <c r="L143" s="22">
        <f t="shared" si="49"/>
        <v>645.04688466751588</v>
      </c>
      <c r="M143" s="22">
        <f t="shared" si="44"/>
        <v>208.14280724896449</v>
      </c>
      <c r="N143" s="22">
        <f t="shared" si="44"/>
        <v>134.49227545317706</v>
      </c>
      <c r="O143" s="22">
        <f t="shared" si="44"/>
        <v>618.02402767769456</v>
      </c>
      <c r="P143" s="22">
        <f t="shared" si="44"/>
        <v>384.26364415193444</v>
      </c>
      <c r="Q143" s="22">
        <f t="shared" si="50"/>
        <v>1989.9696391992863</v>
      </c>
      <c r="R143" s="22">
        <f>'Rateio Custos Fixos'!F142</f>
        <v>4.6148405986944363</v>
      </c>
      <c r="S143" s="22">
        <f>'Rateio Custos Fixos'!G142</f>
        <v>14.503784738753941</v>
      </c>
      <c r="T143" s="22">
        <f>'Rateio Custos Fixos'!H142</f>
        <v>19.777888280119011</v>
      </c>
      <c r="U143" s="22">
        <f>'Rateio Custos Fixos'!I142</f>
        <v>1.3185258853412674</v>
      </c>
      <c r="V143" s="22">
        <f>'Rateio Custos Fixos'!J142</f>
        <v>2.3733465936142815</v>
      </c>
      <c r="W143" s="22">
        <f>'Rateio Custos Fixos'!K142</f>
        <v>6.4607768381722099</v>
      </c>
      <c r="X143" s="22">
        <f>'Rateio Custos Fixos'!L142</f>
        <v>13.976374384617435</v>
      </c>
      <c r="Y143" s="22">
        <f>'Rateio Custos Fixos'!M142</f>
        <v>4.8258047403490387</v>
      </c>
      <c r="Z143" s="22">
        <f>'Rateio Custos Fixos'!N142</f>
        <v>101.8112947625113</v>
      </c>
      <c r="AA143" s="22">
        <f>'Rateio Custos Fixos'!O142</f>
        <v>19.777888280119011</v>
      </c>
      <c r="AB143" s="22">
        <f>'Rateio Custos Fixos'!P142</f>
        <v>3.9555776560238023</v>
      </c>
      <c r="AC143" s="22">
        <f>'Rateio Custos Fixos'!Q142</f>
        <v>4.2236339685136812</v>
      </c>
      <c r="AD143" s="22">
        <f>'Rateio Custos Fixos'!R142</f>
        <v>2.6370517706825347</v>
      </c>
      <c r="AE143" s="22">
        <f>'Rateio Custos Fixos'!S142</f>
        <v>59.333664840357031</v>
      </c>
      <c r="AF143" s="22">
        <f>'Rateio Custos Fixos'!T142</f>
        <v>109.48115983754144</v>
      </c>
      <c r="AG143" s="22">
        <f>'Rateio Custos Fixos'!U142</f>
        <v>17.140836509436475</v>
      </c>
      <c r="AH143" s="22">
        <f t="shared" si="51"/>
        <v>386.21244968484689</v>
      </c>
      <c r="AI143" s="22">
        <f t="shared" si="52"/>
        <v>8135.5292734155246</v>
      </c>
      <c r="AJ143" s="22">
        <f t="shared" si="53"/>
        <v>116.22184676307893</v>
      </c>
    </row>
    <row r="144" spans="1:36" ht="14.4" x14ac:dyDescent="0.3">
      <c r="A144">
        <f>'Lista de Compra'!A142</f>
        <v>139</v>
      </c>
      <c r="B144" t="str">
        <f>'Lista de Compra'!B142</f>
        <v>CURVA SOLD RL 45° ASTM A-234 ASME B16.9 SCH 80 - 8"</v>
      </c>
      <c r="C144">
        <f>'Lista de Compra'!C142</f>
        <v>72121000</v>
      </c>
      <c r="D144" s="98">
        <f>'Lista de Compra'!I142</f>
        <v>10</v>
      </c>
      <c r="E144" s="142">
        <f>'Lista de Compra'!L142</f>
        <v>1.9455393977770104E-3</v>
      </c>
      <c r="F144" s="139">
        <f>'Lista de Compra'!J142</f>
        <v>12.88</v>
      </c>
      <c r="G144" s="139">
        <f t="shared" si="45"/>
        <v>128.80000000000001</v>
      </c>
      <c r="H144" s="22">
        <f t="shared" si="46"/>
        <v>662.03200000000004</v>
      </c>
      <c r="I144" s="143">
        <f>'Rateio Custos Fixos'!E143</f>
        <v>187.78346267343704</v>
      </c>
      <c r="J144" s="22">
        <f t="shared" si="47"/>
        <v>849.81546267343708</v>
      </c>
      <c r="K144" s="22">
        <f t="shared" si="48"/>
        <v>944.99479449286207</v>
      </c>
      <c r="L144" s="22">
        <f t="shared" si="49"/>
        <v>95.179331819424959</v>
      </c>
      <c r="M144" s="22">
        <f t="shared" si="44"/>
        <v>30.712330821018018</v>
      </c>
      <c r="N144" s="22">
        <f t="shared" si="44"/>
        <v>19.844890684350105</v>
      </c>
      <c r="O144" s="22">
        <f t="shared" si="44"/>
        <v>91.191997668561186</v>
      </c>
      <c r="P144" s="22">
        <f t="shared" si="44"/>
        <v>56.699687669571723</v>
      </c>
      <c r="Q144" s="22">
        <f t="shared" si="50"/>
        <v>293.62823866292598</v>
      </c>
      <c r="R144" s="22">
        <f>'Rateio Custos Fixos'!F143</f>
        <v>0.68093878922195361</v>
      </c>
      <c r="S144" s="22">
        <f>'Rateio Custos Fixos'!G143</f>
        <v>2.1400933375547115</v>
      </c>
      <c r="T144" s="22">
        <f>'Rateio Custos Fixos'!H143</f>
        <v>2.9183090966655154</v>
      </c>
      <c r="U144" s="22">
        <f>'Rateio Custos Fixos'!I143</f>
        <v>0.19455393977770102</v>
      </c>
      <c r="V144" s="22">
        <f>'Rateio Custos Fixos'!J143</f>
        <v>0.35019709159986184</v>
      </c>
      <c r="W144" s="22">
        <f>'Rateio Custos Fixos'!K143</f>
        <v>0.9533143049107351</v>
      </c>
      <c r="X144" s="22">
        <f>'Rateio Custos Fixos'!L143</f>
        <v>2.0622717616436308</v>
      </c>
      <c r="Y144" s="22">
        <f>'Rateio Custos Fixos'!M143</f>
        <v>0.71206741958638575</v>
      </c>
      <c r="Z144" s="22">
        <f>'Rateio Custos Fixos'!N143</f>
        <v>15.022677013874963</v>
      </c>
      <c r="AA144" s="22">
        <f>'Rateio Custos Fixos'!O143</f>
        <v>2.9183090966655154</v>
      </c>
      <c r="AB144" s="22">
        <f>'Rateio Custos Fixos'!P143</f>
        <v>0.58366181933310313</v>
      </c>
      <c r="AC144" s="22">
        <f>'Rateio Custos Fixos'!Q143</f>
        <v>0.62321463528990972</v>
      </c>
      <c r="AD144" s="22">
        <f>'Rateio Custos Fixos'!R143</f>
        <v>0.38910787955540205</v>
      </c>
      <c r="AE144" s="22">
        <f>'Rateio Custos Fixos'!S143</f>
        <v>8.7549272899965462</v>
      </c>
      <c r="AF144" s="22">
        <f>'Rateio Custos Fixos'!T143</f>
        <v>16.154397281561849</v>
      </c>
      <c r="AG144" s="22">
        <f>'Rateio Custos Fixos'!U143</f>
        <v>2.5292012171101135</v>
      </c>
      <c r="AH144" s="22">
        <f t="shared" si="51"/>
        <v>56.987241974347903</v>
      </c>
      <c r="AI144" s="22">
        <f t="shared" si="52"/>
        <v>1200.430943310711</v>
      </c>
      <c r="AJ144" s="22">
        <f t="shared" si="53"/>
        <v>120.0430943310711</v>
      </c>
    </row>
    <row r="145" spans="1:36" ht="14.4" x14ac:dyDescent="0.3">
      <c r="A145">
        <f>'Lista de Compra'!A143</f>
        <v>140</v>
      </c>
      <c r="B145" t="str">
        <f>'Lista de Compra'!B143</f>
        <v>CURVA SOLD RL 45° ASTM A-234 ASME B16.9 SCH 80 - 6"</v>
      </c>
      <c r="C145">
        <f>'Lista de Compra'!C143</f>
        <v>72121000</v>
      </c>
      <c r="D145" s="98">
        <f>'Lista de Compra'!I143</f>
        <v>30</v>
      </c>
      <c r="E145" s="142">
        <f>'Lista de Compra'!L143</f>
        <v>3.3895888265618097E-3</v>
      </c>
      <c r="F145" s="139">
        <f>'Lista de Compra'!J143</f>
        <v>7.48</v>
      </c>
      <c r="G145" s="139">
        <f t="shared" si="45"/>
        <v>224.4</v>
      </c>
      <c r="H145" s="22">
        <f t="shared" si="46"/>
        <v>1153.4159999999999</v>
      </c>
      <c r="I145" s="143">
        <f>'Rateio Custos Fixos'!E144</f>
        <v>327.16311353974589</v>
      </c>
      <c r="J145" s="22">
        <f t="shared" si="47"/>
        <v>1480.5791135397458</v>
      </c>
      <c r="K145" s="22">
        <f t="shared" si="48"/>
        <v>1646.4039742561972</v>
      </c>
      <c r="L145" s="22">
        <f t="shared" si="49"/>
        <v>165.82486071645152</v>
      </c>
      <c r="M145" s="22">
        <f t="shared" si="44"/>
        <v>53.508129163326409</v>
      </c>
      <c r="N145" s="22">
        <f t="shared" si="44"/>
        <v>34.574483459380147</v>
      </c>
      <c r="O145" s="22">
        <f t="shared" si="44"/>
        <v>158.87798351572303</v>
      </c>
      <c r="P145" s="22">
        <f t="shared" si="44"/>
        <v>98.784238455371835</v>
      </c>
      <c r="Q145" s="22">
        <f t="shared" si="50"/>
        <v>511.56969531025294</v>
      </c>
      <c r="R145" s="22">
        <f>'Rateio Custos Fixos'!F144</f>
        <v>1.1863560892966334</v>
      </c>
      <c r="S145" s="22">
        <f>'Rateio Custos Fixos'!G144</f>
        <v>3.7285477092179908</v>
      </c>
      <c r="T145" s="22">
        <f>'Rateio Custos Fixos'!H144</f>
        <v>5.0843832398427145</v>
      </c>
      <c r="U145" s="22">
        <f>'Rateio Custos Fixos'!I144</f>
        <v>0.33895888265618096</v>
      </c>
      <c r="V145" s="22">
        <f>'Rateio Custos Fixos'!J144</f>
        <v>0.61012598878112578</v>
      </c>
      <c r="W145" s="22">
        <f>'Rateio Custos Fixos'!K144</f>
        <v>1.6608985250152868</v>
      </c>
      <c r="X145" s="22">
        <f>'Rateio Custos Fixos'!L144</f>
        <v>3.5929641561555181</v>
      </c>
      <c r="Y145" s="22">
        <f>'Rateio Custos Fixos'!M144</f>
        <v>1.2405895105216223</v>
      </c>
      <c r="Z145" s="22">
        <f>'Rateio Custos Fixos'!N144</f>
        <v>26.173049083179674</v>
      </c>
      <c r="AA145" s="22">
        <f>'Rateio Custos Fixos'!O144</f>
        <v>5.0843832398427145</v>
      </c>
      <c r="AB145" s="22">
        <f>'Rateio Custos Fixos'!P144</f>
        <v>1.0168766479685429</v>
      </c>
      <c r="AC145" s="22">
        <f>'Rateio Custos Fixos'!Q144</f>
        <v>1.0857869888125444</v>
      </c>
      <c r="AD145" s="22">
        <f>'Rateio Custos Fixos'!R144</f>
        <v>0.67791776531236192</v>
      </c>
      <c r="AE145" s="22">
        <f>'Rateio Custos Fixos'!S144</f>
        <v>15.253149719528144</v>
      </c>
      <c r="AF145" s="22">
        <f>'Rateio Custos Fixos'!T144</f>
        <v>28.14477290359067</v>
      </c>
      <c r="AG145" s="22">
        <f>'Rateio Custos Fixos'!U144</f>
        <v>4.4064654745303526</v>
      </c>
      <c r="AH145" s="22">
        <f t="shared" si="51"/>
        <v>99.285225924252089</v>
      </c>
      <c r="AI145" s="22">
        <f t="shared" si="52"/>
        <v>2091.4340347742509</v>
      </c>
      <c r="AJ145" s="22">
        <f t="shared" si="53"/>
        <v>69.71446782580837</v>
      </c>
    </row>
    <row r="146" spans="1:36" ht="14.4" x14ac:dyDescent="0.3">
      <c r="A146">
        <f>'Lista de Compra'!A144</f>
        <v>141</v>
      </c>
      <c r="B146" t="str">
        <f>'Lista de Compra'!B144</f>
        <v>CURVA SOLD RL 45° ASTM A-234 ASME B16.9 SCH 40 - 8''</v>
      </c>
      <c r="C146">
        <f>'Lista de Compra'!C144</f>
        <v>72121000</v>
      </c>
      <c r="D146" s="98">
        <f>'Lista de Compra'!I144</f>
        <v>70</v>
      </c>
      <c r="E146" s="142">
        <f>'Lista de Compra'!L144</f>
        <v>8.0042028484630257E-3</v>
      </c>
      <c r="F146" s="139">
        <f>'Lista de Compra'!J144</f>
        <v>7.57</v>
      </c>
      <c r="G146" s="139">
        <f t="shared" si="45"/>
        <v>529.9</v>
      </c>
      <c r="H146" s="22">
        <f t="shared" si="46"/>
        <v>2723.6859999999997</v>
      </c>
      <c r="I146" s="143">
        <f>'Rateio Custos Fixos'!E145</f>
        <v>772.56565893365121</v>
      </c>
      <c r="J146" s="22">
        <f t="shared" si="47"/>
        <v>3496.251658933651</v>
      </c>
      <c r="K146" s="22">
        <f t="shared" si="48"/>
        <v>3887.8318447342199</v>
      </c>
      <c r="L146" s="22">
        <f t="shared" si="49"/>
        <v>391.58018580056893</v>
      </c>
      <c r="M146" s="22">
        <f t="shared" ref="M146:P167" si="54">M$5*$K146</f>
        <v>126.35453495386216</v>
      </c>
      <c r="N146" s="22">
        <f t="shared" si="54"/>
        <v>81.644468739418627</v>
      </c>
      <c r="O146" s="22">
        <f t="shared" si="54"/>
        <v>375.17577301685225</v>
      </c>
      <c r="P146" s="22">
        <f t="shared" si="54"/>
        <v>233.26991068405317</v>
      </c>
      <c r="Q146" s="22">
        <f t="shared" si="50"/>
        <v>1208.0248731947552</v>
      </c>
      <c r="R146" s="22">
        <f>'Rateio Custos Fixos'!F145</f>
        <v>2.8014709969620588</v>
      </c>
      <c r="S146" s="22">
        <f>'Rateio Custos Fixos'!G145</f>
        <v>8.8046231333093274</v>
      </c>
      <c r="T146" s="22">
        <f>'Rateio Custos Fixos'!H145</f>
        <v>12.006304272694539</v>
      </c>
      <c r="U146" s="22">
        <f>'Rateio Custos Fixos'!I145</f>
        <v>0.80042028484630257</v>
      </c>
      <c r="V146" s="22">
        <f>'Rateio Custos Fixos'!J145</f>
        <v>1.4407565127233446</v>
      </c>
      <c r="W146" s="22">
        <f>'Rateio Custos Fixos'!K145</f>
        <v>3.9220593957468828</v>
      </c>
      <c r="X146" s="22">
        <f>'Rateio Custos Fixos'!L145</f>
        <v>8.4844550193708077</v>
      </c>
      <c r="Y146" s="22">
        <f>'Rateio Custos Fixos'!M145</f>
        <v>2.9295382425374674</v>
      </c>
      <c r="Z146" s="22">
        <f>'Rateio Custos Fixos'!N145</f>
        <v>61.805252714692095</v>
      </c>
      <c r="AA146" s="22">
        <f>'Rateio Custos Fixos'!O145</f>
        <v>12.006304272694539</v>
      </c>
      <c r="AB146" s="22">
        <f>'Rateio Custos Fixos'!P145</f>
        <v>2.4012608545389078</v>
      </c>
      <c r="AC146" s="22">
        <f>'Rateio Custos Fixos'!Q145</f>
        <v>2.5639862984481607</v>
      </c>
      <c r="AD146" s="22">
        <f>'Rateio Custos Fixos'!R145</f>
        <v>1.6008405696926051</v>
      </c>
      <c r="AE146" s="22">
        <f>'Rateio Custos Fixos'!S145</f>
        <v>36.018912818083614</v>
      </c>
      <c r="AF146" s="22">
        <f>'Rateio Custos Fixos'!T145</f>
        <v>66.461297511643039</v>
      </c>
      <c r="AG146" s="22">
        <f>'Rateio Custos Fixos'!U145</f>
        <v>10.405463703001933</v>
      </c>
      <c r="AH146" s="22">
        <f t="shared" si="51"/>
        <v>234.45294660098563</v>
      </c>
      <c r="AI146" s="22">
        <f t="shared" si="52"/>
        <v>4938.7294787293913</v>
      </c>
      <c r="AJ146" s="22">
        <f t="shared" si="53"/>
        <v>70.553278267562732</v>
      </c>
    </row>
    <row r="147" spans="1:36" ht="14.4" x14ac:dyDescent="0.3">
      <c r="A147">
        <f>'Lista de Compra'!A145</f>
        <v>142</v>
      </c>
      <c r="B147" t="str">
        <f>'Lista de Compra'!B145</f>
        <v>CURVA SOLD RL 45° ASTM A-234 ASME B16.9 SCH 40 - 6''</v>
      </c>
      <c r="C147">
        <f>'Lista de Compra'!C145</f>
        <v>72121000</v>
      </c>
      <c r="D147" s="98">
        <f>'Lista de Compra'!I145</f>
        <v>80</v>
      </c>
      <c r="E147" s="142">
        <f>'Lista de Compra'!L145</f>
        <v>5.3170020808812699E-3</v>
      </c>
      <c r="F147" s="139">
        <f>'Lista de Compra'!J145</f>
        <v>4.4000000000000004</v>
      </c>
      <c r="G147" s="139">
        <f t="shared" si="45"/>
        <v>352</v>
      </c>
      <c r="H147" s="22">
        <f t="shared" si="46"/>
        <v>1809.28</v>
      </c>
      <c r="I147" s="143">
        <f>'Rateio Custos Fixos'!E146</f>
        <v>513.19704084666023</v>
      </c>
      <c r="J147" s="22">
        <f t="shared" si="47"/>
        <v>2322.4770408466602</v>
      </c>
      <c r="K147" s="22">
        <f t="shared" si="48"/>
        <v>2582.5944694214863</v>
      </c>
      <c r="L147" s="22">
        <f t="shared" si="49"/>
        <v>260.11742857482596</v>
      </c>
      <c r="M147" s="22">
        <f t="shared" si="54"/>
        <v>83.934320256198305</v>
      </c>
      <c r="N147" s="22">
        <f t="shared" si="54"/>
        <v>54.234483857851217</v>
      </c>
      <c r="O147" s="22">
        <f t="shared" si="54"/>
        <v>249.22036629917343</v>
      </c>
      <c r="P147" s="22">
        <f t="shared" si="54"/>
        <v>154.95566816528918</v>
      </c>
      <c r="Q147" s="22">
        <f t="shared" si="50"/>
        <v>802.46226715333819</v>
      </c>
      <c r="R147" s="22">
        <f>'Rateio Custos Fixos'!F146</f>
        <v>1.8609507283084445</v>
      </c>
      <c r="S147" s="22">
        <f>'Rateio Custos Fixos'!G146</f>
        <v>5.8487022889693971</v>
      </c>
      <c r="T147" s="22">
        <f>'Rateio Custos Fixos'!H146</f>
        <v>7.9755031213219052</v>
      </c>
      <c r="U147" s="22">
        <f>'Rateio Custos Fixos'!I146</f>
        <v>0.53170020808812701</v>
      </c>
      <c r="V147" s="22">
        <f>'Rateio Custos Fixos'!J146</f>
        <v>0.95706037455862858</v>
      </c>
      <c r="W147" s="22">
        <f>'Rateio Custos Fixos'!K146</f>
        <v>2.6053310196318225</v>
      </c>
      <c r="X147" s="22">
        <f>'Rateio Custos Fixos'!L146</f>
        <v>5.6360222057341458</v>
      </c>
      <c r="Y147" s="22">
        <f>'Rateio Custos Fixos'!M146</f>
        <v>1.9460227616025447</v>
      </c>
      <c r="Z147" s="22">
        <f>'Rateio Custos Fixos'!N146</f>
        <v>41.055763267732821</v>
      </c>
      <c r="AA147" s="22">
        <f>'Rateio Custos Fixos'!O146</f>
        <v>7.9755031213219052</v>
      </c>
      <c r="AB147" s="22">
        <f>'Rateio Custos Fixos'!P146</f>
        <v>1.595100624264381</v>
      </c>
      <c r="AC147" s="22">
        <f>'Rateio Custos Fixos'!Q146</f>
        <v>1.7031952765686971</v>
      </c>
      <c r="AD147" s="22">
        <f>'Rateio Custos Fixos'!R146</f>
        <v>1.063400416176254</v>
      </c>
      <c r="AE147" s="22">
        <f>'Rateio Custos Fixos'!S146</f>
        <v>23.926509363965714</v>
      </c>
      <c r="AF147" s="22">
        <f>'Rateio Custos Fixos'!T146</f>
        <v>44.148663378181446</v>
      </c>
      <c r="AG147" s="22">
        <f>'Rateio Custos Fixos'!U146</f>
        <v>6.9121027051456512</v>
      </c>
      <c r="AH147" s="22">
        <f t="shared" si="51"/>
        <v>155.7415308615719</v>
      </c>
      <c r="AI147" s="22">
        <f t="shared" si="52"/>
        <v>3280.68083886157</v>
      </c>
      <c r="AJ147" s="22">
        <f t="shared" si="53"/>
        <v>41.008510485769627</v>
      </c>
    </row>
    <row r="148" spans="1:36" ht="14.4" x14ac:dyDescent="0.3">
      <c r="A148">
        <f>'Lista de Compra'!A146</f>
        <v>143</v>
      </c>
      <c r="B148" t="str">
        <f>'Lista de Compra'!B146</f>
        <v>CURVA SOLD RL 45° ASTM A-234 ASME B16.9 SCH 40 - 4"</v>
      </c>
      <c r="C148">
        <f>'Lista de Compra'!C146</f>
        <v>72121000</v>
      </c>
      <c r="D148" s="98">
        <f>'Lista de Compra'!I146</f>
        <v>90</v>
      </c>
      <c r="E148" s="142">
        <f>'Lista de Compra'!L146</f>
        <v>5.9816273409914293E-3</v>
      </c>
      <c r="F148" s="139">
        <f>'Lista de Compra'!J146</f>
        <v>4.4000000000000004</v>
      </c>
      <c r="G148" s="139">
        <f t="shared" si="45"/>
        <v>396.00000000000006</v>
      </c>
      <c r="H148" s="22">
        <f t="shared" si="46"/>
        <v>2035.44</v>
      </c>
      <c r="I148" s="143">
        <f>'Rateio Custos Fixos'!E147</f>
        <v>577.34667095249279</v>
      </c>
      <c r="J148" s="22">
        <f t="shared" si="47"/>
        <v>2612.7866709524928</v>
      </c>
      <c r="K148" s="22">
        <f t="shared" si="48"/>
        <v>2905.418778099172</v>
      </c>
      <c r="L148" s="22">
        <f t="shared" si="49"/>
        <v>292.63210714667923</v>
      </c>
      <c r="M148" s="22">
        <f t="shared" si="54"/>
        <v>94.426110288223086</v>
      </c>
      <c r="N148" s="22">
        <f t="shared" si="54"/>
        <v>61.013794340082612</v>
      </c>
      <c r="O148" s="22">
        <f t="shared" si="54"/>
        <v>280.37291208657012</v>
      </c>
      <c r="P148" s="22">
        <f t="shared" si="54"/>
        <v>174.32512668595032</v>
      </c>
      <c r="Q148" s="22">
        <f t="shared" si="50"/>
        <v>902.77005054750532</v>
      </c>
      <c r="R148" s="22">
        <f>'Rateio Custos Fixos'!F147</f>
        <v>2.0935695693470002</v>
      </c>
      <c r="S148" s="22">
        <f>'Rateio Custos Fixos'!G147</f>
        <v>6.579790075090572</v>
      </c>
      <c r="T148" s="22">
        <f>'Rateio Custos Fixos'!H147</f>
        <v>8.9724410114871436</v>
      </c>
      <c r="U148" s="22">
        <f>'Rateio Custos Fixos'!I147</f>
        <v>0.59816273409914289</v>
      </c>
      <c r="V148" s="22">
        <f>'Rateio Custos Fixos'!J147</f>
        <v>1.0766929213784573</v>
      </c>
      <c r="W148" s="22">
        <f>'Rateio Custos Fixos'!K147</f>
        <v>2.9309973970858003</v>
      </c>
      <c r="X148" s="22">
        <f>'Rateio Custos Fixos'!L147</f>
        <v>6.3405249814509155</v>
      </c>
      <c r="Y148" s="22">
        <f>'Rateio Custos Fixos'!M147</f>
        <v>2.1892756068028629</v>
      </c>
      <c r="Z148" s="22">
        <f>'Rateio Custos Fixos'!N147</f>
        <v>46.187733676199421</v>
      </c>
      <c r="AA148" s="22">
        <f>'Rateio Custos Fixos'!O147</f>
        <v>8.9724410114871436</v>
      </c>
      <c r="AB148" s="22">
        <f>'Rateio Custos Fixos'!P147</f>
        <v>1.7944882022974289</v>
      </c>
      <c r="AC148" s="22">
        <f>'Rateio Custos Fixos'!Q147</f>
        <v>1.9160946861397845</v>
      </c>
      <c r="AD148" s="22">
        <f>'Rateio Custos Fixos'!R147</f>
        <v>1.1963254681982858</v>
      </c>
      <c r="AE148" s="22">
        <f>'Rateio Custos Fixos'!S147</f>
        <v>26.917323034461432</v>
      </c>
      <c r="AF148" s="22">
        <f>'Rateio Custos Fixos'!T147</f>
        <v>49.667246300454131</v>
      </c>
      <c r="AG148" s="22">
        <f>'Rateio Custos Fixos'!U147</f>
        <v>7.7761155432888582</v>
      </c>
      <c r="AH148" s="22">
        <f t="shared" si="51"/>
        <v>175.20922221926838</v>
      </c>
      <c r="AI148" s="22">
        <f t="shared" si="52"/>
        <v>3690.7659437192665</v>
      </c>
      <c r="AJ148" s="22">
        <f t="shared" si="53"/>
        <v>41.008510485769627</v>
      </c>
    </row>
    <row r="149" spans="1:36" ht="14.4" x14ac:dyDescent="0.3">
      <c r="A149">
        <f>'Lista de Compra'!A147</f>
        <v>144</v>
      </c>
      <c r="B149" t="str">
        <f>'Lista de Compra'!B147</f>
        <v>CURVA SOLD RL 45° ASTM A-234 ASME B16.9 SCH 40 - 2"</v>
      </c>
      <c r="C149">
        <f>'Lista de Compra'!C147</f>
        <v>72121000</v>
      </c>
      <c r="D149" s="98">
        <f>'Lista de Compra'!I147</f>
        <v>110</v>
      </c>
      <c r="E149" s="142">
        <f>'Lista de Compra'!L147</f>
        <v>6.9785652311566662E-4</v>
      </c>
      <c r="F149" s="139">
        <f>'Lista de Compra'!J147</f>
        <v>0.42</v>
      </c>
      <c r="G149" s="139">
        <f t="shared" si="45"/>
        <v>46.199999999999996</v>
      </c>
      <c r="H149" s="22">
        <f t="shared" si="46"/>
        <v>237.46799999999996</v>
      </c>
      <c r="I149" s="143">
        <f>'Rateio Custos Fixos'!E148</f>
        <v>67.357111611124139</v>
      </c>
      <c r="J149" s="22">
        <f t="shared" si="47"/>
        <v>304.8251116111241</v>
      </c>
      <c r="K149" s="22">
        <f t="shared" si="48"/>
        <v>338.96552411157001</v>
      </c>
      <c r="L149" s="22">
        <f t="shared" si="49"/>
        <v>34.140412500445898</v>
      </c>
      <c r="M149" s="22">
        <f t="shared" si="54"/>
        <v>11.016379533626026</v>
      </c>
      <c r="N149" s="22">
        <f t="shared" si="54"/>
        <v>7.1182760063429704</v>
      </c>
      <c r="O149" s="22">
        <f t="shared" si="54"/>
        <v>32.710173076766509</v>
      </c>
      <c r="P149" s="22">
        <f t="shared" si="54"/>
        <v>20.337931446694199</v>
      </c>
      <c r="Q149" s="22">
        <f t="shared" si="50"/>
        <v>105.3231725638756</v>
      </c>
      <c r="R149" s="22">
        <f>'Rateio Custos Fixos'!F148</f>
        <v>0.24424978309048331</v>
      </c>
      <c r="S149" s="22">
        <f>'Rateio Custos Fixos'!G148</f>
        <v>0.76764217542723323</v>
      </c>
      <c r="T149" s="22">
        <f>'Rateio Custos Fixos'!H148</f>
        <v>1.0467847846734999</v>
      </c>
      <c r="U149" s="22">
        <f>'Rateio Custos Fixos'!I148</f>
        <v>6.9785652311566665E-2</v>
      </c>
      <c r="V149" s="22">
        <f>'Rateio Custos Fixos'!J148</f>
        <v>0.12561417416081999</v>
      </c>
      <c r="W149" s="22">
        <f>'Rateio Custos Fixos'!K148</f>
        <v>0.34194969632667666</v>
      </c>
      <c r="X149" s="22">
        <f>'Rateio Custos Fixos'!L148</f>
        <v>0.73972791450260666</v>
      </c>
      <c r="Y149" s="22">
        <f>'Rateio Custos Fixos'!M148</f>
        <v>0.25541548746033399</v>
      </c>
      <c r="Z149" s="22">
        <f>'Rateio Custos Fixos'!N148</f>
        <v>5.3885689288899314</v>
      </c>
      <c r="AA149" s="22">
        <f>'Rateio Custos Fixos'!O148</f>
        <v>1.0467847846734999</v>
      </c>
      <c r="AB149" s="22">
        <f>'Rateio Custos Fixos'!P148</f>
        <v>0.20935695693469999</v>
      </c>
      <c r="AC149" s="22">
        <f>'Rateio Custos Fixos'!Q148</f>
        <v>0.22354438004964147</v>
      </c>
      <c r="AD149" s="22">
        <f>'Rateio Custos Fixos'!R148</f>
        <v>0.13957130462313333</v>
      </c>
      <c r="AE149" s="22">
        <f>'Rateio Custos Fixos'!S148</f>
        <v>3.1403543540204999</v>
      </c>
      <c r="AF149" s="22">
        <f>'Rateio Custos Fixos'!T148</f>
        <v>5.7945120683863145</v>
      </c>
      <c r="AG149" s="22">
        <f>'Rateio Custos Fixos'!U148</f>
        <v>0.90721348005036662</v>
      </c>
      <c r="AH149" s="22">
        <f t="shared" si="51"/>
        <v>20.441075925581309</v>
      </c>
      <c r="AI149" s="22">
        <f t="shared" si="52"/>
        <v>430.58936010058102</v>
      </c>
      <c r="AJ149" s="22">
        <f t="shared" si="53"/>
        <v>3.9144487281871001</v>
      </c>
    </row>
    <row r="150" spans="1:36" ht="14.4" x14ac:dyDescent="0.3">
      <c r="A150">
        <f>'Lista de Compra'!A148</f>
        <v>145</v>
      </c>
      <c r="B150" t="str">
        <f>'Lista de Compra'!B148</f>
        <v>REDUÇÃO CONCENTRICA ASTM A-234 ASME B16.9 SCH 40 8" X 6"</v>
      </c>
      <c r="C150">
        <f>'Lista de Compra'!C148</f>
        <v>72121000</v>
      </c>
      <c r="D150" s="98">
        <f>'Lista de Compra'!I148</f>
        <v>60</v>
      </c>
      <c r="E150" s="142">
        <f>'Lista de Compra'!L148</f>
        <v>4.54059893611622E-3</v>
      </c>
      <c r="F150" s="139">
        <f>'Lista de Compra'!J148</f>
        <v>5.01</v>
      </c>
      <c r="G150" s="139">
        <f t="shared" si="45"/>
        <v>300.59999999999997</v>
      </c>
      <c r="H150" s="22">
        <f t="shared" si="46"/>
        <v>1545.0839999999998</v>
      </c>
      <c r="I150" s="143">
        <f>'Rateio Custos Fixos'!E149</f>
        <v>438.25860931393754</v>
      </c>
      <c r="J150" s="22">
        <f t="shared" si="47"/>
        <v>1983.3426093139374</v>
      </c>
      <c r="K150" s="22">
        <f t="shared" si="48"/>
        <v>2205.4769815570985</v>
      </c>
      <c r="L150" s="22">
        <f t="shared" si="49"/>
        <v>222.13437224316098</v>
      </c>
      <c r="M150" s="22">
        <f t="shared" si="54"/>
        <v>71.678001900605707</v>
      </c>
      <c r="N150" s="22">
        <f t="shared" si="54"/>
        <v>46.315016612699068</v>
      </c>
      <c r="O150" s="22">
        <f t="shared" si="54"/>
        <v>212.82852872026001</v>
      </c>
      <c r="P150" s="22">
        <f t="shared" si="54"/>
        <v>132.3286188934259</v>
      </c>
      <c r="Q150" s="22">
        <f t="shared" si="50"/>
        <v>685.28453837015161</v>
      </c>
      <c r="R150" s="22">
        <f>'Rateio Custos Fixos'!F149</f>
        <v>1.5892096276406771</v>
      </c>
      <c r="S150" s="22">
        <f>'Rateio Custos Fixos'!G149</f>
        <v>4.9946588297278423</v>
      </c>
      <c r="T150" s="22">
        <f>'Rateio Custos Fixos'!H149</f>
        <v>6.8108984041743303</v>
      </c>
      <c r="U150" s="22">
        <f>'Rateio Custos Fixos'!I149</f>
        <v>0.45405989361162202</v>
      </c>
      <c r="V150" s="22">
        <f>'Rateio Custos Fixos'!J149</f>
        <v>0.81730780850091955</v>
      </c>
      <c r="W150" s="22">
        <f>'Rateio Custos Fixos'!K149</f>
        <v>2.2248934786969476</v>
      </c>
      <c r="X150" s="22">
        <f>'Rateio Custos Fixos'!L149</f>
        <v>4.8130348722831933</v>
      </c>
      <c r="Y150" s="22">
        <f>'Rateio Custos Fixos'!M149</f>
        <v>1.6618592106185366</v>
      </c>
      <c r="Z150" s="22">
        <f>'Rateio Custos Fixos'!N149</f>
        <v>35.060688745115002</v>
      </c>
      <c r="AA150" s="22">
        <f>'Rateio Custos Fixos'!O149</f>
        <v>6.8108984041743303</v>
      </c>
      <c r="AB150" s="22">
        <f>'Rateio Custos Fixos'!P149</f>
        <v>1.3621796808348661</v>
      </c>
      <c r="AC150" s="22">
        <f>'Rateio Custos Fixos'!Q149</f>
        <v>1.4544900572061086</v>
      </c>
      <c r="AD150" s="22">
        <f>'Rateio Custos Fixos'!R149</f>
        <v>0.90811978722324405</v>
      </c>
      <c r="AE150" s="22">
        <f>'Rateio Custos Fixos'!S149</f>
        <v>20.43269521252299</v>
      </c>
      <c r="AF150" s="22">
        <f>'Rateio Custos Fixos'!T149</f>
        <v>37.701955146253809</v>
      </c>
      <c r="AG150" s="22">
        <f>'Rateio Custos Fixos'!U149</f>
        <v>5.9027786169510863</v>
      </c>
      <c r="AH150" s="22">
        <f t="shared" si="51"/>
        <v>132.99972777553552</v>
      </c>
      <c r="AI150" s="22">
        <f t="shared" si="52"/>
        <v>2801.6268754596244</v>
      </c>
      <c r="AJ150" s="22">
        <f t="shared" si="53"/>
        <v>46.693781257660405</v>
      </c>
    </row>
    <row r="151" spans="1:36" ht="14.4" x14ac:dyDescent="0.3">
      <c r="A151">
        <f>'Lista de Compra'!A149</f>
        <v>146</v>
      </c>
      <c r="B151" t="str">
        <f>'Lista de Compra'!B149</f>
        <v>REDUÇÃO CONCENTRICA ASTM A-234 ASME B16.9 SCH 80 8" X 6"</v>
      </c>
      <c r="C151">
        <f>'Lista de Compra'!C149</f>
        <v>72121000</v>
      </c>
      <c r="D151" s="98">
        <f>'Lista de Compra'!I149</f>
        <v>20</v>
      </c>
      <c r="E151" s="142">
        <f>'Lista de Compra'!L149</f>
        <v>2.5316180362377869E-3</v>
      </c>
      <c r="F151" s="139">
        <f>'Lista de Compra'!J149</f>
        <v>8.3800000000000008</v>
      </c>
      <c r="G151" s="139">
        <f t="shared" si="45"/>
        <v>167.60000000000002</v>
      </c>
      <c r="H151" s="22">
        <f t="shared" si="46"/>
        <v>861.46400000000006</v>
      </c>
      <c r="I151" s="143">
        <f>'Rateio Custos Fixos'!E150</f>
        <v>244.35177285767119</v>
      </c>
      <c r="J151" s="22">
        <f t="shared" si="47"/>
        <v>1105.8157728576712</v>
      </c>
      <c r="K151" s="22">
        <f t="shared" si="48"/>
        <v>1229.6671394177304</v>
      </c>
      <c r="L151" s="22">
        <f t="shared" si="49"/>
        <v>123.85136656005918</v>
      </c>
      <c r="M151" s="22">
        <f t="shared" si="54"/>
        <v>39.964182031076241</v>
      </c>
      <c r="N151" s="22">
        <f t="shared" si="54"/>
        <v>25.82300992777234</v>
      </c>
      <c r="O151" s="22">
        <f t="shared" si="54"/>
        <v>118.66287895381099</v>
      </c>
      <c r="P151" s="22">
        <f t="shared" si="54"/>
        <v>73.780028365063814</v>
      </c>
      <c r="Q151" s="22">
        <f t="shared" si="50"/>
        <v>382.08146583778256</v>
      </c>
      <c r="R151" s="22">
        <f>'Rateio Custos Fixos'!F150</f>
        <v>0.88606631268322544</v>
      </c>
      <c r="S151" s="22">
        <f>'Rateio Custos Fixos'!G150</f>
        <v>2.7847798398615655</v>
      </c>
      <c r="T151" s="22">
        <f>'Rateio Custos Fixos'!H150</f>
        <v>3.7974270543566804</v>
      </c>
      <c r="U151" s="22">
        <f>'Rateio Custos Fixos'!I150</f>
        <v>0.25316180362377871</v>
      </c>
      <c r="V151" s="22">
        <f>'Rateio Custos Fixos'!J150</f>
        <v>0.45569124652280163</v>
      </c>
      <c r="W151" s="22">
        <f>'Rateio Custos Fixos'!K150</f>
        <v>1.2404928377565156</v>
      </c>
      <c r="X151" s="22">
        <f>'Rateio Custos Fixos'!L150</f>
        <v>2.6835151184120543</v>
      </c>
      <c r="Y151" s="22">
        <f>'Rateio Custos Fixos'!M150</f>
        <v>0.92657220126302997</v>
      </c>
      <c r="Z151" s="22">
        <f>'Rateio Custos Fixos'!N150</f>
        <v>19.548141828613694</v>
      </c>
      <c r="AA151" s="22">
        <f>'Rateio Custos Fixos'!O150</f>
        <v>3.7974270543566804</v>
      </c>
      <c r="AB151" s="22">
        <f>'Rateio Custos Fixos'!P150</f>
        <v>0.75948541087133603</v>
      </c>
      <c r="AC151" s="22">
        <f>'Rateio Custos Fixos'!Q150</f>
        <v>0.81095320554805028</v>
      </c>
      <c r="AD151" s="22">
        <f>'Rateio Custos Fixos'!R150</f>
        <v>0.50632360724755743</v>
      </c>
      <c r="AE151" s="22">
        <f>'Rateio Custos Fixos'!S150</f>
        <v>11.392281163070042</v>
      </c>
      <c r="AF151" s="22">
        <f>'Rateio Custos Fixos'!T150</f>
        <v>21.020784040293215</v>
      </c>
      <c r="AG151" s="22">
        <f>'Rateio Custos Fixos'!U150</f>
        <v>3.2911034471091227</v>
      </c>
      <c r="AH151" s="22">
        <f t="shared" si="51"/>
        <v>74.154206171589351</v>
      </c>
      <c r="AI151" s="22">
        <f t="shared" si="52"/>
        <v>1562.0514448670431</v>
      </c>
      <c r="AJ151" s="22">
        <f t="shared" si="53"/>
        <v>78.102572243352157</v>
      </c>
    </row>
    <row r="152" spans="1:36" ht="14.4" x14ac:dyDescent="0.3">
      <c r="A152">
        <f>'Lista de Compra'!A150</f>
        <v>147</v>
      </c>
      <c r="B152" t="str">
        <f>'Lista de Compra'!B150</f>
        <v>REDUÇÃO CONCENTRICA ASTM A-234 ASME B16.9 SCH 40 2" X 1.1/2"</v>
      </c>
      <c r="C152">
        <f>'Lista de Compra'!C150</f>
        <v>72121000</v>
      </c>
      <c r="D152" s="98">
        <f>'Lista de Compra'!I150</f>
        <v>120</v>
      </c>
      <c r="E152" s="142">
        <f>'Lista de Compra'!L150</f>
        <v>8.5192874250483979E-4</v>
      </c>
      <c r="F152" s="139">
        <f>'Lista de Compra'!J150</f>
        <v>0.47</v>
      </c>
      <c r="G152" s="139">
        <f t="shared" si="45"/>
        <v>56.4</v>
      </c>
      <c r="H152" s="22">
        <f t="shared" si="46"/>
        <v>289.89599999999996</v>
      </c>
      <c r="I152" s="143">
        <f>'Rateio Custos Fixos'!E151</f>
        <v>82.228162226567136</v>
      </c>
      <c r="J152" s="22">
        <f t="shared" si="47"/>
        <v>372.12416222656708</v>
      </c>
      <c r="K152" s="22">
        <f t="shared" si="48"/>
        <v>413.80206839594257</v>
      </c>
      <c r="L152" s="22">
        <f t="shared" si="49"/>
        <v>41.677906169375511</v>
      </c>
      <c r="M152" s="22">
        <f t="shared" si="54"/>
        <v>13.448567222868133</v>
      </c>
      <c r="N152" s="22">
        <f t="shared" si="54"/>
        <v>8.6898434363147938</v>
      </c>
      <c r="O152" s="22">
        <f t="shared" si="54"/>
        <v>39.93189960020846</v>
      </c>
      <c r="P152" s="22">
        <f t="shared" si="54"/>
        <v>24.828124103756554</v>
      </c>
      <c r="Q152" s="22">
        <f t="shared" si="50"/>
        <v>128.57634053252346</v>
      </c>
      <c r="R152" s="22">
        <f>'Rateio Custos Fixos'!F151</f>
        <v>0.2981750598766939</v>
      </c>
      <c r="S152" s="22">
        <f>'Rateio Custos Fixos'!G151</f>
        <v>0.93712161675532379</v>
      </c>
      <c r="T152" s="22">
        <f>'Rateio Custos Fixos'!H151</f>
        <v>1.2778931137572598</v>
      </c>
      <c r="U152" s="22">
        <f>'Rateio Custos Fixos'!I151</f>
        <v>8.5192874250483983E-2</v>
      </c>
      <c r="V152" s="22">
        <f>'Rateio Custos Fixos'!J151</f>
        <v>0.15334717365087117</v>
      </c>
      <c r="W152" s="22">
        <f>'Rateio Custos Fixos'!K151</f>
        <v>0.4174450838273715</v>
      </c>
      <c r="X152" s="22">
        <f>'Rateio Custos Fixos'!L151</f>
        <v>0.9030444670551302</v>
      </c>
      <c r="Y152" s="22">
        <f>'Rateio Custos Fixos'!M151</f>
        <v>0.31180591975677135</v>
      </c>
      <c r="Z152" s="22">
        <f>'Rateio Custos Fixos'!N151</f>
        <v>6.5782529781253709</v>
      </c>
      <c r="AA152" s="22">
        <f>'Rateio Custos Fixos'!O151</f>
        <v>1.2778931137572598</v>
      </c>
      <c r="AB152" s="22">
        <f>'Rateio Custos Fixos'!P151</f>
        <v>0.25557862275145193</v>
      </c>
      <c r="AC152" s="22">
        <f>'Rateio Custos Fixos'!Q151</f>
        <v>0.27289833408657532</v>
      </c>
      <c r="AD152" s="22">
        <f>'Rateio Custos Fixos'!R151</f>
        <v>0.17038574850096797</v>
      </c>
      <c r="AE152" s="22">
        <f>'Rateio Custos Fixos'!S151</f>
        <v>3.8336793412717789</v>
      </c>
      <c r="AF152" s="22">
        <f>'Rateio Custos Fixos'!T151</f>
        <v>7.0738199276404359</v>
      </c>
      <c r="AG152" s="22">
        <f>'Rateio Custos Fixos'!U151</f>
        <v>1.1075073652562917</v>
      </c>
      <c r="AH152" s="22">
        <f t="shared" si="51"/>
        <v>24.954040740320039</v>
      </c>
      <c r="AI152" s="22">
        <f t="shared" si="52"/>
        <v>525.65454349941058</v>
      </c>
      <c r="AJ152" s="22">
        <f t="shared" si="53"/>
        <v>4.3804545291617547</v>
      </c>
    </row>
    <row r="153" spans="1:36" ht="14.4" x14ac:dyDescent="0.3">
      <c r="A153">
        <f>'Lista de Compra'!A151</f>
        <v>148</v>
      </c>
      <c r="B153" t="str">
        <f>'Lista de Compra'!B151</f>
        <v>TEE 6" SCH-40 ASTM A-234 ASME B16.9</v>
      </c>
      <c r="C153">
        <f>'Lista de Compra'!C151</f>
        <v>72121000</v>
      </c>
      <c r="D153" s="98">
        <f>'Lista de Compra'!I151</f>
        <v>30</v>
      </c>
      <c r="E153" s="142">
        <f>'Lista de Compra'!L151</f>
        <v>3.983220024796565E-3</v>
      </c>
      <c r="F153" s="139">
        <f>'Lista de Compra'!J151</f>
        <v>8.7899999999999991</v>
      </c>
      <c r="G153" s="139">
        <f t="shared" si="45"/>
        <v>263.7</v>
      </c>
      <c r="H153" s="22">
        <f t="shared" si="46"/>
        <v>1355.4179999999999</v>
      </c>
      <c r="I153" s="143">
        <f>'Rateio Custos Fixos'!E152</f>
        <v>384.46039679336445</v>
      </c>
      <c r="J153" s="22">
        <f t="shared" si="47"/>
        <v>1739.8783967933643</v>
      </c>
      <c r="K153" s="22">
        <f t="shared" si="48"/>
        <v>1934.7447772342211</v>
      </c>
      <c r="L153" s="22">
        <f t="shared" si="49"/>
        <v>194.8663804408568</v>
      </c>
      <c r="M153" s="22">
        <f t="shared" si="54"/>
        <v>62.879205260112187</v>
      </c>
      <c r="N153" s="22">
        <f t="shared" si="54"/>
        <v>40.629640321918643</v>
      </c>
      <c r="O153" s="22">
        <f t="shared" si="54"/>
        <v>186.70287100310236</v>
      </c>
      <c r="P153" s="22">
        <f t="shared" si="54"/>
        <v>116.08468663405327</v>
      </c>
      <c r="Q153" s="22">
        <f t="shared" si="50"/>
        <v>601.16278366004326</v>
      </c>
      <c r="R153" s="22">
        <f>'Rateio Custos Fixos'!F152</f>
        <v>1.3941270086787978</v>
      </c>
      <c r="S153" s="22">
        <f>'Rateio Custos Fixos'!G152</f>
        <v>4.3815420272762218</v>
      </c>
      <c r="T153" s="22">
        <f>'Rateio Custos Fixos'!H152</f>
        <v>5.9748300371948471</v>
      </c>
      <c r="U153" s="22">
        <f>'Rateio Custos Fixos'!I152</f>
        <v>0.39832200247965649</v>
      </c>
      <c r="V153" s="22">
        <f>'Rateio Custos Fixos'!J152</f>
        <v>0.71697960446338171</v>
      </c>
      <c r="W153" s="22">
        <f>'Rateio Custos Fixos'!K152</f>
        <v>1.9517778121503169</v>
      </c>
      <c r="X153" s="22">
        <f>'Rateio Custos Fixos'!L152</f>
        <v>4.2222132262843592</v>
      </c>
      <c r="Y153" s="22">
        <f>'Rateio Custos Fixos'!M152</f>
        <v>1.4578585290755428</v>
      </c>
      <c r="Z153" s="22">
        <f>'Rateio Custos Fixos'!N152</f>
        <v>30.756831743469156</v>
      </c>
      <c r="AA153" s="22">
        <f>'Rateio Custos Fixos'!O152</f>
        <v>5.9748300371948471</v>
      </c>
      <c r="AB153" s="22">
        <f>'Rateio Custos Fixos'!P152</f>
        <v>1.1949660074389694</v>
      </c>
      <c r="AC153" s="22">
        <f>'Rateio Custos Fixos'!Q152</f>
        <v>1.2759448705430836</v>
      </c>
      <c r="AD153" s="22">
        <f>'Rateio Custos Fixos'!R152</f>
        <v>0.79664400495931298</v>
      </c>
      <c r="AE153" s="22">
        <f>'Rateio Custos Fixos'!S152</f>
        <v>17.924490111584543</v>
      </c>
      <c r="AF153" s="22">
        <f>'Rateio Custos Fixos'!T152</f>
        <v>33.073870831893316</v>
      </c>
      <c r="AG153" s="22">
        <f>'Rateio Custos Fixos'!U152</f>
        <v>5.1781860322355344</v>
      </c>
      <c r="AH153" s="22">
        <f t="shared" si="51"/>
        <v>116.67341388692189</v>
      </c>
      <c r="AI153" s="22">
        <f t="shared" si="52"/>
        <v>2457.7145943403298</v>
      </c>
      <c r="AJ153" s="22">
        <f t="shared" si="53"/>
        <v>81.92381981134433</v>
      </c>
    </row>
    <row r="154" spans="1:36" ht="14.4" x14ac:dyDescent="0.3">
      <c r="A154">
        <f>'Lista de Compra'!A152</f>
        <v>149</v>
      </c>
      <c r="B154" t="str">
        <f>'Lista de Compra'!B152</f>
        <v>TEE 3" SCH-40 ASTM A-234 ASME B16.9</v>
      </c>
      <c r="C154">
        <f>'Lista de Compra'!C152</f>
        <v>72121000</v>
      </c>
      <c r="D154" s="98">
        <f>'Lista de Compra'!I152</f>
        <v>30</v>
      </c>
      <c r="E154" s="142">
        <f>'Lista de Compra'!L152</f>
        <v>1.178199324740736E-3</v>
      </c>
      <c r="F154" s="139">
        <f>'Lista de Compra'!J152</f>
        <v>2.6</v>
      </c>
      <c r="G154" s="139">
        <f t="shared" si="45"/>
        <v>78</v>
      </c>
      <c r="H154" s="22">
        <f t="shared" si="46"/>
        <v>400.91999999999996</v>
      </c>
      <c r="I154" s="143">
        <f>'Rateio Custos Fixos'!E153</f>
        <v>113.71979882397584</v>
      </c>
      <c r="J154" s="22">
        <f t="shared" si="47"/>
        <v>514.63979882397575</v>
      </c>
      <c r="K154" s="22">
        <f t="shared" si="48"/>
        <v>572.27945629226099</v>
      </c>
      <c r="L154" s="22">
        <f t="shared" si="49"/>
        <v>57.639657468285286</v>
      </c>
      <c r="M154" s="22">
        <f t="shared" si="54"/>
        <v>18.599082329498483</v>
      </c>
      <c r="N154" s="22">
        <f t="shared" si="54"/>
        <v>12.017868582137481</v>
      </c>
      <c r="O154" s="22">
        <f t="shared" si="54"/>
        <v>55.224967532203188</v>
      </c>
      <c r="P154" s="22">
        <f t="shared" si="54"/>
        <v>34.336767377535658</v>
      </c>
      <c r="Q154" s="22">
        <f t="shared" si="50"/>
        <v>177.81834328966011</v>
      </c>
      <c r="R154" s="22">
        <f>'Rateio Custos Fixos'!F153</f>
        <v>0.41236976365925759</v>
      </c>
      <c r="S154" s="22">
        <f>'Rateio Custos Fixos'!G153</f>
        <v>1.2960192572148097</v>
      </c>
      <c r="T154" s="22">
        <f>'Rateio Custos Fixos'!H153</f>
        <v>1.767298987111104</v>
      </c>
      <c r="U154" s="22">
        <f>'Rateio Custos Fixos'!I153</f>
        <v>0.1178199324740736</v>
      </c>
      <c r="V154" s="22">
        <f>'Rateio Custos Fixos'!J153</f>
        <v>0.21207587845333248</v>
      </c>
      <c r="W154" s="22">
        <f>'Rateio Custos Fixos'!K153</f>
        <v>0.57731766912296067</v>
      </c>
      <c r="X154" s="22">
        <f>'Rateio Custos Fixos'!L153</f>
        <v>1.2488912842251803</v>
      </c>
      <c r="Y154" s="22">
        <f>'Rateio Custos Fixos'!M153</f>
        <v>0.43122095285510936</v>
      </c>
      <c r="Z154" s="22">
        <f>'Rateio Custos Fixos'!N153</f>
        <v>9.0975839059180679</v>
      </c>
      <c r="AA154" s="22">
        <f>'Rateio Custos Fixos'!O153</f>
        <v>1.767298987111104</v>
      </c>
      <c r="AB154" s="22">
        <f>'Rateio Custos Fixos'!P153</f>
        <v>0.35345979742222083</v>
      </c>
      <c r="AC154" s="22">
        <f>'Rateio Custos Fixos'!Q153</f>
        <v>0.37741258969419994</v>
      </c>
      <c r="AD154" s="22">
        <f>'Rateio Custos Fixos'!R153</f>
        <v>0.2356398649481472</v>
      </c>
      <c r="AE154" s="22">
        <f>'Rateio Custos Fixos'!S153</f>
        <v>5.3018969613333118</v>
      </c>
      <c r="AF154" s="22">
        <f>'Rateio Custos Fixos'!T153</f>
        <v>9.7829424531197535</v>
      </c>
      <c r="AG154" s="22">
        <f>'Rateio Custos Fixos'!U153</f>
        <v>1.5316591221629567</v>
      </c>
      <c r="AH154" s="22">
        <f t="shared" si="51"/>
        <v>34.510907406825588</v>
      </c>
      <c r="AI154" s="22">
        <f t="shared" si="52"/>
        <v>726.96904952046145</v>
      </c>
      <c r="AJ154" s="22">
        <f t="shared" si="53"/>
        <v>24.23230165068205</v>
      </c>
    </row>
    <row r="155" spans="1:36" ht="14.4" x14ac:dyDescent="0.3">
      <c r="A155">
        <f>'Lista de Compra'!A153</f>
        <v>150</v>
      </c>
      <c r="B155" t="str">
        <f>'Lista de Compra'!B153</f>
        <v>TEE 2" SCH-40 ASTM A-234 ASME B16.9</v>
      </c>
      <c r="C155">
        <f>'Lista de Compra'!C153</f>
        <v>72121000</v>
      </c>
      <c r="D155" s="98">
        <f>'Lista de Compra'!I153</f>
        <v>50</v>
      </c>
      <c r="E155" s="142">
        <f>'Lista de Compra'!L153</f>
        <v>8.4588669468565667E-4</v>
      </c>
      <c r="F155" s="139">
        <f>'Lista de Compra'!J153</f>
        <v>1.1200000000000001</v>
      </c>
      <c r="G155" s="139">
        <f t="shared" si="45"/>
        <v>56.000000000000007</v>
      </c>
      <c r="H155" s="22">
        <f t="shared" si="46"/>
        <v>287.84000000000003</v>
      </c>
      <c r="I155" s="143">
        <f>'Rateio Custos Fixos'!E154</f>
        <v>81.644983771059586</v>
      </c>
      <c r="J155" s="22">
        <f t="shared" si="47"/>
        <v>369.4849837710596</v>
      </c>
      <c r="K155" s="22">
        <f t="shared" si="48"/>
        <v>410.86730195341829</v>
      </c>
      <c r="L155" s="22">
        <f t="shared" si="49"/>
        <v>41.382318182358674</v>
      </c>
      <c r="M155" s="22">
        <f t="shared" si="54"/>
        <v>13.353187313486094</v>
      </c>
      <c r="N155" s="22">
        <f t="shared" si="54"/>
        <v>8.6282133410217838</v>
      </c>
      <c r="O155" s="22">
        <f t="shared" si="54"/>
        <v>39.648694638504864</v>
      </c>
      <c r="P155" s="22">
        <f t="shared" si="54"/>
        <v>24.652038117205098</v>
      </c>
      <c r="Q155" s="22">
        <f t="shared" si="50"/>
        <v>127.66445159257651</v>
      </c>
      <c r="R155" s="22">
        <f>'Rateio Custos Fixos'!F154</f>
        <v>0.29606034313997981</v>
      </c>
      <c r="S155" s="22">
        <f>'Rateio Custos Fixos'!G154</f>
        <v>0.93047536415422238</v>
      </c>
      <c r="T155" s="22">
        <f>'Rateio Custos Fixos'!H154</f>
        <v>1.268830042028485</v>
      </c>
      <c r="U155" s="22">
        <f>'Rateio Custos Fixos'!I154</f>
        <v>8.4588669468565664E-2</v>
      </c>
      <c r="V155" s="22">
        <f>'Rateio Custos Fixos'!J154</f>
        <v>0.15225960504341821</v>
      </c>
      <c r="W155" s="22">
        <f>'Rateio Custos Fixos'!K154</f>
        <v>0.41448448039597174</v>
      </c>
      <c r="X155" s="22">
        <f>'Rateio Custos Fixos'!L154</f>
        <v>0.89663989636679609</v>
      </c>
      <c r="Y155" s="22">
        <f>'Rateio Custos Fixos'!M154</f>
        <v>0.30959453025495032</v>
      </c>
      <c r="Z155" s="22">
        <f>'Rateio Custos Fixos'!N154</f>
        <v>6.531598701684767</v>
      </c>
      <c r="AA155" s="22">
        <f>'Rateio Custos Fixos'!O154</f>
        <v>1.268830042028485</v>
      </c>
      <c r="AB155" s="22">
        <f>'Rateio Custos Fixos'!P154</f>
        <v>0.25376600840569702</v>
      </c>
      <c r="AC155" s="22">
        <f>'Rateio Custos Fixos'!Q154</f>
        <v>0.27096288490865639</v>
      </c>
      <c r="AD155" s="22">
        <f>'Rateio Custos Fixos'!R154</f>
        <v>0.16917733893713133</v>
      </c>
      <c r="AE155" s="22">
        <f>'Rateio Custos Fixos'!S154</f>
        <v>3.8064901260854551</v>
      </c>
      <c r="AF155" s="22">
        <f>'Rateio Custos Fixos'!T154</f>
        <v>7.0236509919834127</v>
      </c>
      <c r="AG155" s="22">
        <f>'Rateio Custos Fixos'!U154</f>
        <v>1.0996527030913537</v>
      </c>
      <c r="AH155" s="22">
        <f t="shared" si="51"/>
        <v>24.777061727977348</v>
      </c>
      <c r="AI155" s="22">
        <f t="shared" si="52"/>
        <v>521.92649709161344</v>
      </c>
      <c r="AJ155" s="22">
        <f t="shared" si="53"/>
        <v>10.438529941832268</v>
      </c>
    </row>
    <row r="156" spans="1:36" ht="14.4" x14ac:dyDescent="0.3">
      <c r="A156">
        <f>'Lista de Compra'!A154</f>
        <v>151</v>
      </c>
      <c r="B156" t="str">
        <f>'Lista de Compra'!B154</f>
        <v>TEE 1.1/2" SCH-40 ASTM A-234 ASME B16.9</v>
      </c>
      <c r="C156">
        <f>'Lista de Compra'!C154</f>
        <v>72121000</v>
      </c>
      <c r="D156" s="98">
        <f>'Lista de Compra'!I154</f>
        <v>60</v>
      </c>
      <c r="E156" s="142">
        <f>'Lista de Compra'!L154</f>
        <v>8.338025990472901E-4</v>
      </c>
      <c r="F156" s="139">
        <f>'Lista de Compra'!J154</f>
        <v>0.92</v>
      </c>
      <c r="G156" s="139">
        <f t="shared" si="45"/>
        <v>55.2</v>
      </c>
      <c r="H156" s="22">
        <f t="shared" si="46"/>
        <v>283.72800000000001</v>
      </c>
      <c r="I156" s="143">
        <f>'Rateio Custos Fixos'!E155</f>
        <v>80.478626860044443</v>
      </c>
      <c r="J156" s="22">
        <f t="shared" si="47"/>
        <v>364.20662686004448</v>
      </c>
      <c r="K156" s="22">
        <f t="shared" si="48"/>
        <v>404.99776906836945</v>
      </c>
      <c r="L156" s="22">
        <f t="shared" si="49"/>
        <v>40.791142208324985</v>
      </c>
      <c r="M156" s="22">
        <f t="shared" si="54"/>
        <v>13.162427494722008</v>
      </c>
      <c r="N156" s="22">
        <f t="shared" si="54"/>
        <v>8.5049531504357585</v>
      </c>
      <c r="O156" s="22">
        <f t="shared" si="54"/>
        <v>39.08228471509765</v>
      </c>
      <c r="P156" s="22">
        <f t="shared" si="54"/>
        <v>24.299866144102165</v>
      </c>
      <c r="Q156" s="22">
        <f t="shared" si="50"/>
        <v>125.84067371268257</v>
      </c>
      <c r="R156" s="22">
        <f>'Rateio Custos Fixos'!F155</f>
        <v>0.29183090966655151</v>
      </c>
      <c r="S156" s="22">
        <f>'Rateio Custos Fixos'!G155</f>
        <v>0.91718285895201912</v>
      </c>
      <c r="T156" s="22">
        <f>'Rateio Custos Fixos'!H155</f>
        <v>1.2507038985709351</v>
      </c>
      <c r="U156" s="22">
        <f>'Rateio Custos Fixos'!I155</f>
        <v>8.3380259904729012E-2</v>
      </c>
      <c r="V156" s="22">
        <f>'Rateio Custos Fixos'!J155</f>
        <v>0.15008446782851223</v>
      </c>
      <c r="W156" s="22">
        <f>'Rateio Custos Fixos'!K155</f>
        <v>0.40856327353317212</v>
      </c>
      <c r="X156" s="22">
        <f>'Rateio Custos Fixos'!L155</f>
        <v>0.88383075499012753</v>
      </c>
      <c r="Y156" s="22">
        <f>'Rateio Custos Fixos'!M155</f>
        <v>0.30517175125130819</v>
      </c>
      <c r="Z156" s="22">
        <f>'Rateio Custos Fixos'!N155</f>
        <v>6.4382901488035555</v>
      </c>
      <c r="AA156" s="22">
        <f>'Rateio Custos Fixos'!O155</f>
        <v>1.2507038985709351</v>
      </c>
      <c r="AB156" s="22">
        <f>'Rateio Custos Fixos'!P155</f>
        <v>0.25014077971418702</v>
      </c>
      <c r="AC156" s="22">
        <f>'Rateio Custos Fixos'!Q155</f>
        <v>0.26709198655281841</v>
      </c>
      <c r="AD156" s="22">
        <f>'Rateio Custos Fixos'!R155</f>
        <v>0.16676051980945802</v>
      </c>
      <c r="AE156" s="22">
        <f>'Rateio Custos Fixos'!S155</f>
        <v>3.7521116957128053</v>
      </c>
      <c r="AF156" s="22">
        <f>'Rateio Custos Fixos'!T155</f>
        <v>6.9233131206693637</v>
      </c>
      <c r="AG156" s="22">
        <f>'Rateio Custos Fixos'!U155</f>
        <v>1.0839433787614772</v>
      </c>
      <c r="AH156" s="22">
        <f t="shared" si="51"/>
        <v>24.423103703291954</v>
      </c>
      <c r="AI156" s="22">
        <f t="shared" si="52"/>
        <v>514.47040427601905</v>
      </c>
      <c r="AJ156" s="22">
        <f t="shared" si="53"/>
        <v>8.5745067379336515</v>
      </c>
    </row>
    <row r="157" spans="1:36" ht="14.4" x14ac:dyDescent="0.3">
      <c r="A157">
        <f>'Lista de Compra'!A155</f>
        <v>152</v>
      </c>
      <c r="B157" t="str">
        <f>'Lista de Compra'!B155</f>
        <v>FLANGE CEGO ASTM A105 GR WPB B16.5 150 LBS 5"</v>
      </c>
      <c r="C157">
        <f>'Lista de Compra'!C155</f>
        <v>72121000</v>
      </c>
      <c r="D157" s="98">
        <f>'Lista de Compra'!I155</f>
        <v>145</v>
      </c>
      <c r="E157" s="142">
        <f>'Lista de Compra'!L155</f>
        <v>1.5550720574622919E-2</v>
      </c>
      <c r="F157" s="139">
        <f>'Lista de Compra'!J155</f>
        <v>7.1</v>
      </c>
      <c r="G157" s="139">
        <f t="shared" si="45"/>
        <v>1029.5</v>
      </c>
      <c r="H157" s="22">
        <f t="shared" si="46"/>
        <v>5291.63</v>
      </c>
      <c r="I157" s="143">
        <f>'Rateio Custos Fixos'!E156</f>
        <v>1500.9555498626041</v>
      </c>
      <c r="J157" s="22">
        <f t="shared" si="47"/>
        <v>6792.5855498626042</v>
      </c>
      <c r="K157" s="22">
        <f t="shared" si="48"/>
        <v>7553.3551314472161</v>
      </c>
      <c r="L157" s="22">
        <f t="shared" si="49"/>
        <v>760.76958158461173</v>
      </c>
      <c r="M157" s="22">
        <f t="shared" si="54"/>
        <v>245.48404177203454</v>
      </c>
      <c r="N157" s="22">
        <f t="shared" si="54"/>
        <v>158.62045776039156</v>
      </c>
      <c r="O157" s="22">
        <f t="shared" si="54"/>
        <v>728.89877018465631</v>
      </c>
      <c r="P157" s="22">
        <f t="shared" si="54"/>
        <v>453.20130788683292</v>
      </c>
      <c r="Q157" s="22">
        <f t="shared" si="50"/>
        <v>2346.9741591885272</v>
      </c>
      <c r="R157" s="22">
        <f>'Rateio Custos Fixos'!F156</f>
        <v>5.4427522011180214</v>
      </c>
      <c r="S157" s="22">
        <f>'Rateio Custos Fixos'!G156</f>
        <v>17.105792632085212</v>
      </c>
      <c r="T157" s="22">
        <f>'Rateio Custos Fixos'!H156</f>
        <v>23.326080861934379</v>
      </c>
      <c r="U157" s="22">
        <f>'Rateio Custos Fixos'!I156</f>
        <v>1.5550720574622918</v>
      </c>
      <c r="V157" s="22">
        <f>'Rateio Custos Fixos'!J156</f>
        <v>2.7991297034321256</v>
      </c>
      <c r="W157" s="22">
        <f>'Rateio Custos Fixos'!K156</f>
        <v>7.6198530815652301</v>
      </c>
      <c r="X157" s="22">
        <f>'Rateio Custos Fixos'!L156</f>
        <v>16.483763809100296</v>
      </c>
      <c r="Y157" s="22">
        <f>'Rateio Custos Fixos'!M156</f>
        <v>5.6915637303119881</v>
      </c>
      <c r="Z157" s="22">
        <f>'Rateio Custos Fixos'!N156</f>
        <v>120.07644398900834</v>
      </c>
      <c r="AA157" s="22">
        <f>'Rateio Custos Fixos'!O156</f>
        <v>23.326080861934379</v>
      </c>
      <c r="AB157" s="22">
        <f>'Rateio Custos Fixos'!P156</f>
        <v>4.6652161723868755</v>
      </c>
      <c r="AC157" s="22">
        <f>'Rateio Custos Fixos'!Q156</f>
        <v>4.9813623216689598</v>
      </c>
      <c r="AD157" s="22">
        <f>'Rateio Custos Fixos'!R156</f>
        <v>3.1101441149245836</v>
      </c>
      <c r="AE157" s="22">
        <f>'Rateio Custos Fixos'!S156</f>
        <v>69.97824258580313</v>
      </c>
      <c r="AF157" s="22">
        <f>'Rateio Custos Fixos'!T156</f>
        <v>129.12229814726646</v>
      </c>
      <c r="AG157" s="22">
        <f>'Rateio Custos Fixos'!U156</f>
        <v>20.215936747009795</v>
      </c>
      <c r="AH157" s="22">
        <f t="shared" si="51"/>
        <v>455.49973301701203</v>
      </c>
      <c r="AI157" s="22">
        <f t="shared" si="52"/>
        <v>9595.0594420681427</v>
      </c>
      <c r="AJ157" s="22">
        <f t="shared" si="53"/>
        <v>66.172823738400979</v>
      </c>
    </row>
    <row r="158" spans="1:36" ht="14.4" x14ac:dyDescent="0.3">
      <c r="A158">
        <f>'Lista de Compra'!A156</f>
        <v>153</v>
      </c>
      <c r="B158" t="str">
        <f>'Lista de Compra'!B156</f>
        <v>FLANGE CEGO ASTM A105 GR WPB B16.5 150 LBS 6"</v>
      </c>
      <c r="C158">
        <f>'Lista de Compra'!C156</f>
        <v>72121000</v>
      </c>
      <c r="D158" s="98">
        <f>'Lista de Compra'!I156</f>
        <v>260</v>
      </c>
      <c r="E158" s="142">
        <f>'Lista de Compra'!L156</f>
        <v>3.7466738526755396E-2</v>
      </c>
      <c r="F158" s="139">
        <f>'Lista de Compra'!J156</f>
        <v>9.5399999999999991</v>
      </c>
      <c r="G158" s="139">
        <f t="shared" si="45"/>
        <v>2480.3999999999996</v>
      </c>
      <c r="H158" s="22">
        <f t="shared" si="46"/>
        <v>12749.255999999998</v>
      </c>
      <c r="I158" s="143">
        <f>'Rateio Custos Fixos'!E157</f>
        <v>3616.2896026024309</v>
      </c>
      <c r="J158" s="22">
        <f t="shared" si="47"/>
        <v>16365.545602602429</v>
      </c>
      <c r="K158" s="22">
        <f t="shared" si="48"/>
        <v>18198.486710093901</v>
      </c>
      <c r="L158" s="22">
        <f t="shared" si="49"/>
        <v>1832.9411074914722</v>
      </c>
      <c r="M158" s="22">
        <f t="shared" si="54"/>
        <v>591.45081807805184</v>
      </c>
      <c r="N158" s="22">
        <f t="shared" si="54"/>
        <v>382.16822091197196</v>
      </c>
      <c r="O158" s="22">
        <f t="shared" si="54"/>
        <v>1756.1539675240615</v>
      </c>
      <c r="P158" s="22">
        <f t="shared" si="54"/>
        <v>1091.9092026056339</v>
      </c>
      <c r="Q158" s="22">
        <f t="shared" si="50"/>
        <v>5654.6233166111915</v>
      </c>
      <c r="R158" s="22">
        <f>'Rateio Custos Fixos'!F157</f>
        <v>13.113358484364388</v>
      </c>
      <c r="S158" s="22">
        <f>'Rateio Custos Fixos'!G157</f>
        <v>41.213412379430935</v>
      </c>
      <c r="T158" s="22">
        <f>'Rateio Custos Fixos'!H157</f>
        <v>56.200107790133096</v>
      </c>
      <c r="U158" s="22">
        <f>'Rateio Custos Fixos'!I157</f>
        <v>3.7466738526755394</v>
      </c>
      <c r="V158" s="22">
        <f>'Rateio Custos Fixos'!J157</f>
        <v>6.744012934815971</v>
      </c>
      <c r="W158" s="22">
        <f>'Rateio Custos Fixos'!K157</f>
        <v>18.358701878110143</v>
      </c>
      <c r="X158" s="22">
        <f>'Rateio Custos Fixos'!L157</f>
        <v>39.714742838360721</v>
      </c>
      <c r="Y158" s="22">
        <f>'Rateio Custos Fixos'!M157</f>
        <v>13.712826300792475</v>
      </c>
      <c r="Z158" s="22">
        <f>'Rateio Custos Fixos'!N157</f>
        <v>289.30316820819451</v>
      </c>
      <c r="AA158" s="22">
        <f>'Rateio Custos Fixos'!O157</f>
        <v>56.200107790133096</v>
      </c>
      <c r="AB158" s="22">
        <f>'Rateio Custos Fixos'!P157</f>
        <v>11.240021558026619</v>
      </c>
      <c r="AC158" s="22">
        <f>'Rateio Custos Fixos'!Q157</f>
        <v>12.001720352275555</v>
      </c>
      <c r="AD158" s="22">
        <f>'Rateio Custos Fixos'!R157</f>
        <v>7.4933477053510789</v>
      </c>
      <c r="AE158" s="22">
        <f>'Rateio Custos Fixos'!S157</f>
        <v>168.60032337039928</v>
      </c>
      <c r="AF158" s="22">
        <f>'Rateio Custos Fixos'!T157</f>
        <v>311.09757000920803</v>
      </c>
      <c r="AG158" s="22">
        <f>'Rateio Custos Fixos'!U157</f>
        <v>48.706760084782012</v>
      </c>
      <c r="AH158" s="22">
        <f t="shared" si="51"/>
        <v>1097.4468555370536</v>
      </c>
      <c r="AI158" s="22">
        <f t="shared" si="52"/>
        <v>23117.615774750677</v>
      </c>
      <c r="AJ158" s="22">
        <f t="shared" si="53"/>
        <v>88.913906825964148</v>
      </c>
    </row>
    <row r="159" spans="1:36" ht="14.4" x14ac:dyDescent="0.3">
      <c r="A159">
        <f>'Lista de Compra'!A157</f>
        <v>154</v>
      </c>
      <c r="B159" t="str">
        <f>'Lista de Compra'!B157</f>
        <v>FLANGE CEGO ASTM A105 GR WPB B16.5 150 LBS 8"</v>
      </c>
      <c r="C159">
        <f>'Lista de Compra'!C157</f>
        <v>72121000</v>
      </c>
      <c r="D159" s="98">
        <f>'Lista de Compra'!I157</f>
        <v>50</v>
      </c>
      <c r="E159" s="142">
        <f>'Lista de Compra'!L157</f>
        <v>1.1804650926729297E-2</v>
      </c>
      <c r="F159" s="139">
        <f>'Lista de Compra'!J157</f>
        <v>15.63</v>
      </c>
      <c r="G159" s="139">
        <f t="shared" si="45"/>
        <v>781.5</v>
      </c>
      <c r="H159" s="22">
        <f t="shared" si="46"/>
        <v>4016.91</v>
      </c>
      <c r="I159" s="143">
        <f>'Rateio Custos Fixos'!E158</f>
        <v>1139.3849074479117</v>
      </c>
      <c r="J159" s="22">
        <f t="shared" si="47"/>
        <v>5156.2949074479111</v>
      </c>
      <c r="K159" s="22">
        <f t="shared" si="48"/>
        <v>5733.7999370820771</v>
      </c>
      <c r="L159" s="22">
        <f t="shared" si="49"/>
        <v>577.50502963416602</v>
      </c>
      <c r="M159" s="22">
        <f t="shared" si="54"/>
        <v>186.34849795516752</v>
      </c>
      <c r="N159" s="22">
        <f t="shared" si="54"/>
        <v>120.40979867872363</v>
      </c>
      <c r="O159" s="22">
        <f t="shared" si="54"/>
        <v>553.31169392842048</v>
      </c>
      <c r="P159" s="22">
        <f t="shared" si="54"/>
        <v>344.02799622492461</v>
      </c>
      <c r="Q159" s="22">
        <f t="shared" si="50"/>
        <v>1781.6030164214023</v>
      </c>
      <c r="R159" s="22">
        <f>'Rateio Custos Fixos'!F158</f>
        <v>4.1316278243552542</v>
      </c>
      <c r="S159" s="22">
        <f>'Rateio Custos Fixos'!G158</f>
        <v>12.985116019402227</v>
      </c>
      <c r="T159" s="22">
        <f>'Rateio Custos Fixos'!H158</f>
        <v>17.706976390093946</v>
      </c>
      <c r="U159" s="22">
        <f>'Rateio Custos Fixos'!I158</f>
        <v>1.1804650926729297</v>
      </c>
      <c r="V159" s="22">
        <f>'Rateio Custos Fixos'!J158</f>
        <v>2.1248371668112735</v>
      </c>
      <c r="W159" s="22">
        <f>'Rateio Custos Fixos'!K158</f>
        <v>5.7842789540973554</v>
      </c>
      <c r="X159" s="22">
        <f>'Rateio Custos Fixos'!L158</f>
        <v>12.512929982333056</v>
      </c>
      <c r="Y159" s="22">
        <f>'Rateio Custos Fixos'!M158</f>
        <v>4.3205022391829226</v>
      </c>
      <c r="Z159" s="22">
        <f>'Rateio Custos Fixos'!N158</f>
        <v>91.150792595832939</v>
      </c>
      <c r="AA159" s="22">
        <f>'Rateio Custos Fixos'!O158</f>
        <v>17.706976390093946</v>
      </c>
      <c r="AB159" s="22">
        <f>'Rateio Custos Fixos'!P158</f>
        <v>3.5413952780187894</v>
      </c>
      <c r="AC159" s="22">
        <f>'Rateio Custos Fixos'!Q158</f>
        <v>3.7813838313591956</v>
      </c>
      <c r="AD159" s="22">
        <f>'Rateio Custos Fixos'!R158</f>
        <v>2.3609301853458593</v>
      </c>
      <c r="AE159" s="22">
        <f>'Rateio Custos Fixos'!S158</f>
        <v>53.12092917028184</v>
      </c>
      <c r="AF159" s="22">
        <f>'Rateio Custos Fixos'!T158</f>
        <v>98.017558039911364</v>
      </c>
      <c r="AG159" s="22">
        <f>'Rateio Custos Fixos'!U158</f>
        <v>15.346046204748086</v>
      </c>
      <c r="AH159" s="22">
        <f t="shared" si="51"/>
        <v>345.77274536454098</v>
      </c>
      <c r="AI159" s="22">
        <f t="shared" si="52"/>
        <v>7283.6706692338548</v>
      </c>
      <c r="AJ159" s="22">
        <f t="shared" si="53"/>
        <v>145.6734133846771</v>
      </c>
    </row>
    <row r="160" spans="1:36" ht="14.4" x14ac:dyDescent="0.3">
      <c r="A160">
        <f>'Lista de Compra'!A158</f>
        <v>155</v>
      </c>
      <c r="B160" t="str">
        <f>'Lista de Compra'!B158</f>
        <v>CURVA SOLD RL 90° ASTM A-234 ASME B16.9 SCH 40 - 1"</v>
      </c>
      <c r="C160">
        <f>'Lista de Compra'!C158</f>
        <v>72121000</v>
      </c>
      <c r="D160" s="98">
        <f>'Lista de Compra'!I158</f>
        <v>550</v>
      </c>
      <c r="E160" s="142">
        <f>'Lista de Compra'!L158</f>
        <v>1.661563150275397E-3</v>
      </c>
      <c r="F160" s="139">
        <f>'Lista de Compra'!J158</f>
        <v>0.2</v>
      </c>
      <c r="G160" s="139">
        <f t="shared" si="45"/>
        <v>110</v>
      </c>
      <c r="H160" s="22">
        <f t="shared" si="46"/>
        <v>565.4</v>
      </c>
      <c r="I160" s="143">
        <f>'Rateio Custos Fixos'!E159</f>
        <v>160.37407526458131</v>
      </c>
      <c r="J160" s="22">
        <f t="shared" si="47"/>
        <v>725.77407526458126</v>
      </c>
      <c r="K160" s="22">
        <f t="shared" si="48"/>
        <v>807.0607716942144</v>
      </c>
      <c r="L160" s="22">
        <f t="shared" si="49"/>
        <v>81.286696429633096</v>
      </c>
      <c r="M160" s="22">
        <f t="shared" si="54"/>
        <v>26.22947508006197</v>
      </c>
      <c r="N160" s="22">
        <f t="shared" si="54"/>
        <v>16.948276205578502</v>
      </c>
      <c r="O160" s="22">
        <f t="shared" si="54"/>
        <v>77.881364468491697</v>
      </c>
      <c r="P160" s="22">
        <f t="shared" si="54"/>
        <v>48.423646301652859</v>
      </c>
      <c r="Q160" s="22">
        <f t="shared" si="50"/>
        <v>250.76945848541811</v>
      </c>
      <c r="R160" s="22">
        <f>'Rateio Custos Fixos'!F159</f>
        <v>0.58154710259638898</v>
      </c>
      <c r="S160" s="22">
        <f>'Rateio Custos Fixos'!G159</f>
        <v>1.8277194653029367</v>
      </c>
      <c r="T160" s="22">
        <f>'Rateio Custos Fixos'!H159</f>
        <v>2.4923447254130955</v>
      </c>
      <c r="U160" s="22">
        <f>'Rateio Custos Fixos'!I159</f>
        <v>0.16615631502753969</v>
      </c>
      <c r="V160" s="22">
        <f>'Rateio Custos Fixos'!J159</f>
        <v>0.29908136704957144</v>
      </c>
      <c r="W160" s="22">
        <f>'Rateio Custos Fixos'!K159</f>
        <v>0.81416594363494454</v>
      </c>
      <c r="X160" s="22">
        <f>'Rateio Custos Fixos'!L159</f>
        <v>1.7612569392919208</v>
      </c>
      <c r="Y160" s="22">
        <f>'Rateio Custos Fixos'!M159</f>
        <v>0.60813211300079528</v>
      </c>
      <c r="Z160" s="22">
        <f>'Rateio Custos Fixos'!N159</f>
        <v>12.829926021166505</v>
      </c>
      <c r="AA160" s="22">
        <f>'Rateio Custos Fixos'!O159</f>
        <v>2.4923447254130955</v>
      </c>
      <c r="AB160" s="22">
        <f>'Rateio Custos Fixos'!P159</f>
        <v>0.49846894508261907</v>
      </c>
      <c r="AC160" s="22">
        <f>'Rateio Custos Fixos'!Q159</f>
        <v>0.53224852392771793</v>
      </c>
      <c r="AD160" s="22">
        <f>'Rateio Custos Fixos'!R159</f>
        <v>0.33231263005507938</v>
      </c>
      <c r="AE160" s="22">
        <f>'Rateio Custos Fixos'!S159</f>
        <v>7.477034176239286</v>
      </c>
      <c r="AF160" s="22">
        <f>'Rateio Custos Fixos'!T159</f>
        <v>13.796457305681702</v>
      </c>
      <c r="AG160" s="22">
        <f>'Rateio Custos Fixos'!U159</f>
        <v>2.1600320953580159</v>
      </c>
      <c r="AH160" s="22">
        <f t="shared" si="51"/>
        <v>48.669228394241216</v>
      </c>
      <c r="AI160" s="22">
        <f t="shared" si="52"/>
        <v>1025.2127621442405</v>
      </c>
      <c r="AJ160" s="22">
        <f t="shared" si="53"/>
        <v>1.8640232038986191</v>
      </c>
    </row>
    <row r="161" spans="1:36" ht="14.4" x14ac:dyDescent="0.3">
      <c r="A161">
        <f>'Lista de Compra'!A159</f>
        <v>156</v>
      </c>
      <c r="B161" t="str">
        <f>'Lista de Compra'!B159</f>
        <v>FLANGE CEGO ASTM A105 GR WPB B16.5 150 LBS 3"</v>
      </c>
      <c r="C161">
        <f>'Lista de Compra'!C159</f>
        <v>72121000</v>
      </c>
      <c r="D161" s="98">
        <f>'Lista de Compra'!I159</f>
        <v>55</v>
      </c>
      <c r="E161" s="142">
        <f>'Lista de Compra'!L159</f>
        <v>3.2068168800315159E-3</v>
      </c>
      <c r="F161" s="139">
        <f>'Lista de Compra'!J159</f>
        <v>3.86</v>
      </c>
      <c r="G161" s="139">
        <f t="shared" si="45"/>
        <v>212.29999999999998</v>
      </c>
      <c r="H161" s="22">
        <f t="shared" si="46"/>
        <v>1091.2219999999998</v>
      </c>
      <c r="I161" s="143">
        <f>'Rateio Custos Fixos'!E160</f>
        <v>309.52196526064193</v>
      </c>
      <c r="J161" s="22">
        <f t="shared" si="47"/>
        <v>1400.7439652606417</v>
      </c>
      <c r="K161" s="22">
        <f t="shared" si="48"/>
        <v>1557.6272893698335</v>
      </c>
      <c r="L161" s="22">
        <f t="shared" si="49"/>
        <v>156.88332410919188</v>
      </c>
      <c r="M161" s="22">
        <f t="shared" si="54"/>
        <v>50.622886904519589</v>
      </c>
      <c r="N161" s="22">
        <f t="shared" si="54"/>
        <v>32.710173076766509</v>
      </c>
      <c r="O161" s="22">
        <f t="shared" si="54"/>
        <v>150.31103342418893</v>
      </c>
      <c r="P161" s="22">
        <f t="shared" si="54"/>
        <v>93.457637362190013</v>
      </c>
      <c r="Q161" s="22">
        <f t="shared" si="50"/>
        <v>483.98505487685691</v>
      </c>
      <c r="R161" s="22">
        <f>'Rateio Custos Fixos'!F160</f>
        <v>1.1223859080110306</v>
      </c>
      <c r="S161" s="22">
        <f>'Rateio Custos Fixos'!G160</f>
        <v>3.5274985680346673</v>
      </c>
      <c r="T161" s="22">
        <f>'Rateio Custos Fixos'!H160</f>
        <v>4.810225320047274</v>
      </c>
      <c r="U161" s="22">
        <f>'Rateio Custos Fixos'!I160</f>
        <v>0.32068168800315161</v>
      </c>
      <c r="V161" s="22">
        <f>'Rateio Custos Fixos'!J160</f>
        <v>0.57722703840567291</v>
      </c>
      <c r="W161" s="22">
        <f>'Rateio Custos Fixos'!K160</f>
        <v>1.5713402712154427</v>
      </c>
      <c r="X161" s="22">
        <f>'Rateio Custos Fixos'!L160</f>
        <v>3.3992258928334067</v>
      </c>
      <c r="Y161" s="22">
        <f>'Rateio Custos Fixos'!M160</f>
        <v>1.1736949780915349</v>
      </c>
      <c r="Z161" s="22">
        <f>'Rateio Custos Fixos'!N160</f>
        <v>24.761757220851354</v>
      </c>
      <c r="AA161" s="22">
        <f>'Rateio Custos Fixos'!O160</f>
        <v>4.810225320047274</v>
      </c>
      <c r="AB161" s="22">
        <f>'Rateio Custos Fixos'!P160</f>
        <v>0.96204506400945478</v>
      </c>
      <c r="AC161" s="22">
        <f>'Rateio Custos Fixos'!Q160</f>
        <v>1.0272396511804955</v>
      </c>
      <c r="AD161" s="22">
        <f>'Rateio Custos Fixos'!R160</f>
        <v>0.64136337600630322</v>
      </c>
      <c r="AE161" s="22">
        <f>'Rateio Custos Fixos'!S160</f>
        <v>14.430675960141821</v>
      </c>
      <c r="AF161" s="22">
        <f>'Rateio Custos Fixos'!T160</f>
        <v>26.627162599965683</v>
      </c>
      <c r="AG161" s="22">
        <f>'Rateio Custos Fixos'!U160</f>
        <v>4.1688619440409704</v>
      </c>
      <c r="AH161" s="22">
        <f t="shared" si="51"/>
        <v>93.931610800885537</v>
      </c>
      <c r="AI161" s="22">
        <f t="shared" si="52"/>
        <v>1978.660630938384</v>
      </c>
      <c r="AJ161" s="22">
        <f t="shared" si="53"/>
        <v>35.975647835243343</v>
      </c>
    </row>
    <row r="162" spans="1:36" ht="14.4" x14ac:dyDescent="0.3">
      <c r="A162">
        <f>'Lista de Compra'!A160</f>
        <v>157</v>
      </c>
      <c r="B162" t="str">
        <f>'Lista de Compra'!B160</f>
        <v>FLANGE CEGO ASTM A105 GR WPB B16.5 300 LBS 1/2"</v>
      </c>
      <c r="C162">
        <f>'Lista de Compra'!C160</f>
        <v>72121000</v>
      </c>
      <c r="D162" s="98">
        <f>'Lista de Compra'!I160</f>
        <v>140</v>
      </c>
      <c r="E162" s="142">
        <f>'Lista de Compra'!L160</f>
        <v>3.0028977661340807E-3</v>
      </c>
      <c r="F162" s="139">
        <f>'Lista de Compra'!J160</f>
        <v>1.42</v>
      </c>
      <c r="G162" s="139">
        <f t="shared" si="45"/>
        <v>198.79999999999998</v>
      </c>
      <c r="H162" s="22">
        <f t="shared" si="46"/>
        <v>1021.8319999999999</v>
      </c>
      <c r="I162" s="143">
        <f>'Rateio Custos Fixos'!E161</f>
        <v>289.83969238726149</v>
      </c>
      <c r="J162" s="22">
        <f t="shared" si="47"/>
        <v>1311.6716923872614</v>
      </c>
      <c r="K162" s="22">
        <f t="shared" si="48"/>
        <v>1458.5789219346348</v>
      </c>
      <c r="L162" s="22">
        <f t="shared" si="49"/>
        <v>146.90722954737328</v>
      </c>
      <c r="M162" s="22">
        <f t="shared" si="54"/>
        <v>47.403814962875629</v>
      </c>
      <c r="N162" s="22">
        <f t="shared" si="54"/>
        <v>30.630157360627333</v>
      </c>
      <c r="O162" s="22">
        <f t="shared" si="54"/>
        <v>140.75286596669227</v>
      </c>
      <c r="P162" s="22">
        <f t="shared" si="54"/>
        <v>87.514735316078088</v>
      </c>
      <c r="Q162" s="22">
        <f t="shared" si="50"/>
        <v>453.20880315364656</v>
      </c>
      <c r="R162" s="22">
        <f>'Rateio Custos Fixos'!F161</f>
        <v>1.0510142181469282</v>
      </c>
      <c r="S162" s="22">
        <f>'Rateio Custos Fixos'!G161</f>
        <v>3.3031875427474886</v>
      </c>
      <c r="T162" s="22">
        <f>'Rateio Custos Fixos'!H161</f>
        <v>4.5043466492011213</v>
      </c>
      <c r="U162" s="22">
        <f>'Rateio Custos Fixos'!I161</f>
        <v>0.30028977661340805</v>
      </c>
      <c r="V162" s="22">
        <f>'Rateio Custos Fixos'!J161</f>
        <v>0.54052159790413457</v>
      </c>
      <c r="W162" s="22">
        <f>'Rateio Custos Fixos'!K161</f>
        <v>1.4714199054056996</v>
      </c>
      <c r="X162" s="22">
        <f>'Rateio Custos Fixos'!L161</f>
        <v>3.1830716321021257</v>
      </c>
      <c r="Y162" s="22">
        <f>'Rateio Custos Fixos'!M161</f>
        <v>1.0990605824050734</v>
      </c>
      <c r="Z162" s="22">
        <f>'Rateio Custos Fixos'!N161</f>
        <v>23.187175390980919</v>
      </c>
      <c r="AA162" s="22">
        <f>'Rateio Custos Fixos'!O161</f>
        <v>4.5043466492011213</v>
      </c>
      <c r="AB162" s="22">
        <f>'Rateio Custos Fixos'!P161</f>
        <v>0.90086932984022416</v>
      </c>
      <c r="AC162" s="22">
        <f>'Rateio Custos Fixos'!Q161</f>
        <v>0.96191824142573001</v>
      </c>
      <c r="AD162" s="22">
        <f>'Rateio Custos Fixos'!R161</f>
        <v>0.60057955322681611</v>
      </c>
      <c r="AE162" s="22">
        <f>'Rateio Custos Fixos'!S161</f>
        <v>13.513039947603364</v>
      </c>
      <c r="AF162" s="22">
        <f>'Rateio Custos Fixos'!T161</f>
        <v>24.933961021541108</v>
      </c>
      <c r="AG162" s="22">
        <f>'Rateio Custos Fixos'!U161</f>
        <v>3.9037670959743047</v>
      </c>
      <c r="AH162" s="22">
        <f t="shared" si="51"/>
        <v>87.958569134319561</v>
      </c>
      <c r="AI162" s="22">
        <f t="shared" si="52"/>
        <v>1852.8390646752275</v>
      </c>
      <c r="AJ162" s="22">
        <f t="shared" si="53"/>
        <v>13.234564747680196</v>
      </c>
    </row>
    <row r="163" spans="1:36" ht="14.4" x14ac:dyDescent="0.3">
      <c r="A163">
        <f>'Lista de Compra'!A161</f>
        <v>158</v>
      </c>
      <c r="B163" t="str">
        <f>'Lista de Compra'!B161</f>
        <v>FLANGE CEGO ASTM A105 GR WPB B16.5 300 LBS 4"</v>
      </c>
      <c r="C163">
        <f>'Lista de Compra'!C161</f>
        <v>72121000</v>
      </c>
      <c r="D163" s="98">
        <f>'Lista de Compra'!I161</f>
        <v>40</v>
      </c>
      <c r="E163" s="142">
        <f>'Lista de Compra'!L161</f>
        <v>6.0057955322681614E-3</v>
      </c>
      <c r="F163" s="139">
        <f>'Lista de Compra'!J161</f>
        <v>9.94</v>
      </c>
      <c r="G163" s="139">
        <f t="shared" si="45"/>
        <v>397.59999999999997</v>
      </c>
      <c r="H163" s="22">
        <f t="shared" si="46"/>
        <v>2043.6639999999998</v>
      </c>
      <c r="I163" s="143">
        <f>'Rateio Custos Fixos'!E162</f>
        <v>579.67938477452299</v>
      </c>
      <c r="J163" s="22">
        <f t="shared" si="47"/>
        <v>2623.3433847745227</v>
      </c>
      <c r="K163" s="22">
        <f t="shared" si="48"/>
        <v>2917.1578438692695</v>
      </c>
      <c r="L163" s="22">
        <f t="shared" si="49"/>
        <v>293.81445909474655</v>
      </c>
      <c r="M163" s="22">
        <f t="shared" si="54"/>
        <v>94.807629925751257</v>
      </c>
      <c r="N163" s="22">
        <f t="shared" si="54"/>
        <v>61.260314721254666</v>
      </c>
      <c r="O163" s="22">
        <f t="shared" si="54"/>
        <v>281.50573193338454</v>
      </c>
      <c r="P163" s="22">
        <f t="shared" si="54"/>
        <v>175.02947063215618</v>
      </c>
      <c r="Q163" s="22">
        <f t="shared" si="50"/>
        <v>906.41760630729311</v>
      </c>
      <c r="R163" s="22">
        <f>'Rateio Custos Fixos'!F162</f>
        <v>2.1020284362938564</v>
      </c>
      <c r="S163" s="22">
        <f>'Rateio Custos Fixos'!G162</f>
        <v>6.6063750854949772</v>
      </c>
      <c r="T163" s="22">
        <f>'Rateio Custos Fixos'!H162</f>
        <v>9.0086932984022425</v>
      </c>
      <c r="U163" s="22">
        <f>'Rateio Custos Fixos'!I162</f>
        <v>0.60057955322681611</v>
      </c>
      <c r="V163" s="22">
        <f>'Rateio Custos Fixos'!J162</f>
        <v>1.0810431958082691</v>
      </c>
      <c r="W163" s="22">
        <f>'Rateio Custos Fixos'!K162</f>
        <v>2.9428398108113991</v>
      </c>
      <c r="X163" s="22">
        <f>'Rateio Custos Fixos'!L162</f>
        <v>6.3661432642042515</v>
      </c>
      <c r="Y163" s="22">
        <f>'Rateio Custos Fixos'!M162</f>
        <v>2.1981211648101469</v>
      </c>
      <c r="Z163" s="22">
        <f>'Rateio Custos Fixos'!N162</f>
        <v>46.374350781961837</v>
      </c>
      <c r="AA163" s="22">
        <f>'Rateio Custos Fixos'!O162</f>
        <v>9.0086932984022425</v>
      </c>
      <c r="AB163" s="22">
        <f>'Rateio Custos Fixos'!P162</f>
        <v>1.8017386596804483</v>
      </c>
      <c r="AC163" s="22">
        <f>'Rateio Custos Fixos'!Q162</f>
        <v>1.92383648285146</v>
      </c>
      <c r="AD163" s="22">
        <f>'Rateio Custos Fixos'!R162</f>
        <v>1.2011591064536322</v>
      </c>
      <c r="AE163" s="22">
        <f>'Rateio Custos Fixos'!S162</f>
        <v>27.026079895206728</v>
      </c>
      <c r="AF163" s="22">
        <f>'Rateio Custos Fixos'!T162</f>
        <v>49.867922043082217</v>
      </c>
      <c r="AG163" s="22">
        <f>'Rateio Custos Fixos'!U162</f>
        <v>7.8075341919486094</v>
      </c>
      <c r="AH163" s="22">
        <f t="shared" si="51"/>
        <v>175.91713826863912</v>
      </c>
      <c r="AI163" s="22">
        <f t="shared" si="52"/>
        <v>3705.678129350455</v>
      </c>
      <c r="AJ163" s="22">
        <f t="shared" si="53"/>
        <v>92.64195323376137</v>
      </c>
    </row>
    <row r="164" spans="1:36" ht="14.4" x14ac:dyDescent="0.3">
      <c r="A164">
        <f>'Lista de Compra'!A162</f>
        <v>159</v>
      </c>
      <c r="B164" t="str">
        <f>'Lista de Compra'!B162</f>
        <v>FLANGE CEGO ASTM A105 GR WPB B16.5 300 LBS 6"</v>
      </c>
      <c r="C164">
        <f>'Lista de Compra'!C162</f>
        <v>72121000</v>
      </c>
      <c r="D164" s="98">
        <f>'Lista de Compra'!I162</f>
        <v>60</v>
      </c>
      <c r="E164" s="142">
        <f>'Lista de Compra'!L162</f>
        <v>1.6186646107591955E-2</v>
      </c>
      <c r="F164" s="139">
        <f>'Lista de Compra'!J162</f>
        <v>17.86</v>
      </c>
      <c r="G164" s="139">
        <f t="shared" si="45"/>
        <v>1071.5999999999999</v>
      </c>
      <c r="H164" s="22">
        <f t="shared" si="46"/>
        <v>5508.0239999999994</v>
      </c>
      <c r="I164" s="143">
        <f>'Rateio Custos Fixos'!E163</f>
        <v>1562.3350823047756</v>
      </c>
      <c r="J164" s="22">
        <f t="shared" si="47"/>
        <v>7070.3590823047753</v>
      </c>
      <c r="K164" s="22">
        <f t="shared" si="48"/>
        <v>7862.2392995229102</v>
      </c>
      <c r="L164" s="22">
        <f t="shared" si="49"/>
        <v>791.88021721813482</v>
      </c>
      <c r="M164" s="22">
        <f t="shared" si="54"/>
        <v>255.52277723449458</v>
      </c>
      <c r="N164" s="22">
        <f t="shared" si="54"/>
        <v>165.10702528998112</v>
      </c>
      <c r="O164" s="22">
        <f t="shared" si="54"/>
        <v>758.70609240396084</v>
      </c>
      <c r="P164" s="22">
        <f t="shared" si="54"/>
        <v>471.73435797137461</v>
      </c>
      <c r="Q164" s="22">
        <f t="shared" si="50"/>
        <v>2442.9504701179458</v>
      </c>
      <c r="R164" s="22">
        <f>'Rateio Custos Fixos'!F163</f>
        <v>5.6653261376571846</v>
      </c>
      <c r="S164" s="22">
        <f>'Rateio Custos Fixos'!G163</f>
        <v>17.805310718351151</v>
      </c>
      <c r="T164" s="22">
        <f>'Rateio Custos Fixos'!H163</f>
        <v>24.279969161387932</v>
      </c>
      <c r="U164" s="22">
        <f>'Rateio Custos Fixos'!I163</f>
        <v>1.6186646107591955</v>
      </c>
      <c r="V164" s="22">
        <f>'Rateio Custos Fixos'!J163</f>
        <v>2.9135962993665521</v>
      </c>
      <c r="W164" s="22">
        <f>'Rateio Custos Fixos'!K163</f>
        <v>7.9314565927200578</v>
      </c>
      <c r="X164" s="22">
        <f>'Rateio Custos Fixos'!L163</f>
        <v>17.157844874047473</v>
      </c>
      <c r="Y164" s="22">
        <f>'Rateio Custos Fixos'!M163</f>
        <v>5.924312475378656</v>
      </c>
      <c r="Z164" s="22">
        <f>'Rateio Custos Fixos'!N163</f>
        <v>124.98680658438205</v>
      </c>
      <c r="AA164" s="22">
        <f>'Rateio Custos Fixos'!O163</f>
        <v>24.279969161387932</v>
      </c>
      <c r="AB164" s="22">
        <f>'Rateio Custos Fixos'!P163</f>
        <v>4.8559938322775862</v>
      </c>
      <c r="AC164" s="22">
        <f>'Rateio Custos Fixos'!Q163</f>
        <v>5.1850683476449309</v>
      </c>
      <c r="AD164" s="22">
        <f>'Rateio Custos Fixos'!R163</f>
        <v>3.2373292215183911</v>
      </c>
      <c r="AE164" s="22">
        <f>'Rateio Custos Fixos'!S163</f>
        <v>72.839907484163803</v>
      </c>
      <c r="AF164" s="22">
        <f>'Rateio Custos Fixos'!T163</f>
        <v>134.40257862516827</v>
      </c>
      <c r="AG164" s="22">
        <f>'Rateio Custos Fixos'!U163</f>
        <v>21.042639939869542</v>
      </c>
      <c r="AH164" s="22">
        <f t="shared" si="51"/>
        <v>474.12677406608077</v>
      </c>
      <c r="AI164" s="22">
        <f t="shared" si="52"/>
        <v>9987.4363264888016</v>
      </c>
      <c r="AJ164" s="22">
        <f t="shared" si="53"/>
        <v>166.4572721081467</v>
      </c>
    </row>
    <row r="165" spans="1:36" ht="14.4" x14ac:dyDescent="0.3">
      <c r="A165">
        <f>'Lista de Compra'!A163</f>
        <v>160</v>
      </c>
      <c r="B165" t="str">
        <f>'Lista de Compra'!B163</f>
        <v>FLANGE CEGO ASTM A105 GR WPB B16.5 300 LBS 8"</v>
      </c>
      <c r="C165">
        <f>'Lista de Compra'!C163</f>
        <v>72121000</v>
      </c>
      <c r="D165" s="98">
        <f>'Lista de Compra'!I163</f>
        <v>30</v>
      </c>
      <c r="E165" s="142">
        <f>'Lista de Compra'!L163</f>
        <v>1.3331778513027866E-2</v>
      </c>
      <c r="F165" s="139">
        <f>'Lista de Compra'!J163</f>
        <v>29.42</v>
      </c>
      <c r="G165" s="139">
        <f t="shared" si="45"/>
        <v>882.6</v>
      </c>
      <c r="H165" s="22">
        <f t="shared" si="46"/>
        <v>4536.5639999999994</v>
      </c>
      <c r="I165" s="143">
        <f>'Rateio Custos Fixos'!E164</f>
        <v>1286.7832620774495</v>
      </c>
      <c r="J165" s="22">
        <f t="shared" si="47"/>
        <v>5823.3472620774492</v>
      </c>
      <c r="K165" s="22">
        <f t="shared" si="48"/>
        <v>6475.5621554301233</v>
      </c>
      <c r="L165" s="22">
        <f t="shared" si="49"/>
        <v>652.21489335267427</v>
      </c>
      <c r="M165" s="22">
        <f t="shared" si="54"/>
        <v>210.45577005147902</v>
      </c>
      <c r="N165" s="22">
        <f t="shared" si="54"/>
        <v>135.9868052640326</v>
      </c>
      <c r="O165" s="22">
        <f t="shared" si="54"/>
        <v>624.89174799900695</v>
      </c>
      <c r="P165" s="22">
        <f t="shared" si="54"/>
        <v>388.53372932580737</v>
      </c>
      <c r="Q165" s="22">
        <f t="shared" si="50"/>
        <v>2012.0829459930003</v>
      </c>
      <c r="R165" s="22">
        <f>'Rateio Custos Fixos'!F164</f>
        <v>4.6661224795597533</v>
      </c>
      <c r="S165" s="22">
        <f>'Rateio Custos Fixos'!G164</f>
        <v>14.664956364330653</v>
      </c>
      <c r="T165" s="22">
        <f>'Rateio Custos Fixos'!H164</f>
        <v>19.997667769541799</v>
      </c>
      <c r="U165" s="22">
        <f>'Rateio Custos Fixos'!I164</f>
        <v>1.3331778513027865</v>
      </c>
      <c r="V165" s="22">
        <f>'Rateio Custos Fixos'!J164</f>
        <v>2.3997201323450157</v>
      </c>
      <c r="W165" s="22">
        <f>'Rateio Custos Fixos'!K164</f>
        <v>6.5325714713836538</v>
      </c>
      <c r="X165" s="22">
        <f>'Rateio Custos Fixos'!L164</f>
        <v>14.131685223809537</v>
      </c>
      <c r="Y165" s="22">
        <f>'Rateio Custos Fixos'!M164</f>
        <v>4.8794309357681991</v>
      </c>
      <c r="Z165" s="22">
        <f>'Rateio Custos Fixos'!N164</f>
        <v>102.94266096619596</v>
      </c>
      <c r="AA165" s="22">
        <f>'Rateio Custos Fixos'!O164</f>
        <v>19.997667769541799</v>
      </c>
      <c r="AB165" s="22">
        <f>'Rateio Custos Fixos'!P164</f>
        <v>3.9995335539083596</v>
      </c>
      <c r="AC165" s="22">
        <f>'Rateio Custos Fixos'!Q164</f>
        <v>4.2705686110782164</v>
      </c>
      <c r="AD165" s="22">
        <f>'Rateio Custos Fixos'!R164</f>
        <v>2.6663557026055731</v>
      </c>
      <c r="AE165" s="22">
        <f>'Rateio Custos Fixos'!S164</f>
        <v>59.993003308625397</v>
      </c>
      <c r="AF165" s="22">
        <f>'Rateio Custos Fixos'!T164</f>
        <v>110.69775652722427</v>
      </c>
      <c r="AG165" s="22">
        <f>'Rateio Custos Fixos'!U164</f>
        <v>17.331312066936224</v>
      </c>
      <c r="AH165" s="22">
        <f t="shared" si="51"/>
        <v>390.50419073415719</v>
      </c>
      <c r="AI165" s="22">
        <f t="shared" si="52"/>
        <v>8225.9343988046057</v>
      </c>
      <c r="AJ165" s="22">
        <f t="shared" si="53"/>
        <v>274.19781329348683</v>
      </c>
    </row>
    <row r="166" spans="1:36" ht="14.4" x14ac:dyDescent="0.3">
      <c r="A166">
        <f>'Lista de Compra'!A164</f>
        <v>161</v>
      </c>
      <c r="B166" t="str">
        <f>'Lista de Compra'!B164</f>
        <v>FLANGE LISO ASTM A105 GR WPB B16.5 300 LBS 3/4"</v>
      </c>
      <c r="C166">
        <f>'Lista de Compra'!C164</f>
        <v>72121000</v>
      </c>
      <c r="D166" s="98">
        <f>'Lista de Compra'!I164</f>
        <v>50</v>
      </c>
      <c r="E166" s="142">
        <f>'Lista de Compra'!L164</f>
        <v>1.1177788465489033E-3</v>
      </c>
      <c r="F166" s="139">
        <f>'Lista de Compra'!J164</f>
        <v>1.48</v>
      </c>
      <c r="G166" s="139">
        <f t="shared" ref="G166:G167" si="55">D166*F166</f>
        <v>74</v>
      </c>
      <c r="H166" s="22">
        <f t="shared" ref="H166:H167" si="56">G166*$H$4</f>
        <v>380.35999999999996</v>
      </c>
      <c r="I166" s="143">
        <f>'Rateio Custos Fixos'!E165</f>
        <v>107.88801426890015</v>
      </c>
      <c r="J166" s="22">
        <f t="shared" ref="J166:J167" si="57">SUM(H166:I166)</f>
        <v>488.24801426890008</v>
      </c>
      <c r="K166" s="22">
        <f t="shared" ref="K166:K167" si="58">J166+L166</f>
        <v>542.93179186701684</v>
      </c>
      <c r="L166" s="22">
        <f t="shared" si="49"/>
        <v>54.683777598116812</v>
      </c>
      <c r="M166" s="22">
        <f t="shared" si="54"/>
        <v>17.645283235678047</v>
      </c>
      <c r="N166" s="22">
        <f t="shared" si="54"/>
        <v>11.401567629207355</v>
      </c>
      <c r="O166" s="22">
        <f t="shared" si="54"/>
        <v>52.392917915167125</v>
      </c>
      <c r="P166" s="22">
        <f t="shared" si="54"/>
        <v>32.575907512021011</v>
      </c>
      <c r="Q166" s="22">
        <f t="shared" ref="Q166:Q167" si="59">SUM(L166:P166)</f>
        <v>168.69945389019034</v>
      </c>
      <c r="R166" s="22">
        <f>'Rateio Custos Fixos'!F165</f>
        <v>0.39122259629211614</v>
      </c>
      <c r="S166" s="22">
        <f>'Rateio Custos Fixos'!G165</f>
        <v>1.2295567312037936</v>
      </c>
      <c r="T166" s="22">
        <f>'Rateio Custos Fixos'!H165</f>
        <v>1.676668269823355</v>
      </c>
      <c r="U166" s="22">
        <f>'Rateio Custos Fixos'!I165</f>
        <v>0.11177788465489033</v>
      </c>
      <c r="V166" s="22">
        <f>'Rateio Custos Fixos'!J165</f>
        <v>0.2012001923788026</v>
      </c>
      <c r="W166" s="22">
        <f>'Rateio Custos Fixos'!K165</f>
        <v>0.54771163480896257</v>
      </c>
      <c r="X166" s="22">
        <f>'Rateio Custos Fixos'!L165</f>
        <v>1.1848455773418374</v>
      </c>
      <c r="Y166" s="22">
        <f>'Rateio Custos Fixos'!M165</f>
        <v>0.4091070578368986</v>
      </c>
      <c r="Z166" s="22">
        <f>'Rateio Custos Fixos'!N165</f>
        <v>8.6310411415120125</v>
      </c>
      <c r="AA166" s="22">
        <f>'Rateio Custos Fixos'!O165</f>
        <v>1.676668269823355</v>
      </c>
      <c r="AB166" s="22">
        <f>'Rateio Custos Fixos'!P165</f>
        <v>0.33533365396467096</v>
      </c>
      <c r="AC166" s="22">
        <f>'Rateio Custos Fixos'!Q165</f>
        <v>0.3580580979150102</v>
      </c>
      <c r="AD166" s="22">
        <f>'Rateio Custos Fixos'!R165</f>
        <v>0.22355576930978066</v>
      </c>
      <c r="AE166" s="22">
        <f>'Rateio Custos Fixos'!S165</f>
        <v>5.0300048094700651</v>
      </c>
      <c r="AF166" s="22">
        <f>'Rateio Custos Fixos'!T165</f>
        <v>9.2812530965495075</v>
      </c>
      <c r="AG166" s="22">
        <f>'Rateio Custos Fixos'!U165</f>
        <v>1.4531125005135743</v>
      </c>
      <c r="AH166" s="22">
        <f t="shared" ref="AH166:AH167" si="60">SUM(R166:AG166)</f>
        <v>32.74111728339863</v>
      </c>
      <c r="AI166" s="22">
        <f t="shared" ref="AI166:AI167" si="61">J166+Q166+AH166</f>
        <v>689.68858544248906</v>
      </c>
      <c r="AJ166" s="22">
        <f t="shared" ref="AJ166:AJ167" si="62">AI166/D166</f>
        <v>13.793771708849782</v>
      </c>
    </row>
    <row r="167" spans="1:36" ht="14.4" x14ac:dyDescent="0.3">
      <c r="A167">
        <f>'Lista de Compra'!A165</f>
        <v>162</v>
      </c>
      <c r="B167" t="str">
        <f>'Lista de Compra'!B165</f>
        <v>FLANGE LISO ASTM A105 GR WPB B16.5 300 LBS 1/2"</v>
      </c>
      <c r="C167">
        <f>'Lista de Compra'!C165</f>
        <v>72121000</v>
      </c>
      <c r="D167" s="98">
        <f>'Lista de Compra'!I165</f>
        <v>300</v>
      </c>
      <c r="E167" s="142">
        <f>'Lista de Compra'!L165</f>
        <v>4.8940587335384415E-3</v>
      </c>
      <c r="F167" s="139">
        <f>'Lista de Compra'!J165</f>
        <v>1.08</v>
      </c>
      <c r="G167" s="139">
        <f t="shared" si="55"/>
        <v>324</v>
      </c>
      <c r="H167" s="22">
        <f t="shared" si="56"/>
        <v>1665.36</v>
      </c>
      <c r="I167" s="143">
        <f>'Rateio Custos Fixos'!E166</f>
        <v>472.37454896113036</v>
      </c>
      <c r="J167" s="22">
        <f t="shared" si="57"/>
        <v>2137.7345489611303</v>
      </c>
      <c r="K167" s="22">
        <f t="shared" si="58"/>
        <v>2377.1608184447769</v>
      </c>
      <c r="L167" s="22">
        <f t="shared" si="49"/>
        <v>239.42626948364659</v>
      </c>
      <c r="M167" s="22">
        <f t="shared" si="54"/>
        <v>77.257726599455253</v>
      </c>
      <c r="N167" s="22">
        <f t="shared" si="54"/>
        <v>49.920377187340314</v>
      </c>
      <c r="O167" s="22">
        <f t="shared" si="54"/>
        <v>229.39601897992097</v>
      </c>
      <c r="P167" s="22">
        <f t="shared" si="54"/>
        <v>142.6296491066866</v>
      </c>
      <c r="Q167" s="22">
        <f t="shared" si="59"/>
        <v>738.63004135704978</v>
      </c>
      <c r="R167" s="22">
        <f>'Rateio Custos Fixos'!F166</f>
        <v>1.7129205567384544</v>
      </c>
      <c r="S167" s="22">
        <f>'Rateio Custos Fixos'!G166</f>
        <v>5.3834646068922858</v>
      </c>
      <c r="T167" s="22">
        <f>'Rateio Custos Fixos'!H166</f>
        <v>7.3410881003076627</v>
      </c>
      <c r="U167" s="22">
        <f>'Rateio Custos Fixos'!I166</f>
        <v>0.48940587335384417</v>
      </c>
      <c r="V167" s="22">
        <f>'Rateio Custos Fixos'!J166</f>
        <v>0.88093057203691949</v>
      </c>
      <c r="W167" s="22">
        <f>'Rateio Custos Fixos'!K166</f>
        <v>2.3980887794338361</v>
      </c>
      <c r="X167" s="22">
        <f>'Rateio Custos Fixos'!L166</f>
        <v>5.1877022575507477</v>
      </c>
      <c r="Y167" s="22">
        <f>'Rateio Custos Fixos'!M166</f>
        <v>1.7912254964750696</v>
      </c>
      <c r="Z167" s="22">
        <f>'Rateio Custos Fixos'!N166</f>
        <v>37.789963916890429</v>
      </c>
      <c r="AA167" s="22">
        <f>'Rateio Custos Fixos'!O166</f>
        <v>7.3410881003076627</v>
      </c>
      <c r="AB167" s="22">
        <f>'Rateio Custos Fixos'!P166</f>
        <v>1.4682176200615324</v>
      </c>
      <c r="AC167" s="22">
        <f>'Rateio Custos Fixos'!Q166</f>
        <v>1.5677138341143688</v>
      </c>
      <c r="AD167" s="22">
        <f>'Rateio Custos Fixos'!R166</f>
        <v>0.97881174670768833</v>
      </c>
      <c r="AE167" s="22">
        <f>'Rateio Custos Fixos'!S166</f>
        <v>22.023264300922985</v>
      </c>
      <c r="AF167" s="22">
        <f>'Rateio Custos Fixos'!T166</f>
        <v>40.636837882189738</v>
      </c>
      <c r="AG167" s="22">
        <f>'Rateio Custos Fixos'!U166</f>
        <v>6.3622763535999738</v>
      </c>
      <c r="AH167" s="22">
        <f t="shared" si="60"/>
        <v>143.35299999758323</v>
      </c>
      <c r="AI167" s="22">
        <f t="shared" si="61"/>
        <v>3019.7175903157631</v>
      </c>
      <c r="AJ167" s="22">
        <f t="shared" si="62"/>
        <v>10.065725301052543</v>
      </c>
    </row>
    <row r="168" spans="1:36" ht="14.4" x14ac:dyDescent="0.3">
      <c r="T168" s="22"/>
    </row>
  </sheetData>
  <autoFilter ref="A4:AJ6" xr:uid="{00000000-0009-0000-0000-000002000000}"/>
  <mergeCells count="4">
    <mergeCell ref="B2:G2"/>
    <mergeCell ref="H2:K2"/>
    <mergeCell ref="L2:Q2"/>
    <mergeCell ref="R2:AH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V171"/>
  <sheetViews>
    <sheetView topLeftCell="A109" zoomScale="110" zoomScaleNormal="110" workbookViewId="0">
      <selection activeCell="F169" sqref="F169"/>
    </sheetView>
  </sheetViews>
  <sheetFormatPr defaultColWidth="8.6640625" defaultRowHeight="14.25" customHeight="1" x14ac:dyDescent="0.3"/>
  <cols>
    <col min="1" max="1" width="10.5546875" customWidth="1"/>
    <col min="2" max="2" width="12.5546875" customWidth="1"/>
    <col min="3" max="3" width="23" customWidth="1"/>
    <col min="4" max="4" width="9.109375" customWidth="1"/>
    <col min="5" max="5" width="16.33203125" customWidth="1"/>
    <col min="6" max="21" width="15.6640625" customWidth="1"/>
    <col min="22" max="22" width="17.88671875" customWidth="1"/>
  </cols>
  <sheetData>
    <row r="2" spans="1:22" ht="14.4" x14ac:dyDescent="0.3">
      <c r="N2" s="144">
        <f>SUM(N5:N166)</f>
        <v>7721.5999999999985</v>
      </c>
    </row>
    <row r="3" spans="1:22" s="89" customFormat="1" ht="42.75" customHeight="1" x14ac:dyDescent="0.3">
      <c r="A3" s="145" t="s">
        <v>41</v>
      </c>
      <c r="B3" s="145" t="s">
        <v>47</v>
      </c>
      <c r="C3" s="145" t="str">
        <f>'Lista de Compra'!K2</f>
        <v>% Rateio Quantidade</v>
      </c>
      <c r="E3" s="146" t="s">
        <v>20</v>
      </c>
      <c r="F3" s="146" t="s">
        <v>182</v>
      </c>
      <c r="G3" s="146" t="s">
        <v>183</v>
      </c>
      <c r="H3" s="146" t="s">
        <v>184</v>
      </c>
      <c r="I3" s="146" t="s">
        <v>185</v>
      </c>
      <c r="J3" s="146" t="s">
        <v>186</v>
      </c>
      <c r="K3" s="146" t="s">
        <v>187</v>
      </c>
      <c r="L3" s="146" t="s">
        <v>188</v>
      </c>
      <c r="M3" s="146" t="s">
        <v>203</v>
      </c>
      <c r="N3" s="146" t="s">
        <v>190</v>
      </c>
      <c r="O3" s="146" t="s">
        <v>191</v>
      </c>
      <c r="P3" s="146" t="s">
        <v>204</v>
      </c>
      <c r="Q3" s="146" t="s">
        <v>205</v>
      </c>
      <c r="R3" s="146" t="s">
        <v>194</v>
      </c>
      <c r="S3" s="146" t="s">
        <v>195</v>
      </c>
      <c r="T3" s="146" t="s">
        <v>206</v>
      </c>
      <c r="U3" s="146" t="s">
        <v>197</v>
      </c>
      <c r="V3" s="147"/>
    </row>
    <row r="4" spans="1:22" ht="14.4" x14ac:dyDescent="0.3">
      <c r="B4">
        <f>SUM(B5:B166)</f>
        <v>21578</v>
      </c>
      <c r="C4" s="148">
        <f>SUM(C5:C166)</f>
        <v>1.0000000000000007</v>
      </c>
      <c r="E4" s="149">
        <f>G170</f>
        <v>96520</v>
      </c>
      <c r="F4" s="149">
        <v>350</v>
      </c>
      <c r="G4" s="149">
        <v>1100</v>
      </c>
      <c r="H4" s="149">
        <v>1500</v>
      </c>
      <c r="I4" s="149">
        <v>100</v>
      </c>
      <c r="J4" s="149">
        <v>180</v>
      </c>
      <c r="K4" s="149">
        <v>490</v>
      </c>
      <c r="L4" s="149">
        <v>1060</v>
      </c>
      <c r="M4" s="149">
        <v>366</v>
      </c>
      <c r="N4" s="150">
        <v>0.08</v>
      </c>
      <c r="O4" s="149">
        <v>1500</v>
      </c>
      <c r="P4" s="149">
        <v>300</v>
      </c>
      <c r="Q4" s="149">
        <v>320.33</v>
      </c>
      <c r="R4" s="149">
        <v>200</v>
      </c>
      <c r="S4" s="149">
        <v>4500</v>
      </c>
      <c r="T4" s="149">
        <v>8303.2999999999993</v>
      </c>
      <c r="U4" s="149">
        <v>1300</v>
      </c>
      <c r="V4" s="22">
        <f t="shared" ref="V4:V35" si="0">SUM(F4:U4)</f>
        <v>21569.71</v>
      </c>
    </row>
    <row r="5" spans="1:22" ht="14.4" x14ac:dyDescent="0.3">
      <c r="A5" s="89">
        <f>'Lista de Compra'!A4</f>
        <v>1</v>
      </c>
      <c r="B5" s="151">
        <f>'Lista de Compra'!I4</f>
        <v>20</v>
      </c>
      <c r="C5" s="152">
        <f>'Lista de Compra'!L4</f>
        <v>2.2597258843745399E-3</v>
      </c>
      <c r="E5" s="153">
        <f t="shared" ref="E5:M14" si="1">E$4*$C5</f>
        <v>218.10874235983059</v>
      </c>
      <c r="F5" s="153">
        <f t="shared" si="1"/>
        <v>0.790904059531089</v>
      </c>
      <c r="G5" s="153">
        <f t="shared" si="1"/>
        <v>2.4856984728119937</v>
      </c>
      <c r="H5" s="153">
        <f t="shared" si="1"/>
        <v>3.3895888265618099</v>
      </c>
      <c r="I5" s="153">
        <f t="shared" si="1"/>
        <v>0.22597258843745399</v>
      </c>
      <c r="J5" s="153">
        <f t="shared" si="1"/>
        <v>0.40675065918741721</v>
      </c>
      <c r="K5" s="153">
        <f t="shared" si="1"/>
        <v>1.1072656833435246</v>
      </c>
      <c r="L5" s="153">
        <f t="shared" si="1"/>
        <v>2.3953094374370125</v>
      </c>
      <c r="M5" s="153">
        <f t="shared" si="1"/>
        <v>0.82705967368108158</v>
      </c>
      <c r="N5" s="153">
        <f t="shared" ref="N5:N36" si="2">$N$4*E5</f>
        <v>17.448699388786448</v>
      </c>
      <c r="O5" s="153">
        <f t="shared" ref="O5:S14" si="3">O$4*$C5</f>
        <v>3.3895888265618099</v>
      </c>
      <c r="P5" s="153">
        <f t="shared" si="3"/>
        <v>0.67791776531236203</v>
      </c>
      <c r="Q5" s="153">
        <f t="shared" si="3"/>
        <v>0.72385799254169636</v>
      </c>
      <c r="R5" s="153">
        <f t="shared" si="3"/>
        <v>0.45194517687490798</v>
      </c>
      <c r="S5" s="153">
        <f t="shared" si="3"/>
        <v>10.168766479685429</v>
      </c>
      <c r="T5" s="144">
        <f t="shared" ref="T5:T36" si="4">T$4*C5</f>
        <v>18.763181935727115</v>
      </c>
      <c r="U5" s="153">
        <f t="shared" ref="U5:U36" si="5">U$4*$C5</f>
        <v>2.9376436496869021</v>
      </c>
      <c r="V5" s="22">
        <f t="shared" si="0"/>
        <v>66.190150616168054</v>
      </c>
    </row>
    <row r="6" spans="1:22" ht="14.4" x14ac:dyDescent="0.3">
      <c r="A6" s="89">
        <f>'Lista de Compra'!A5</f>
        <v>2</v>
      </c>
      <c r="B6" s="151">
        <f>'Lista de Compra'!I5</f>
        <v>25</v>
      </c>
      <c r="C6" s="152">
        <f>'Lista de Compra'!L5</f>
        <v>4.8638484944425256E-3</v>
      </c>
      <c r="E6" s="153">
        <f t="shared" si="1"/>
        <v>469.45865668359255</v>
      </c>
      <c r="F6" s="153">
        <f t="shared" si="1"/>
        <v>1.7023469730548839</v>
      </c>
      <c r="G6" s="153">
        <f t="shared" si="1"/>
        <v>5.350233343886778</v>
      </c>
      <c r="H6" s="153">
        <f t="shared" si="1"/>
        <v>7.2957727416637885</v>
      </c>
      <c r="I6" s="153">
        <f t="shared" si="1"/>
        <v>0.48638484944425253</v>
      </c>
      <c r="J6" s="153">
        <f t="shared" si="1"/>
        <v>0.87549272899965458</v>
      </c>
      <c r="K6" s="153">
        <f t="shared" si="1"/>
        <v>2.3832857622768375</v>
      </c>
      <c r="L6" s="153">
        <f t="shared" si="1"/>
        <v>5.155679404109077</v>
      </c>
      <c r="M6" s="153">
        <f t="shared" si="1"/>
        <v>1.7801685489659644</v>
      </c>
      <c r="N6" s="153">
        <f t="shared" si="2"/>
        <v>37.556692534687407</v>
      </c>
      <c r="O6" s="153">
        <f t="shared" si="3"/>
        <v>7.2957727416637885</v>
      </c>
      <c r="P6" s="153">
        <f t="shared" si="3"/>
        <v>1.4591545483327577</v>
      </c>
      <c r="Q6" s="153">
        <f t="shared" si="3"/>
        <v>1.5580365882247742</v>
      </c>
      <c r="R6" s="153">
        <f t="shared" si="3"/>
        <v>0.97276969888850506</v>
      </c>
      <c r="S6" s="153">
        <f t="shared" si="3"/>
        <v>21.887318224991365</v>
      </c>
      <c r="T6" s="144">
        <f t="shared" si="4"/>
        <v>40.385993203904619</v>
      </c>
      <c r="U6" s="153">
        <f t="shared" si="5"/>
        <v>6.3230030427752837</v>
      </c>
      <c r="V6" s="22">
        <f t="shared" si="0"/>
        <v>142.46810493586975</v>
      </c>
    </row>
    <row r="7" spans="1:22" ht="14.4" x14ac:dyDescent="0.3">
      <c r="A7" s="89">
        <f>'Lista de Compra'!A6</f>
        <v>3</v>
      </c>
      <c r="B7" s="151">
        <f>'Lista de Compra'!I6</f>
        <v>300</v>
      </c>
      <c r="C7" s="152">
        <f>'Lista de Compra'!L6</f>
        <v>3.8971208433732038E-3</v>
      </c>
      <c r="E7" s="153">
        <f t="shared" si="1"/>
        <v>376.15010380238164</v>
      </c>
      <c r="F7" s="153">
        <f t="shared" si="1"/>
        <v>1.3639922951806214</v>
      </c>
      <c r="G7" s="153">
        <f t="shared" si="1"/>
        <v>4.2868329277105239</v>
      </c>
      <c r="H7" s="153">
        <f t="shared" si="1"/>
        <v>5.845681265059806</v>
      </c>
      <c r="I7" s="153">
        <f t="shared" si="1"/>
        <v>0.38971208433732035</v>
      </c>
      <c r="J7" s="153">
        <f t="shared" si="1"/>
        <v>0.70148175180717665</v>
      </c>
      <c r="K7" s="153">
        <f t="shared" si="1"/>
        <v>1.9095892132528698</v>
      </c>
      <c r="L7" s="153">
        <f t="shared" si="1"/>
        <v>4.1309480939755963</v>
      </c>
      <c r="M7" s="153">
        <f t="shared" si="1"/>
        <v>1.4263462286745925</v>
      </c>
      <c r="N7" s="153">
        <f t="shared" si="2"/>
        <v>30.092008304190532</v>
      </c>
      <c r="O7" s="153">
        <f t="shared" si="3"/>
        <v>5.845681265059806</v>
      </c>
      <c r="P7" s="153">
        <f t="shared" si="3"/>
        <v>1.1691362530119611</v>
      </c>
      <c r="Q7" s="153">
        <f t="shared" si="3"/>
        <v>1.2483647197577383</v>
      </c>
      <c r="R7" s="153">
        <f t="shared" si="3"/>
        <v>0.7794241686746407</v>
      </c>
      <c r="S7" s="153">
        <f t="shared" si="3"/>
        <v>17.537043795179418</v>
      </c>
      <c r="T7" s="144">
        <f t="shared" si="4"/>
        <v>32.358963498780717</v>
      </c>
      <c r="U7" s="153">
        <f t="shared" si="5"/>
        <v>5.066257096385165</v>
      </c>
      <c r="V7" s="22">
        <f t="shared" si="0"/>
        <v>114.15146296103848</v>
      </c>
    </row>
    <row r="8" spans="1:22" ht="14.4" x14ac:dyDescent="0.3">
      <c r="A8" s="89">
        <f>'Lista de Compra'!A7</f>
        <v>4</v>
      </c>
      <c r="B8" s="151">
        <f>'Lista de Compra'!I7</f>
        <v>50</v>
      </c>
      <c r="C8" s="152">
        <f>'Lista de Compra'!L7</f>
        <v>2.0391911389743508E-3</v>
      </c>
      <c r="E8" s="153">
        <f t="shared" si="1"/>
        <v>196.82272873380433</v>
      </c>
      <c r="F8" s="153">
        <f t="shared" si="1"/>
        <v>0.71371689864102272</v>
      </c>
      <c r="G8" s="153">
        <f t="shared" si="1"/>
        <v>2.2431102528717859</v>
      </c>
      <c r="H8" s="153">
        <f t="shared" si="1"/>
        <v>3.0587867084615263</v>
      </c>
      <c r="I8" s="153">
        <f t="shared" si="1"/>
        <v>0.20391911389743508</v>
      </c>
      <c r="J8" s="153">
        <f t="shared" si="1"/>
        <v>0.36705440501538317</v>
      </c>
      <c r="K8" s="153">
        <f t="shared" si="1"/>
        <v>0.99920365809743183</v>
      </c>
      <c r="L8" s="153">
        <f t="shared" si="1"/>
        <v>2.1615426073128119</v>
      </c>
      <c r="M8" s="153">
        <f t="shared" si="1"/>
        <v>0.74634395686461241</v>
      </c>
      <c r="N8" s="153">
        <f t="shared" si="2"/>
        <v>15.745818298704346</v>
      </c>
      <c r="O8" s="153">
        <f t="shared" si="3"/>
        <v>3.0587867084615263</v>
      </c>
      <c r="P8" s="153">
        <f t="shared" si="3"/>
        <v>0.61175734169230522</v>
      </c>
      <c r="Q8" s="153">
        <f t="shared" si="3"/>
        <v>0.6532140975476538</v>
      </c>
      <c r="R8" s="153">
        <f t="shared" si="3"/>
        <v>0.40783822779487017</v>
      </c>
      <c r="S8" s="153">
        <f t="shared" si="3"/>
        <v>9.1763601253845781</v>
      </c>
      <c r="T8" s="144">
        <f t="shared" si="4"/>
        <v>16.932015784245724</v>
      </c>
      <c r="U8" s="153">
        <f t="shared" si="5"/>
        <v>2.6509484806666559</v>
      </c>
      <c r="V8" s="22">
        <f t="shared" si="0"/>
        <v>59.730416665659661</v>
      </c>
    </row>
    <row r="9" spans="1:22" ht="14.4" x14ac:dyDescent="0.3">
      <c r="A9" s="89">
        <f>'Lista de Compra'!A8</f>
        <v>5</v>
      </c>
      <c r="B9" s="151">
        <f>'Lista de Compra'!I8</f>
        <v>50</v>
      </c>
      <c r="C9" s="152">
        <f>'Lista de Compra'!L8</f>
        <v>3.7083068490237265E-3</v>
      </c>
      <c r="E9" s="153">
        <f t="shared" si="1"/>
        <v>357.92577706777007</v>
      </c>
      <c r="F9" s="153">
        <f t="shared" si="1"/>
        <v>1.2979073971583044</v>
      </c>
      <c r="G9" s="153">
        <f t="shared" si="1"/>
        <v>4.0791375339260991</v>
      </c>
      <c r="H9" s="153">
        <f t="shared" si="1"/>
        <v>5.5624602735355895</v>
      </c>
      <c r="I9" s="153">
        <f t="shared" si="1"/>
        <v>0.37083068490237264</v>
      </c>
      <c r="J9" s="153">
        <f t="shared" si="1"/>
        <v>0.66749523282427081</v>
      </c>
      <c r="K9" s="153">
        <f t="shared" si="1"/>
        <v>1.8170703560216259</v>
      </c>
      <c r="L9" s="153">
        <f t="shared" si="1"/>
        <v>3.9308052599651502</v>
      </c>
      <c r="M9" s="153">
        <f t="shared" si="1"/>
        <v>1.3572403067426839</v>
      </c>
      <c r="N9" s="153">
        <f t="shared" si="2"/>
        <v>28.634062165421607</v>
      </c>
      <c r="O9" s="153">
        <f t="shared" si="3"/>
        <v>5.5624602735355895</v>
      </c>
      <c r="P9" s="153">
        <f t="shared" si="3"/>
        <v>1.112492054707118</v>
      </c>
      <c r="Q9" s="153">
        <f t="shared" si="3"/>
        <v>1.1878819329477703</v>
      </c>
      <c r="R9" s="153">
        <f t="shared" si="3"/>
        <v>0.74166136980474529</v>
      </c>
      <c r="S9" s="153">
        <f t="shared" si="3"/>
        <v>16.687380820606769</v>
      </c>
      <c r="T9" s="144">
        <f t="shared" si="4"/>
        <v>30.791184259498706</v>
      </c>
      <c r="U9" s="153">
        <f t="shared" si="5"/>
        <v>4.8207989037308447</v>
      </c>
      <c r="V9" s="22">
        <f t="shared" si="0"/>
        <v>108.62086882532925</v>
      </c>
    </row>
    <row r="10" spans="1:22" ht="14.4" x14ac:dyDescent="0.3">
      <c r="A10" s="89">
        <f>'Lista de Compra'!A9</f>
        <v>6</v>
      </c>
      <c r="B10" s="151">
        <f>'Lista de Compra'!I9</f>
        <v>20</v>
      </c>
      <c r="C10" s="152">
        <f>'Lista de Compra'!L9</f>
        <v>2.5316180362377869E-3</v>
      </c>
      <c r="E10" s="153">
        <f t="shared" si="1"/>
        <v>244.35177285767119</v>
      </c>
      <c r="F10" s="153">
        <f t="shared" si="1"/>
        <v>0.88606631268322544</v>
      </c>
      <c r="G10" s="153">
        <f t="shared" si="1"/>
        <v>2.7847798398615655</v>
      </c>
      <c r="H10" s="153">
        <f t="shared" si="1"/>
        <v>3.7974270543566804</v>
      </c>
      <c r="I10" s="153">
        <f t="shared" si="1"/>
        <v>0.25316180362377871</v>
      </c>
      <c r="J10" s="153">
        <f t="shared" si="1"/>
        <v>0.45569124652280163</v>
      </c>
      <c r="K10" s="153">
        <f t="shared" si="1"/>
        <v>1.2404928377565156</v>
      </c>
      <c r="L10" s="153">
        <f t="shared" si="1"/>
        <v>2.6835151184120543</v>
      </c>
      <c r="M10" s="153">
        <f t="shared" si="1"/>
        <v>0.92657220126302997</v>
      </c>
      <c r="N10" s="153">
        <f t="shared" si="2"/>
        <v>19.548141828613694</v>
      </c>
      <c r="O10" s="153">
        <f t="shared" si="3"/>
        <v>3.7974270543566804</v>
      </c>
      <c r="P10" s="153">
        <f t="shared" si="3"/>
        <v>0.75948541087133603</v>
      </c>
      <c r="Q10" s="153">
        <f t="shared" si="3"/>
        <v>0.81095320554805028</v>
      </c>
      <c r="R10" s="153">
        <f t="shared" si="3"/>
        <v>0.50632360724755743</v>
      </c>
      <c r="S10" s="153">
        <f t="shared" si="3"/>
        <v>11.392281163070042</v>
      </c>
      <c r="T10" s="144">
        <f t="shared" si="4"/>
        <v>21.020784040293215</v>
      </c>
      <c r="U10" s="153">
        <f t="shared" si="5"/>
        <v>3.2911034471091227</v>
      </c>
      <c r="V10" s="22">
        <f t="shared" si="0"/>
        <v>74.154206171589351</v>
      </c>
    </row>
    <row r="11" spans="1:22" ht="14.4" x14ac:dyDescent="0.3">
      <c r="A11" s="89">
        <f>'Lista de Compra'!A10</f>
        <v>7</v>
      </c>
      <c r="B11" s="151">
        <f>'Lista de Compra'!I10</f>
        <v>50</v>
      </c>
      <c r="C11" s="152">
        <f>'Lista de Compra'!L10</f>
        <v>9.4180420381519084E-3</v>
      </c>
      <c r="E11" s="153">
        <f t="shared" si="1"/>
        <v>909.02941752242225</v>
      </c>
      <c r="F11" s="153">
        <f t="shared" si="1"/>
        <v>3.2963147133531678</v>
      </c>
      <c r="G11" s="153">
        <f t="shared" si="1"/>
        <v>10.3598462419671</v>
      </c>
      <c r="H11" s="153">
        <f t="shared" si="1"/>
        <v>14.127063057227863</v>
      </c>
      <c r="I11" s="153">
        <f t="shared" si="1"/>
        <v>0.94180420381519081</v>
      </c>
      <c r="J11" s="153">
        <f t="shared" si="1"/>
        <v>1.6952475668673435</v>
      </c>
      <c r="K11" s="153">
        <f t="shared" si="1"/>
        <v>4.6148405986944354</v>
      </c>
      <c r="L11" s="153">
        <f t="shared" si="1"/>
        <v>9.9831245604410235</v>
      </c>
      <c r="M11" s="153">
        <f t="shared" si="1"/>
        <v>3.4470033859635985</v>
      </c>
      <c r="N11" s="153">
        <f t="shared" si="2"/>
        <v>72.722353401793782</v>
      </c>
      <c r="O11" s="153">
        <f t="shared" si="3"/>
        <v>14.127063057227863</v>
      </c>
      <c r="P11" s="153">
        <f t="shared" si="3"/>
        <v>2.8254126114455724</v>
      </c>
      <c r="Q11" s="153">
        <f t="shared" si="3"/>
        <v>3.0168814060812008</v>
      </c>
      <c r="R11" s="153">
        <f t="shared" si="3"/>
        <v>1.8836084076303816</v>
      </c>
      <c r="S11" s="153">
        <f t="shared" si="3"/>
        <v>42.381189171683587</v>
      </c>
      <c r="T11" s="144">
        <f t="shared" si="4"/>
        <v>78.200828455386741</v>
      </c>
      <c r="U11" s="153">
        <f t="shared" si="5"/>
        <v>12.243454649597481</v>
      </c>
      <c r="V11" s="22">
        <f t="shared" si="0"/>
        <v>275.8660354891764</v>
      </c>
    </row>
    <row r="12" spans="1:22" ht="14.4" x14ac:dyDescent="0.3">
      <c r="A12" s="89">
        <f>'Lista de Compra'!A11</f>
        <v>8</v>
      </c>
      <c r="B12" s="151">
        <f>'Lista de Compra'!I11</f>
        <v>200</v>
      </c>
      <c r="C12" s="152">
        <f>'Lista de Compra'!L11</f>
        <v>1.2688300420284849E-3</v>
      </c>
      <c r="E12" s="153">
        <f t="shared" si="1"/>
        <v>122.46747565658937</v>
      </c>
      <c r="F12" s="153">
        <f t="shared" si="1"/>
        <v>0.44409051470996974</v>
      </c>
      <c r="G12" s="153">
        <f t="shared" si="1"/>
        <v>1.3957130462313334</v>
      </c>
      <c r="H12" s="153">
        <f t="shared" si="1"/>
        <v>1.9032450630427273</v>
      </c>
      <c r="I12" s="153">
        <f t="shared" si="1"/>
        <v>0.12688300420284848</v>
      </c>
      <c r="J12" s="153">
        <f t="shared" si="1"/>
        <v>0.22838940756512729</v>
      </c>
      <c r="K12" s="153">
        <f t="shared" si="1"/>
        <v>0.62172672059395762</v>
      </c>
      <c r="L12" s="153">
        <f t="shared" si="1"/>
        <v>1.344959844550194</v>
      </c>
      <c r="M12" s="153">
        <f t="shared" si="1"/>
        <v>0.46439179538242548</v>
      </c>
      <c r="N12" s="153">
        <f t="shared" si="2"/>
        <v>9.79739805252715</v>
      </c>
      <c r="O12" s="153">
        <f t="shared" si="3"/>
        <v>1.9032450630427273</v>
      </c>
      <c r="P12" s="153">
        <f t="shared" si="3"/>
        <v>0.3806490126085455</v>
      </c>
      <c r="Q12" s="153">
        <f t="shared" si="3"/>
        <v>0.40644432736298458</v>
      </c>
      <c r="R12" s="153">
        <f t="shared" si="3"/>
        <v>0.25376600840569696</v>
      </c>
      <c r="S12" s="153">
        <f t="shared" si="3"/>
        <v>5.7097351891281827</v>
      </c>
      <c r="T12" s="144">
        <f t="shared" si="4"/>
        <v>10.535476487975117</v>
      </c>
      <c r="U12" s="153">
        <f t="shared" si="5"/>
        <v>1.6494790546370304</v>
      </c>
      <c r="V12" s="22">
        <f t="shared" si="0"/>
        <v>37.165592591966018</v>
      </c>
    </row>
    <row r="13" spans="1:22" ht="14.4" x14ac:dyDescent="0.3">
      <c r="A13" s="89">
        <f>'Lista de Compra'!A12</f>
        <v>9</v>
      </c>
      <c r="B13" s="151">
        <f>'Lista de Compra'!I12</f>
        <v>100</v>
      </c>
      <c r="C13" s="152">
        <f>'Lista de Compra'!L12</f>
        <v>2.7793419968243E-3</v>
      </c>
      <c r="E13" s="153">
        <f t="shared" si="1"/>
        <v>268.26208953348146</v>
      </c>
      <c r="F13" s="153">
        <f t="shared" si="1"/>
        <v>0.97276969888850506</v>
      </c>
      <c r="G13" s="153">
        <f t="shared" si="1"/>
        <v>3.0572761965067299</v>
      </c>
      <c r="H13" s="153">
        <f t="shared" si="1"/>
        <v>4.1690129952364501</v>
      </c>
      <c r="I13" s="153">
        <f t="shared" si="1"/>
        <v>0.27793419968242999</v>
      </c>
      <c r="J13" s="153">
        <f t="shared" si="1"/>
        <v>0.50028155942837405</v>
      </c>
      <c r="K13" s="153">
        <f t="shared" si="1"/>
        <v>1.361877578443907</v>
      </c>
      <c r="L13" s="153">
        <f t="shared" si="1"/>
        <v>2.9461025166337582</v>
      </c>
      <c r="M13" s="153">
        <f t="shared" si="1"/>
        <v>1.0172391708376938</v>
      </c>
      <c r="N13" s="153">
        <f t="shared" si="2"/>
        <v>21.460967162678518</v>
      </c>
      <c r="O13" s="153">
        <f t="shared" si="3"/>
        <v>4.1690129952364501</v>
      </c>
      <c r="P13" s="153">
        <f t="shared" si="3"/>
        <v>0.83380259904729004</v>
      </c>
      <c r="Q13" s="153">
        <f t="shared" si="3"/>
        <v>0.89030662184272802</v>
      </c>
      <c r="R13" s="153">
        <f t="shared" si="3"/>
        <v>0.55586839936485999</v>
      </c>
      <c r="S13" s="153">
        <f t="shared" si="3"/>
        <v>12.50703898570935</v>
      </c>
      <c r="T13" s="144">
        <f t="shared" si="4"/>
        <v>23.077710402231208</v>
      </c>
      <c r="U13" s="153">
        <f t="shared" si="5"/>
        <v>3.61314459587159</v>
      </c>
      <c r="V13" s="22">
        <f t="shared" si="0"/>
        <v>81.410345677639839</v>
      </c>
    </row>
    <row r="14" spans="1:22" ht="14.4" x14ac:dyDescent="0.3">
      <c r="A14" s="89">
        <f>'Lista de Compra'!A13</f>
        <v>10</v>
      </c>
      <c r="B14" s="151">
        <f>'Lista de Compra'!I13</f>
        <v>80</v>
      </c>
      <c r="C14" s="152">
        <f>'Lista de Compra'!L13</f>
        <v>9.1476603982434575E-3</v>
      </c>
      <c r="E14" s="153">
        <f t="shared" si="1"/>
        <v>882.93218163845847</v>
      </c>
      <c r="F14" s="153">
        <f t="shared" si="1"/>
        <v>3.2016811393852103</v>
      </c>
      <c r="G14" s="153">
        <f t="shared" si="1"/>
        <v>10.062426438067803</v>
      </c>
      <c r="H14" s="153">
        <f t="shared" si="1"/>
        <v>13.721490597365186</v>
      </c>
      <c r="I14" s="153">
        <f t="shared" si="1"/>
        <v>0.91476603982434579</v>
      </c>
      <c r="J14" s="153">
        <f t="shared" si="1"/>
        <v>1.6465788716838223</v>
      </c>
      <c r="K14" s="153">
        <f t="shared" si="1"/>
        <v>4.4823535951392941</v>
      </c>
      <c r="L14" s="153">
        <f t="shared" si="1"/>
        <v>9.6965200221380652</v>
      </c>
      <c r="M14" s="153">
        <f t="shared" si="1"/>
        <v>3.3480437057571053</v>
      </c>
      <c r="N14" s="153">
        <f t="shared" si="2"/>
        <v>70.63457453107668</v>
      </c>
      <c r="O14" s="153">
        <f t="shared" si="3"/>
        <v>13.721490597365186</v>
      </c>
      <c r="P14" s="153">
        <f t="shared" si="3"/>
        <v>2.7442981194730374</v>
      </c>
      <c r="Q14" s="153">
        <f t="shared" si="3"/>
        <v>2.9302700553693266</v>
      </c>
      <c r="R14" s="153">
        <f t="shared" si="3"/>
        <v>1.8295320796486916</v>
      </c>
      <c r="S14" s="153">
        <f t="shared" si="3"/>
        <v>41.164471792095561</v>
      </c>
      <c r="T14" s="144">
        <f t="shared" si="4"/>
        <v>75.955768584734898</v>
      </c>
      <c r="U14" s="153">
        <f t="shared" si="5"/>
        <v>11.891958517716494</v>
      </c>
      <c r="V14" s="22">
        <f t="shared" si="0"/>
        <v>267.94622468684065</v>
      </c>
    </row>
    <row r="15" spans="1:22" ht="14.4" x14ac:dyDescent="0.3">
      <c r="A15" s="89">
        <f>'Lista de Compra'!A14</f>
        <v>11</v>
      </c>
      <c r="B15" s="151">
        <f>'Lista de Compra'!I14</f>
        <v>250</v>
      </c>
      <c r="C15" s="152">
        <f>'Lista de Compra'!L14</f>
        <v>7.5525597739790765E-4</v>
      </c>
      <c r="E15" s="153">
        <f t="shared" ref="E15:M24" si="6">E$4*$C15</f>
        <v>72.89730693844605</v>
      </c>
      <c r="F15" s="153">
        <f t="shared" si="6"/>
        <v>0.26433959208926766</v>
      </c>
      <c r="G15" s="153">
        <f t="shared" si="6"/>
        <v>0.83078157513769846</v>
      </c>
      <c r="H15" s="153">
        <f t="shared" si="6"/>
        <v>1.1328839660968615</v>
      </c>
      <c r="I15" s="153">
        <f t="shared" si="6"/>
        <v>7.552559773979077E-2</v>
      </c>
      <c r="J15" s="153">
        <f t="shared" si="6"/>
        <v>0.13594607593162339</v>
      </c>
      <c r="K15" s="153">
        <f t="shared" si="6"/>
        <v>0.37007542892497475</v>
      </c>
      <c r="L15" s="153">
        <f t="shared" si="6"/>
        <v>0.8005713360417821</v>
      </c>
      <c r="M15" s="153">
        <f t="shared" si="6"/>
        <v>0.2764236877276342</v>
      </c>
      <c r="N15" s="153">
        <f t="shared" si="2"/>
        <v>5.8317845550756839</v>
      </c>
      <c r="O15" s="153">
        <f t="shared" ref="O15:S24" si="7">O$4*$C15</f>
        <v>1.1328839660968615</v>
      </c>
      <c r="P15" s="153">
        <f t="shared" si="7"/>
        <v>0.2265767932193723</v>
      </c>
      <c r="Q15" s="153">
        <f t="shared" si="7"/>
        <v>0.24193114723987175</v>
      </c>
      <c r="R15" s="153">
        <f t="shared" si="7"/>
        <v>0.15105119547958154</v>
      </c>
      <c r="S15" s="153">
        <f t="shared" si="7"/>
        <v>3.3986518982905842</v>
      </c>
      <c r="T15" s="144">
        <f t="shared" si="4"/>
        <v>6.2711169571280463</v>
      </c>
      <c r="U15" s="153">
        <f t="shared" si="5"/>
        <v>0.98183277061727992</v>
      </c>
      <c r="V15" s="22">
        <f t="shared" si="0"/>
        <v>22.122376542836914</v>
      </c>
    </row>
    <row r="16" spans="1:22" ht="14.4" x14ac:dyDescent="0.3">
      <c r="A16" s="89">
        <f>'Lista de Compra'!A15</f>
        <v>12</v>
      </c>
      <c r="B16" s="151">
        <f>'Lista de Compra'!I15</f>
        <v>500</v>
      </c>
      <c r="C16" s="152">
        <f>'Lista de Compra'!L15</f>
        <v>3.0210239095916306E-3</v>
      </c>
      <c r="E16" s="153">
        <f t="shared" si="6"/>
        <v>291.5892277537842</v>
      </c>
      <c r="F16" s="153">
        <f t="shared" si="6"/>
        <v>1.0573583683570706</v>
      </c>
      <c r="G16" s="153">
        <f t="shared" si="6"/>
        <v>3.3231263005507938</v>
      </c>
      <c r="H16" s="153">
        <f t="shared" si="6"/>
        <v>4.5315358643874459</v>
      </c>
      <c r="I16" s="153">
        <f t="shared" si="6"/>
        <v>0.30210239095916308</v>
      </c>
      <c r="J16" s="153">
        <f t="shared" si="6"/>
        <v>0.54378430372649356</v>
      </c>
      <c r="K16" s="153">
        <f t="shared" si="6"/>
        <v>1.480301715699899</v>
      </c>
      <c r="L16" s="153">
        <f t="shared" si="6"/>
        <v>3.2022853441671284</v>
      </c>
      <c r="M16" s="153">
        <f t="shared" si="6"/>
        <v>1.1056947509105368</v>
      </c>
      <c r="N16" s="153">
        <f t="shared" si="2"/>
        <v>23.327138220302736</v>
      </c>
      <c r="O16" s="153">
        <f t="shared" si="7"/>
        <v>4.5315358643874459</v>
      </c>
      <c r="P16" s="153">
        <f t="shared" si="7"/>
        <v>0.90630717287748919</v>
      </c>
      <c r="Q16" s="153">
        <f t="shared" si="7"/>
        <v>0.96772458895948699</v>
      </c>
      <c r="R16" s="153">
        <f t="shared" si="7"/>
        <v>0.60420478191832616</v>
      </c>
      <c r="S16" s="153">
        <f t="shared" si="7"/>
        <v>13.594607593162337</v>
      </c>
      <c r="T16" s="144">
        <f t="shared" si="4"/>
        <v>25.084467828512185</v>
      </c>
      <c r="U16" s="153">
        <f t="shared" si="5"/>
        <v>3.9273310824691197</v>
      </c>
      <c r="V16" s="22">
        <f t="shared" si="0"/>
        <v>88.489506171347657</v>
      </c>
    </row>
    <row r="17" spans="1:22" ht="14.4" x14ac:dyDescent="0.3">
      <c r="A17" s="89">
        <f>'Lista de Compra'!A16</f>
        <v>13</v>
      </c>
      <c r="B17" s="151">
        <f>'Lista de Compra'!I16</f>
        <v>1000</v>
      </c>
      <c r="C17" s="152">
        <f>'Lista de Compra'!L16</f>
        <v>9.5162253152136361E-3</v>
      </c>
      <c r="E17" s="153">
        <f t="shared" si="6"/>
        <v>918.50606742442017</v>
      </c>
      <c r="F17" s="153">
        <f t="shared" si="6"/>
        <v>3.3306788603247726</v>
      </c>
      <c r="G17" s="153">
        <f t="shared" si="6"/>
        <v>10.467847846734999</v>
      </c>
      <c r="H17" s="153">
        <f t="shared" si="6"/>
        <v>14.274337972820454</v>
      </c>
      <c r="I17" s="153">
        <f t="shared" si="6"/>
        <v>0.95162253152136356</v>
      </c>
      <c r="J17" s="153">
        <f t="shared" si="6"/>
        <v>1.7129205567384544</v>
      </c>
      <c r="K17" s="153">
        <f t="shared" si="6"/>
        <v>4.6629504044546817</v>
      </c>
      <c r="L17" s="153">
        <f t="shared" si="6"/>
        <v>10.087198834126454</v>
      </c>
      <c r="M17" s="153">
        <f t="shared" si="6"/>
        <v>3.482938465368191</v>
      </c>
      <c r="N17" s="153">
        <f t="shared" si="2"/>
        <v>73.480485393953614</v>
      </c>
      <c r="O17" s="153">
        <f t="shared" si="7"/>
        <v>14.274337972820454</v>
      </c>
      <c r="P17" s="153">
        <f t="shared" si="7"/>
        <v>2.8548675945640909</v>
      </c>
      <c r="Q17" s="153">
        <f t="shared" si="7"/>
        <v>3.0483324552223841</v>
      </c>
      <c r="R17" s="153">
        <f t="shared" si="7"/>
        <v>1.9032450630427271</v>
      </c>
      <c r="S17" s="153">
        <f t="shared" si="7"/>
        <v>42.823013918461363</v>
      </c>
      <c r="T17" s="144">
        <f t="shared" si="4"/>
        <v>79.016073659813372</v>
      </c>
      <c r="U17" s="153">
        <f t="shared" si="5"/>
        <v>12.371092909777728</v>
      </c>
      <c r="V17" s="22">
        <f t="shared" si="0"/>
        <v>278.74194443974505</v>
      </c>
    </row>
    <row r="18" spans="1:22" ht="14.4" x14ac:dyDescent="0.3">
      <c r="A18" s="89">
        <f>'Lista de Compra'!A17</f>
        <v>14</v>
      </c>
      <c r="B18" s="151">
        <f>'Lista de Compra'!I17</f>
        <v>300</v>
      </c>
      <c r="C18" s="152">
        <f>'Lista de Compra'!L17</f>
        <v>7.431718817595411E-3</v>
      </c>
      <c r="E18" s="153">
        <f t="shared" si="6"/>
        <v>717.30950027430902</v>
      </c>
      <c r="F18" s="153">
        <f t="shared" si="6"/>
        <v>2.6011015861583937</v>
      </c>
      <c r="G18" s="153">
        <f t="shared" si="6"/>
        <v>8.1748906993549522</v>
      </c>
      <c r="H18" s="153">
        <f t="shared" si="6"/>
        <v>11.147578226393117</v>
      </c>
      <c r="I18" s="153">
        <f t="shared" si="6"/>
        <v>0.74317188175954108</v>
      </c>
      <c r="J18" s="153">
        <f t="shared" si="6"/>
        <v>1.3377093871671739</v>
      </c>
      <c r="K18" s="153">
        <f t="shared" si="6"/>
        <v>3.6415422206217514</v>
      </c>
      <c r="L18" s="153">
        <f t="shared" si="6"/>
        <v>7.8776219466511357</v>
      </c>
      <c r="M18" s="153">
        <f t="shared" si="6"/>
        <v>2.7200090872399203</v>
      </c>
      <c r="N18" s="153">
        <f t="shared" si="2"/>
        <v>57.384760021944722</v>
      </c>
      <c r="O18" s="153">
        <f t="shared" si="7"/>
        <v>11.147578226393117</v>
      </c>
      <c r="P18" s="153">
        <f t="shared" si="7"/>
        <v>2.2295156452786231</v>
      </c>
      <c r="Q18" s="153">
        <f t="shared" si="7"/>
        <v>2.3806024888403381</v>
      </c>
      <c r="R18" s="153">
        <f t="shared" si="7"/>
        <v>1.4863437635190822</v>
      </c>
      <c r="S18" s="153">
        <f t="shared" si="7"/>
        <v>33.442734679179352</v>
      </c>
      <c r="T18" s="144">
        <f t="shared" si="4"/>
        <v>61.707790858139973</v>
      </c>
      <c r="U18" s="153">
        <f t="shared" si="5"/>
        <v>9.6612344628740345</v>
      </c>
      <c r="V18" s="22">
        <f t="shared" si="0"/>
        <v>217.68418518151523</v>
      </c>
    </row>
    <row r="19" spans="1:22" ht="14.4" x14ac:dyDescent="0.3">
      <c r="A19" s="89">
        <f>'Lista de Compra'!A18</f>
        <v>15</v>
      </c>
      <c r="B19" s="151">
        <f>'Lista de Compra'!I18</f>
        <v>75</v>
      </c>
      <c r="C19" s="152">
        <f>'Lista de Compra'!L18</f>
        <v>3.4326384172734901E-3</v>
      </c>
      <c r="E19" s="153">
        <f t="shared" si="6"/>
        <v>331.31826003523724</v>
      </c>
      <c r="F19" s="153">
        <f t="shared" si="6"/>
        <v>1.2014234460457216</v>
      </c>
      <c r="G19" s="153">
        <f t="shared" si="6"/>
        <v>3.7759022590008389</v>
      </c>
      <c r="H19" s="153">
        <f t="shared" si="6"/>
        <v>5.148957625910235</v>
      </c>
      <c r="I19" s="153">
        <f t="shared" si="6"/>
        <v>0.34326384172734903</v>
      </c>
      <c r="J19" s="153">
        <f t="shared" si="6"/>
        <v>0.61787491510922821</v>
      </c>
      <c r="K19" s="153">
        <f t="shared" si="6"/>
        <v>1.6819928244640101</v>
      </c>
      <c r="L19" s="153">
        <f t="shared" si="6"/>
        <v>3.6385967223098996</v>
      </c>
      <c r="M19" s="153">
        <f t="shared" si="6"/>
        <v>1.2563456607220973</v>
      </c>
      <c r="N19" s="153">
        <f t="shared" si="2"/>
        <v>26.50546080281898</v>
      </c>
      <c r="O19" s="153">
        <f t="shared" si="7"/>
        <v>5.148957625910235</v>
      </c>
      <c r="P19" s="153">
        <f t="shared" si="7"/>
        <v>1.0297915251820471</v>
      </c>
      <c r="Q19" s="153">
        <f t="shared" si="7"/>
        <v>1.0995770642052169</v>
      </c>
      <c r="R19" s="153">
        <f t="shared" si="7"/>
        <v>0.68652768345469806</v>
      </c>
      <c r="S19" s="153">
        <f t="shared" si="7"/>
        <v>15.446872877730705</v>
      </c>
      <c r="T19" s="144">
        <f t="shared" si="4"/>
        <v>28.502226570146966</v>
      </c>
      <c r="U19" s="153">
        <f t="shared" si="5"/>
        <v>4.4624299424555369</v>
      </c>
      <c r="V19" s="22">
        <f t="shared" si="0"/>
        <v>100.54620138719378</v>
      </c>
    </row>
    <row r="20" spans="1:22" ht="14.4" x14ac:dyDescent="0.3">
      <c r="A20" s="89">
        <f>'Lista de Compra'!A19</f>
        <v>16</v>
      </c>
      <c r="B20" s="151">
        <f>'Lista de Compra'!I19</f>
        <v>150</v>
      </c>
      <c r="C20" s="152">
        <f>'Lista de Compra'!L19</f>
        <v>1.103428982978343E-2</v>
      </c>
      <c r="E20" s="153">
        <f t="shared" si="6"/>
        <v>1065.0296543706968</v>
      </c>
      <c r="F20" s="153">
        <f t="shared" si="6"/>
        <v>3.8620014404242005</v>
      </c>
      <c r="G20" s="153">
        <f t="shared" si="6"/>
        <v>12.137718812761774</v>
      </c>
      <c r="H20" s="153">
        <f t="shared" si="6"/>
        <v>16.551434744675145</v>
      </c>
      <c r="I20" s="153">
        <f t="shared" si="6"/>
        <v>1.103428982978343</v>
      </c>
      <c r="J20" s="153">
        <f t="shared" si="6"/>
        <v>1.9861721693610175</v>
      </c>
      <c r="K20" s="153">
        <f t="shared" si="6"/>
        <v>5.4068020165938808</v>
      </c>
      <c r="L20" s="153">
        <f t="shared" si="6"/>
        <v>11.696347219570436</v>
      </c>
      <c r="M20" s="153">
        <f t="shared" si="6"/>
        <v>4.0385500777007355</v>
      </c>
      <c r="N20" s="153">
        <f t="shared" si="2"/>
        <v>85.202372349655747</v>
      </c>
      <c r="O20" s="153">
        <f t="shared" si="7"/>
        <v>16.551434744675145</v>
      </c>
      <c r="P20" s="153">
        <f t="shared" si="7"/>
        <v>3.3102869489350293</v>
      </c>
      <c r="Q20" s="153">
        <f t="shared" si="7"/>
        <v>3.5346140611745263</v>
      </c>
      <c r="R20" s="153">
        <f t="shared" si="7"/>
        <v>2.206857965956686</v>
      </c>
      <c r="S20" s="153">
        <f t="shared" si="7"/>
        <v>49.654304234025439</v>
      </c>
      <c r="T20" s="144">
        <f t="shared" si="4"/>
        <v>91.621018743640747</v>
      </c>
      <c r="U20" s="153">
        <f t="shared" si="5"/>
        <v>14.34457677871846</v>
      </c>
      <c r="V20" s="22">
        <f t="shared" si="0"/>
        <v>323.20792129084731</v>
      </c>
    </row>
    <row r="21" spans="1:22" ht="14.4" x14ac:dyDescent="0.3">
      <c r="A21" s="89">
        <f>'Lista de Compra'!A20</f>
        <v>17</v>
      </c>
      <c r="B21" s="151">
        <f>'Lista de Compra'!I20</f>
        <v>200</v>
      </c>
      <c r="C21" s="152">
        <f>'Lista de Compra'!L20</f>
        <v>2.2113895018210736E-2</v>
      </c>
      <c r="E21" s="153">
        <f t="shared" si="6"/>
        <v>2134.4331471577002</v>
      </c>
      <c r="F21" s="153">
        <f t="shared" si="6"/>
        <v>7.7398632563737575</v>
      </c>
      <c r="G21" s="153">
        <f t="shared" si="6"/>
        <v>24.325284520031811</v>
      </c>
      <c r="H21" s="153">
        <f t="shared" si="6"/>
        <v>33.170842527316104</v>
      </c>
      <c r="I21" s="153">
        <f t="shared" si="6"/>
        <v>2.2113895018210736</v>
      </c>
      <c r="J21" s="153">
        <f t="shared" si="6"/>
        <v>3.9805011032779327</v>
      </c>
      <c r="K21" s="153">
        <f t="shared" si="6"/>
        <v>10.835808558923262</v>
      </c>
      <c r="L21" s="153">
        <f t="shared" si="6"/>
        <v>23.44072871930338</v>
      </c>
      <c r="M21" s="153">
        <f t="shared" si="6"/>
        <v>8.0936855766651288</v>
      </c>
      <c r="N21" s="153">
        <f t="shared" si="2"/>
        <v>170.75465177261603</v>
      </c>
      <c r="O21" s="153">
        <f t="shared" si="7"/>
        <v>33.170842527316104</v>
      </c>
      <c r="P21" s="153">
        <f t="shared" si="7"/>
        <v>6.6341685054632213</v>
      </c>
      <c r="Q21" s="153">
        <f t="shared" si="7"/>
        <v>7.0837439911834448</v>
      </c>
      <c r="R21" s="153">
        <f t="shared" si="7"/>
        <v>4.4227790036421473</v>
      </c>
      <c r="S21" s="153">
        <f t="shared" si="7"/>
        <v>99.512527581948319</v>
      </c>
      <c r="T21" s="144">
        <f t="shared" si="4"/>
        <v>183.61830450470919</v>
      </c>
      <c r="U21" s="153">
        <f t="shared" si="5"/>
        <v>28.748063523673956</v>
      </c>
      <c r="V21" s="22">
        <f t="shared" si="0"/>
        <v>647.7431851742648</v>
      </c>
    </row>
    <row r="22" spans="1:22" ht="14.4" x14ac:dyDescent="0.3">
      <c r="A22" s="89">
        <f>'Lista de Compra'!A21</f>
        <v>18</v>
      </c>
      <c r="B22" s="151">
        <f>'Lista de Compra'!I21</f>
        <v>50</v>
      </c>
      <c r="C22" s="152">
        <f>'Lista de Compra'!L21</f>
        <v>1.0498058085830916E-2</v>
      </c>
      <c r="E22" s="153">
        <f t="shared" si="6"/>
        <v>1013.2725664444</v>
      </c>
      <c r="F22" s="153">
        <f t="shared" si="6"/>
        <v>3.6743203300408207</v>
      </c>
      <c r="G22" s="153">
        <f t="shared" si="6"/>
        <v>11.547863894414007</v>
      </c>
      <c r="H22" s="153">
        <f t="shared" si="6"/>
        <v>15.747087128746374</v>
      </c>
      <c r="I22" s="153">
        <f t="shared" si="6"/>
        <v>1.0498058085830917</v>
      </c>
      <c r="J22" s="153">
        <f t="shared" si="6"/>
        <v>1.889650455449565</v>
      </c>
      <c r="K22" s="153">
        <f t="shared" si="6"/>
        <v>5.1440484620571487</v>
      </c>
      <c r="L22" s="153">
        <f t="shared" si="6"/>
        <v>11.127941570980772</v>
      </c>
      <c r="M22" s="153">
        <f t="shared" si="6"/>
        <v>3.8422892594141156</v>
      </c>
      <c r="N22" s="153">
        <f t="shared" si="2"/>
        <v>81.061805315552007</v>
      </c>
      <c r="O22" s="153">
        <f t="shared" si="7"/>
        <v>15.747087128746374</v>
      </c>
      <c r="P22" s="153">
        <f t="shared" si="7"/>
        <v>3.1494174257492751</v>
      </c>
      <c r="Q22" s="153">
        <f t="shared" si="7"/>
        <v>3.3628429466342173</v>
      </c>
      <c r="R22" s="153">
        <f t="shared" si="7"/>
        <v>2.0996116171661834</v>
      </c>
      <c r="S22" s="153">
        <f t="shared" si="7"/>
        <v>47.241261386239124</v>
      </c>
      <c r="T22" s="144">
        <f t="shared" si="4"/>
        <v>87.16852570407984</v>
      </c>
      <c r="U22" s="153">
        <f t="shared" si="5"/>
        <v>13.647475511580192</v>
      </c>
      <c r="V22" s="22">
        <f t="shared" si="0"/>
        <v>307.50103394543311</v>
      </c>
    </row>
    <row r="23" spans="1:22" ht="14.4" x14ac:dyDescent="0.3">
      <c r="A23" s="89">
        <f>'Lista de Compra'!A22</f>
        <v>19</v>
      </c>
      <c r="B23" s="151">
        <f>'Lista de Compra'!I22</f>
        <v>60</v>
      </c>
      <c r="C23" s="152">
        <f>'Lista de Compra'!L22</f>
        <v>4.54059893611622E-3</v>
      </c>
      <c r="E23" s="153">
        <f t="shared" si="6"/>
        <v>438.25860931393754</v>
      </c>
      <c r="F23" s="153">
        <f t="shared" si="6"/>
        <v>1.5892096276406771</v>
      </c>
      <c r="G23" s="153">
        <f t="shared" si="6"/>
        <v>4.9946588297278423</v>
      </c>
      <c r="H23" s="153">
        <f t="shared" si="6"/>
        <v>6.8108984041743303</v>
      </c>
      <c r="I23" s="153">
        <f t="shared" si="6"/>
        <v>0.45405989361162202</v>
      </c>
      <c r="J23" s="153">
        <f t="shared" si="6"/>
        <v>0.81730780850091955</v>
      </c>
      <c r="K23" s="153">
        <f t="shared" si="6"/>
        <v>2.2248934786969476</v>
      </c>
      <c r="L23" s="153">
        <f t="shared" si="6"/>
        <v>4.8130348722831933</v>
      </c>
      <c r="M23" s="153">
        <f t="shared" si="6"/>
        <v>1.6618592106185366</v>
      </c>
      <c r="N23" s="153">
        <f t="shared" si="2"/>
        <v>35.060688745115002</v>
      </c>
      <c r="O23" s="153">
        <f t="shared" si="7"/>
        <v>6.8108984041743303</v>
      </c>
      <c r="P23" s="153">
        <f t="shared" si="7"/>
        <v>1.3621796808348661</v>
      </c>
      <c r="Q23" s="153">
        <f t="shared" si="7"/>
        <v>1.4544900572061086</v>
      </c>
      <c r="R23" s="153">
        <f t="shared" si="7"/>
        <v>0.90811978722324405</v>
      </c>
      <c r="S23" s="153">
        <f t="shared" si="7"/>
        <v>20.43269521252299</v>
      </c>
      <c r="T23" s="144">
        <f t="shared" si="4"/>
        <v>37.701955146253809</v>
      </c>
      <c r="U23" s="153">
        <f t="shared" si="5"/>
        <v>5.9027786169510863</v>
      </c>
      <c r="V23" s="22">
        <f t="shared" si="0"/>
        <v>132.99972777553552</v>
      </c>
    </row>
    <row r="24" spans="1:22" ht="14.4" x14ac:dyDescent="0.3">
      <c r="A24" s="89">
        <f>'Lista de Compra'!A23</f>
        <v>20</v>
      </c>
      <c r="B24" s="151">
        <f>'Lista de Compra'!I23</f>
        <v>30</v>
      </c>
      <c r="C24" s="152">
        <f>'Lista de Compra'!L23</f>
        <v>4.531535864387446E-4</v>
      </c>
      <c r="E24" s="153">
        <f t="shared" si="6"/>
        <v>43.738384163067629</v>
      </c>
      <c r="F24" s="153">
        <f t="shared" si="6"/>
        <v>0.1586037552535606</v>
      </c>
      <c r="G24" s="153">
        <f t="shared" si="6"/>
        <v>0.49846894508261907</v>
      </c>
      <c r="H24" s="153">
        <f t="shared" si="6"/>
        <v>0.67973037965811689</v>
      </c>
      <c r="I24" s="153">
        <f t="shared" si="6"/>
        <v>4.5315358643874461E-2</v>
      </c>
      <c r="J24" s="153">
        <f t="shared" si="6"/>
        <v>8.1567645558974028E-2</v>
      </c>
      <c r="K24" s="153">
        <f t="shared" si="6"/>
        <v>0.22204525735498484</v>
      </c>
      <c r="L24" s="153">
        <f t="shared" si="6"/>
        <v>0.48034280162506926</v>
      </c>
      <c r="M24" s="153">
        <f t="shared" si="6"/>
        <v>0.16585421263658051</v>
      </c>
      <c r="N24" s="153">
        <f t="shared" si="2"/>
        <v>3.4990707330454103</v>
      </c>
      <c r="O24" s="153">
        <f t="shared" si="7"/>
        <v>0.67973037965811689</v>
      </c>
      <c r="P24" s="153">
        <f t="shared" si="7"/>
        <v>0.13594607593162339</v>
      </c>
      <c r="Q24" s="153">
        <f t="shared" si="7"/>
        <v>0.14515868834392304</v>
      </c>
      <c r="R24" s="153">
        <f t="shared" si="7"/>
        <v>9.0630717287748921E-2</v>
      </c>
      <c r="S24" s="153">
        <f t="shared" si="7"/>
        <v>2.0391911389743509</v>
      </c>
      <c r="T24" s="144">
        <f t="shared" si="4"/>
        <v>3.7626701742768276</v>
      </c>
      <c r="U24" s="153">
        <f t="shared" si="5"/>
        <v>0.58909966237036793</v>
      </c>
      <c r="V24" s="22">
        <f t="shared" si="0"/>
        <v>13.273425925702147</v>
      </c>
    </row>
    <row r="25" spans="1:22" ht="14.4" x14ac:dyDescent="0.3">
      <c r="A25" s="89">
        <f>'Lista de Compra'!A24</f>
        <v>21</v>
      </c>
      <c r="B25" s="151">
        <f>'Lista de Compra'!I24</f>
        <v>120</v>
      </c>
      <c r="C25" s="152">
        <f>'Lista de Compra'!L24</f>
        <v>8.5192874250483979E-4</v>
      </c>
      <c r="E25" s="153">
        <f t="shared" ref="E25:M34" si="8">E$4*$C25</f>
        <v>82.228162226567136</v>
      </c>
      <c r="F25" s="153">
        <f t="shared" si="8"/>
        <v>0.2981750598766939</v>
      </c>
      <c r="G25" s="153">
        <f t="shared" si="8"/>
        <v>0.93712161675532379</v>
      </c>
      <c r="H25" s="153">
        <f t="shared" si="8"/>
        <v>1.2778931137572598</v>
      </c>
      <c r="I25" s="153">
        <f t="shared" si="8"/>
        <v>8.5192874250483983E-2</v>
      </c>
      <c r="J25" s="153">
        <f t="shared" si="8"/>
        <v>0.15334717365087117</v>
      </c>
      <c r="K25" s="153">
        <f t="shared" si="8"/>
        <v>0.4174450838273715</v>
      </c>
      <c r="L25" s="153">
        <f t="shared" si="8"/>
        <v>0.9030444670551302</v>
      </c>
      <c r="M25" s="153">
        <f t="shared" si="8"/>
        <v>0.31180591975677135</v>
      </c>
      <c r="N25" s="153">
        <f t="shared" si="2"/>
        <v>6.5782529781253709</v>
      </c>
      <c r="O25" s="153">
        <f t="shared" ref="O25:S34" si="9">O$4*$C25</f>
        <v>1.2778931137572598</v>
      </c>
      <c r="P25" s="153">
        <f t="shared" si="9"/>
        <v>0.25557862275145193</v>
      </c>
      <c r="Q25" s="153">
        <f t="shared" si="9"/>
        <v>0.27289833408657532</v>
      </c>
      <c r="R25" s="153">
        <f t="shared" si="9"/>
        <v>0.17038574850096797</v>
      </c>
      <c r="S25" s="153">
        <f t="shared" si="9"/>
        <v>3.8336793412717789</v>
      </c>
      <c r="T25" s="144">
        <f t="shared" si="4"/>
        <v>7.0738199276404359</v>
      </c>
      <c r="U25" s="153">
        <f t="shared" si="5"/>
        <v>1.1075073652562917</v>
      </c>
      <c r="V25" s="22">
        <f t="shared" si="0"/>
        <v>24.954040740320039</v>
      </c>
    </row>
    <row r="26" spans="1:22" ht="14.4" x14ac:dyDescent="0.3">
      <c r="A26" s="89">
        <f>'Lista de Compra'!A25</f>
        <v>22</v>
      </c>
      <c r="B26" s="151">
        <f>'Lista de Compra'!I25</f>
        <v>50</v>
      </c>
      <c r="C26" s="152">
        <f>'Lista de Compra'!L25</f>
        <v>7.6280853717188674E-4</v>
      </c>
      <c r="E26" s="153">
        <f t="shared" si="8"/>
        <v>73.626280007830502</v>
      </c>
      <c r="F26" s="153">
        <f t="shared" si="8"/>
        <v>0.26698298801016035</v>
      </c>
      <c r="G26" s="153">
        <f t="shared" si="8"/>
        <v>0.83908939088907541</v>
      </c>
      <c r="H26" s="153">
        <f t="shared" si="8"/>
        <v>1.14421280575783</v>
      </c>
      <c r="I26" s="153">
        <f t="shared" si="8"/>
        <v>7.6280853717188679E-2</v>
      </c>
      <c r="J26" s="153">
        <f t="shared" si="8"/>
        <v>0.13730553669093962</v>
      </c>
      <c r="K26" s="153">
        <f t="shared" si="8"/>
        <v>0.37377618321422451</v>
      </c>
      <c r="L26" s="153">
        <f t="shared" si="8"/>
        <v>0.80857704940219999</v>
      </c>
      <c r="M26" s="153">
        <f t="shared" si="8"/>
        <v>0.27918792460491054</v>
      </c>
      <c r="N26" s="153">
        <f t="shared" si="2"/>
        <v>5.8901024006264402</v>
      </c>
      <c r="O26" s="153">
        <f t="shared" si="9"/>
        <v>1.14421280575783</v>
      </c>
      <c r="P26" s="153">
        <f t="shared" si="9"/>
        <v>0.22884256115156601</v>
      </c>
      <c r="Q26" s="153">
        <f t="shared" si="9"/>
        <v>0.24435045871227046</v>
      </c>
      <c r="R26" s="153">
        <f t="shared" si="9"/>
        <v>0.15256170743437736</v>
      </c>
      <c r="S26" s="153">
        <f t="shared" si="9"/>
        <v>3.4326384172734903</v>
      </c>
      <c r="T26" s="144">
        <f t="shared" si="4"/>
        <v>6.333828126699327</v>
      </c>
      <c r="U26" s="153">
        <f t="shared" si="5"/>
        <v>0.99165109832345277</v>
      </c>
      <c r="V26" s="22">
        <f t="shared" si="0"/>
        <v>22.343600308265284</v>
      </c>
    </row>
    <row r="27" spans="1:22" ht="14.4" x14ac:dyDescent="0.3">
      <c r="A27" s="89">
        <f>'Lista de Compra'!A26</f>
        <v>23</v>
      </c>
      <c r="B27" s="151">
        <f>'Lista de Compra'!I26</f>
        <v>15</v>
      </c>
      <c r="C27" s="152">
        <f>'Lista de Compra'!L26</f>
        <v>4.8260856955726299E-4</v>
      </c>
      <c r="E27" s="153">
        <f t="shared" si="8"/>
        <v>46.581379133667021</v>
      </c>
      <c r="F27" s="153">
        <f t="shared" si="8"/>
        <v>0.16891299934504206</v>
      </c>
      <c r="G27" s="153">
        <f t="shared" si="8"/>
        <v>0.5308694265129893</v>
      </c>
      <c r="H27" s="153">
        <f t="shared" si="8"/>
        <v>0.72391285433589447</v>
      </c>
      <c r="I27" s="153">
        <f t="shared" si="8"/>
        <v>4.8260856955726301E-2</v>
      </c>
      <c r="J27" s="153">
        <f t="shared" si="8"/>
        <v>8.6869542520307333E-2</v>
      </c>
      <c r="K27" s="153">
        <f t="shared" si="8"/>
        <v>0.23647819908305887</v>
      </c>
      <c r="L27" s="153">
        <f t="shared" si="8"/>
        <v>0.51156508373069876</v>
      </c>
      <c r="M27" s="153">
        <f t="shared" si="8"/>
        <v>0.17663473645795824</v>
      </c>
      <c r="N27" s="153">
        <f t="shared" si="2"/>
        <v>3.7265103306933618</v>
      </c>
      <c r="O27" s="153">
        <f t="shared" si="9"/>
        <v>0.72391285433589447</v>
      </c>
      <c r="P27" s="153">
        <f t="shared" si="9"/>
        <v>0.14478257086717888</v>
      </c>
      <c r="Q27" s="153">
        <f t="shared" si="9"/>
        <v>0.15459400308627805</v>
      </c>
      <c r="R27" s="153">
        <f t="shared" si="9"/>
        <v>9.6521713911452603E-2</v>
      </c>
      <c r="S27" s="153">
        <f t="shared" si="9"/>
        <v>2.1717385630076835</v>
      </c>
      <c r="T27" s="144">
        <f t="shared" si="4"/>
        <v>4.0072437356048214</v>
      </c>
      <c r="U27" s="153">
        <f t="shared" si="5"/>
        <v>0.62739114042444188</v>
      </c>
      <c r="V27" s="22">
        <f t="shared" si="0"/>
        <v>14.136198610872787</v>
      </c>
    </row>
    <row r="28" spans="1:22" ht="14.4" x14ac:dyDescent="0.3">
      <c r="A28" s="89">
        <f>'Lista de Compra'!A27</f>
        <v>24</v>
      </c>
      <c r="B28" s="151">
        <f>'Lista de Compra'!I27</f>
        <v>50</v>
      </c>
      <c r="C28" s="152">
        <f>'Lista de Compra'!L27</f>
        <v>2.9152880727559235E-3</v>
      </c>
      <c r="E28" s="153">
        <f t="shared" si="8"/>
        <v>281.38360478240173</v>
      </c>
      <c r="F28" s="153">
        <f t="shared" si="8"/>
        <v>1.0203508254645732</v>
      </c>
      <c r="G28" s="153">
        <f t="shared" si="8"/>
        <v>3.206816880031516</v>
      </c>
      <c r="H28" s="153">
        <f t="shared" si="8"/>
        <v>4.3729321091338855</v>
      </c>
      <c r="I28" s="153">
        <f t="shared" si="8"/>
        <v>0.29152880727559233</v>
      </c>
      <c r="J28" s="153">
        <f t="shared" si="8"/>
        <v>0.5247518530960662</v>
      </c>
      <c r="K28" s="153">
        <f t="shared" si="8"/>
        <v>1.4284911556504025</v>
      </c>
      <c r="L28" s="153">
        <f t="shared" si="8"/>
        <v>3.0902053571212789</v>
      </c>
      <c r="M28" s="153">
        <f t="shared" si="8"/>
        <v>1.0669954346286681</v>
      </c>
      <c r="N28" s="153">
        <f t="shared" si="2"/>
        <v>22.510688382592139</v>
      </c>
      <c r="O28" s="153">
        <f t="shared" si="9"/>
        <v>4.3729321091338855</v>
      </c>
      <c r="P28" s="153">
        <f t="shared" si="9"/>
        <v>0.87458642182677704</v>
      </c>
      <c r="Q28" s="153">
        <f t="shared" si="9"/>
        <v>0.93385422834590492</v>
      </c>
      <c r="R28" s="153">
        <f t="shared" si="9"/>
        <v>0.58305761455118466</v>
      </c>
      <c r="S28" s="153">
        <f t="shared" si="9"/>
        <v>13.118796327401656</v>
      </c>
      <c r="T28" s="144">
        <f t="shared" si="4"/>
        <v>24.206511454514256</v>
      </c>
      <c r="U28" s="153">
        <f t="shared" si="5"/>
        <v>3.7898744945827008</v>
      </c>
      <c r="V28" s="22">
        <f t="shared" si="0"/>
        <v>85.392373455350494</v>
      </c>
    </row>
    <row r="29" spans="1:22" ht="14.4" x14ac:dyDescent="0.3">
      <c r="A29" s="89">
        <f>'Lista de Compra'!A28</f>
        <v>25</v>
      </c>
      <c r="B29" s="151">
        <f>'Lista de Compra'!I28</f>
        <v>100</v>
      </c>
      <c r="C29" s="152">
        <f>'Lista de Compra'!L28</f>
        <v>1.0724634879050289E-2</v>
      </c>
      <c r="E29" s="153">
        <f t="shared" si="8"/>
        <v>1035.1417585259339</v>
      </c>
      <c r="F29" s="153">
        <f t="shared" si="8"/>
        <v>3.7536222076676014</v>
      </c>
      <c r="G29" s="153">
        <f t="shared" si="8"/>
        <v>11.797098366955318</v>
      </c>
      <c r="H29" s="153">
        <f t="shared" si="8"/>
        <v>16.086952318575435</v>
      </c>
      <c r="I29" s="153">
        <f t="shared" si="8"/>
        <v>1.072463487905029</v>
      </c>
      <c r="J29" s="153">
        <f t="shared" si="8"/>
        <v>1.930434278229052</v>
      </c>
      <c r="K29" s="153">
        <f t="shared" si="8"/>
        <v>5.2550710907346421</v>
      </c>
      <c r="L29" s="153">
        <f t="shared" si="8"/>
        <v>11.368112971793307</v>
      </c>
      <c r="M29" s="153">
        <f t="shared" si="8"/>
        <v>3.925216365732406</v>
      </c>
      <c r="N29" s="153">
        <f t="shared" si="2"/>
        <v>82.811340682074714</v>
      </c>
      <c r="O29" s="153">
        <f t="shared" si="9"/>
        <v>16.086952318575435</v>
      </c>
      <c r="P29" s="153">
        <f t="shared" si="9"/>
        <v>3.2173904637150867</v>
      </c>
      <c r="Q29" s="153">
        <f t="shared" si="9"/>
        <v>3.4354222908061791</v>
      </c>
      <c r="R29" s="153">
        <f t="shared" si="9"/>
        <v>2.144926975810058</v>
      </c>
      <c r="S29" s="153">
        <f t="shared" si="9"/>
        <v>48.260856955726304</v>
      </c>
      <c r="T29" s="144">
        <f t="shared" si="4"/>
        <v>89.049860791218265</v>
      </c>
      <c r="U29" s="153">
        <f t="shared" si="5"/>
        <v>13.942025342765376</v>
      </c>
      <c r="V29" s="22">
        <f t="shared" si="0"/>
        <v>314.13774690828416</v>
      </c>
    </row>
    <row r="30" spans="1:22" ht="14.4" x14ac:dyDescent="0.3">
      <c r="A30" s="89">
        <f>'Lista de Compra'!A29</f>
        <v>26</v>
      </c>
      <c r="B30" s="151">
        <f>'Lista de Compra'!I29</f>
        <v>200</v>
      </c>
      <c r="C30" s="152">
        <f>'Lista de Compra'!L29</f>
        <v>2.8820568097504152E-2</v>
      </c>
      <c r="E30" s="153">
        <f t="shared" si="8"/>
        <v>2781.7612327711008</v>
      </c>
      <c r="F30" s="153">
        <f t="shared" si="8"/>
        <v>10.087198834126454</v>
      </c>
      <c r="G30" s="153">
        <f t="shared" si="8"/>
        <v>31.702624907254567</v>
      </c>
      <c r="H30" s="153">
        <f t="shared" si="8"/>
        <v>43.230852146256225</v>
      </c>
      <c r="I30" s="153">
        <f t="shared" si="8"/>
        <v>2.8820568097504151</v>
      </c>
      <c r="J30" s="153">
        <f t="shared" si="8"/>
        <v>5.1877022575507477</v>
      </c>
      <c r="K30" s="153">
        <f t="shared" si="8"/>
        <v>14.122078367777034</v>
      </c>
      <c r="L30" s="153">
        <f t="shared" si="8"/>
        <v>30.549802183354402</v>
      </c>
      <c r="M30" s="153">
        <f t="shared" si="8"/>
        <v>10.54832792368652</v>
      </c>
      <c r="N30" s="153">
        <f t="shared" si="2"/>
        <v>222.54089862168806</v>
      </c>
      <c r="O30" s="153">
        <f t="shared" si="9"/>
        <v>43.230852146256225</v>
      </c>
      <c r="P30" s="153">
        <f t="shared" si="9"/>
        <v>8.6461704292512458</v>
      </c>
      <c r="Q30" s="153">
        <f t="shared" si="9"/>
        <v>9.2320925786735053</v>
      </c>
      <c r="R30" s="153">
        <f t="shared" si="9"/>
        <v>5.7641136195008302</v>
      </c>
      <c r="S30" s="153">
        <f t="shared" si="9"/>
        <v>129.69255643876869</v>
      </c>
      <c r="T30" s="144">
        <f t="shared" si="4"/>
        <v>239.30582308400619</v>
      </c>
      <c r="U30" s="153">
        <f t="shared" si="5"/>
        <v>37.4667385267554</v>
      </c>
      <c r="V30" s="22">
        <f t="shared" si="0"/>
        <v>844.18988887465662</v>
      </c>
    </row>
    <row r="31" spans="1:22" ht="14.4" x14ac:dyDescent="0.3">
      <c r="A31" s="89">
        <f>'Lista de Compra'!A30</f>
        <v>27</v>
      </c>
      <c r="B31" s="151">
        <f>'Lista de Compra'!I30</f>
        <v>30</v>
      </c>
      <c r="C31" s="152">
        <f>'Lista de Compra'!L30</f>
        <v>7.0827905560375782E-3</v>
      </c>
      <c r="E31" s="153">
        <f t="shared" si="8"/>
        <v>683.63094446874709</v>
      </c>
      <c r="F31" s="153">
        <f t="shared" si="8"/>
        <v>2.4789766946131522</v>
      </c>
      <c r="G31" s="153">
        <f t="shared" si="8"/>
        <v>7.791069611641336</v>
      </c>
      <c r="H31" s="153">
        <f t="shared" si="8"/>
        <v>10.624185834056368</v>
      </c>
      <c r="I31" s="153">
        <f t="shared" si="8"/>
        <v>0.70827905560375781</v>
      </c>
      <c r="J31" s="153">
        <f t="shared" si="8"/>
        <v>1.2749023000867641</v>
      </c>
      <c r="K31" s="153">
        <f t="shared" si="8"/>
        <v>3.4705673724584134</v>
      </c>
      <c r="L31" s="153">
        <f t="shared" si="8"/>
        <v>7.507757989399833</v>
      </c>
      <c r="M31" s="153">
        <f t="shared" si="8"/>
        <v>2.5923013435097535</v>
      </c>
      <c r="N31" s="153">
        <f t="shared" si="2"/>
        <v>54.690475557499767</v>
      </c>
      <c r="O31" s="153">
        <f t="shared" si="9"/>
        <v>10.624185834056368</v>
      </c>
      <c r="P31" s="153">
        <f t="shared" si="9"/>
        <v>2.1248371668112735</v>
      </c>
      <c r="Q31" s="153">
        <f t="shared" si="9"/>
        <v>2.2688302988155171</v>
      </c>
      <c r="R31" s="153">
        <f t="shared" si="9"/>
        <v>1.4165581112075156</v>
      </c>
      <c r="S31" s="153">
        <f t="shared" si="9"/>
        <v>31.872557502169101</v>
      </c>
      <c r="T31" s="144">
        <f t="shared" si="4"/>
        <v>58.810534823946817</v>
      </c>
      <c r="U31" s="153">
        <f t="shared" si="5"/>
        <v>9.2076277228488514</v>
      </c>
      <c r="V31" s="22">
        <f t="shared" si="0"/>
        <v>207.46364721872459</v>
      </c>
    </row>
    <row r="32" spans="1:22" ht="14.4" x14ac:dyDescent="0.3">
      <c r="A32" s="89">
        <f>'Lista de Compra'!A31</f>
        <v>28</v>
      </c>
      <c r="B32" s="151">
        <f>'Lista de Compra'!I31</f>
        <v>25</v>
      </c>
      <c r="C32" s="152">
        <f>'Lista de Compra'!L31</f>
        <v>2.8322099152421537E-4</v>
      </c>
      <c r="E32" s="153">
        <f t="shared" si="8"/>
        <v>27.336490101917267</v>
      </c>
      <c r="F32" s="153">
        <f t="shared" si="8"/>
        <v>9.912734703347538E-2</v>
      </c>
      <c r="G32" s="153">
        <f t="shared" si="8"/>
        <v>0.31154309067663688</v>
      </c>
      <c r="H32" s="153">
        <f t="shared" si="8"/>
        <v>0.42483148728632303</v>
      </c>
      <c r="I32" s="153">
        <f t="shared" si="8"/>
        <v>2.8322099152421537E-2</v>
      </c>
      <c r="J32" s="153">
        <f t="shared" si="8"/>
        <v>5.0979778474358764E-2</v>
      </c>
      <c r="K32" s="153">
        <f t="shared" si="8"/>
        <v>0.13877828584686552</v>
      </c>
      <c r="L32" s="153">
        <f t="shared" si="8"/>
        <v>0.30021425101566829</v>
      </c>
      <c r="M32" s="153">
        <f t="shared" si="8"/>
        <v>0.10365888289786282</v>
      </c>
      <c r="N32" s="153">
        <f t="shared" si="2"/>
        <v>2.1869192081533813</v>
      </c>
      <c r="O32" s="153">
        <f t="shared" si="9"/>
        <v>0.42483148728632303</v>
      </c>
      <c r="P32" s="153">
        <f t="shared" si="9"/>
        <v>8.4966297457264611E-2</v>
      </c>
      <c r="Q32" s="153">
        <f t="shared" si="9"/>
        <v>9.0724180214951905E-2</v>
      </c>
      <c r="R32" s="153">
        <f t="shared" si="9"/>
        <v>5.6644198304843074E-2</v>
      </c>
      <c r="S32" s="153">
        <f t="shared" si="9"/>
        <v>1.2744944618589691</v>
      </c>
      <c r="T32" s="144">
        <f t="shared" si="4"/>
        <v>2.3516688589230172</v>
      </c>
      <c r="U32" s="153">
        <f t="shared" si="5"/>
        <v>0.36818728898147995</v>
      </c>
      <c r="V32" s="22">
        <f t="shared" si="0"/>
        <v>8.2958912035638424</v>
      </c>
    </row>
    <row r="33" spans="1:22" ht="14.4" x14ac:dyDescent="0.3">
      <c r="A33" s="89">
        <f>'Lista de Compra'!A32</f>
        <v>29</v>
      </c>
      <c r="B33" s="151">
        <f>'Lista de Compra'!I32</f>
        <v>50</v>
      </c>
      <c r="C33" s="152">
        <f>'Lista de Compra'!L32</f>
        <v>6.7217781988413783E-4</v>
      </c>
      <c r="E33" s="153">
        <f t="shared" si="8"/>
        <v>64.878603175216981</v>
      </c>
      <c r="F33" s="153">
        <f t="shared" si="8"/>
        <v>0.23526223695944823</v>
      </c>
      <c r="G33" s="153">
        <f t="shared" si="8"/>
        <v>0.7393956018725516</v>
      </c>
      <c r="H33" s="153">
        <f t="shared" si="8"/>
        <v>1.0082667298262067</v>
      </c>
      <c r="I33" s="153">
        <f t="shared" si="8"/>
        <v>6.7217781988413786E-2</v>
      </c>
      <c r="J33" s="153">
        <f t="shared" si="8"/>
        <v>0.12099200757914481</v>
      </c>
      <c r="K33" s="153">
        <f t="shared" si="8"/>
        <v>0.32936713174322751</v>
      </c>
      <c r="L33" s="153">
        <f t="shared" si="8"/>
        <v>0.71250848907718611</v>
      </c>
      <c r="M33" s="153">
        <f t="shared" si="8"/>
        <v>0.24601708207759446</v>
      </c>
      <c r="N33" s="153">
        <f t="shared" si="2"/>
        <v>5.1902882540173589</v>
      </c>
      <c r="O33" s="153">
        <f t="shared" si="9"/>
        <v>1.0082667298262067</v>
      </c>
      <c r="P33" s="153">
        <f t="shared" si="9"/>
        <v>0.20165334596524134</v>
      </c>
      <c r="Q33" s="153">
        <f t="shared" si="9"/>
        <v>0.21531872104348587</v>
      </c>
      <c r="R33" s="153">
        <f t="shared" si="9"/>
        <v>0.13443556397682757</v>
      </c>
      <c r="S33" s="153">
        <f t="shared" si="9"/>
        <v>3.0248001894786203</v>
      </c>
      <c r="T33" s="144">
        <f t="shared" si="4"/>
        <v>5.5812940918439615</v>
      </c>
      <c r="U33" s="153">
        <f t="shared" si="5"/>
        <v>0.87383116584937914</v>
      </c>
      <c r="V33" s="22">
        <f t="shared" si="0"/>
        <v>19.688915123124854</v>
      </c>
    </row>
    <row r="34" spans="1:22" ht="14.4" x14ac:dyDescent="0.3">
      <c r="A34" s="89">
        <f>'Lista de Compra'!A33</f>
        <v>30</v>
      </c>
      <c r="B34" s="151">
        <f>'Lista de Compra'!I33</f>
        <v>200</v>
      </c>
      <c r="C34" s="152">
        <f>'Lista de Compra'!L33</f>
        <v>2.9908136704957142E-3</v>
      </c>
      <c r="E34" s="153">
        <f t="shared" si="8"/>
        <v>288.67333547624634</v>
      </c>
      <c r="F34" s="153">
        <f t="shared" si="8"/>
        <v>1.0467847846734999</v>
      </c>
      <c r="G34" s="153">
        <f t="shared" si="8"/>
        <v>3.2898950375452856</v>
      </c>
      <c r="H34" s="153">
        <f t="shared" si="8"/>
        <v>4.4862205057435709</v>
      </c>
      <c r="I34" s="153">
        <f t="shared" si="8"/>
        <v>0.29908136704957144</v>
      </c>
      <c r="J34" s="153">
        <f t="shared" si="8"/>
        <v>0.53834646068922853</v>
      </c>
      <c r="K34" s="153">
        <f t="shared" si="8"/>
        <v>1.4654986985428999</v>
      </c>
      <c r="L34" s="153">
        <f t="shared" si="8"/>
        <v>3.1702624907254573</v>
      </c>
      <c r="M34" s="153">
        <f t="shared" si="8"/>
        <v>1.0946378034014315</v>
      </c>
      <c r="N34" s="153">
        <f t="shared" si="2"/>
        <v>23.093866838099707</v>
      </c>
      <c r="O34" s="153">
        <f t="shared" si="9"/>
        <v>4.4862205057435709</v>
      </c>
      <c r="P34" s="153">
        <f t="shared" si="9"/>
        <v>0.89724410114871422</v>
      </c>
      <c r="Q34" s="153">
        <f t="shared" si="9"/>
        <v>0.95804734306989214</v>
      </c>
      <c r="R34" s="153">
        <f t="shared" si="9"/>
        <v>0.59816273409914289</v>
      </c>
      <c r="S34" s="153">
        <f t="shared" si="9"/>
        <v>13.458661517230714</v>
      </c>
      <c r="T34" s="144">
        <f t="shared" si="4"/>
        <v>24.833623150227062</v>
      </c>
      <c r="U34" s="153">
        <f t="shared" si="5"/>
        <v>3.8880577716444287</v>
      </c>
      <c r="V34" s="22">
        <f t="shared" si="0"/>
        <v>87.604611109634178</v>
      </c>
    </row>
    <row r="35" spans="1:22" ht="14.4" x14ac:dyDescent="0.3">
      <c r="A35" s="89">
        <f>'Lista de Compra'!A34</f>
        <v>31</v>
      </c>
      <c r="B35" s="151">
        <f>'Lista de Compra'!I34</f>
        <v>300</v>
      </c>
      <c r="C35" s="152">
        <f>'Lista de Compra'!L34</f>
        <v>6.7066730792934197E-3</v>
      </c>
      <c r="E35" s="153">
        <f t="shared" ref="E35:M44" si="10">E$4*$C35</f>
        <v>647.32808561340084</v>
      </c>
      <c r="F35" s="153">
        <f t="shared" si="10"/>
        <v>2.347335577752697</v>
      </c>
      <c r="G35" s="153">
        <f t="shared" si="10"/>
        <v>7.3773403872227616</v>
      </c>
      <c r="H35" s="153">
        <f t="shared" si="10"/>
        <v>10.06000961894013</v>
      </c>
      <c r="I35" s="153">
        <f t="shared" si="10"/>
        <v>0.67066730792934193</v>
      </c>
      <c r="J35" s="153">
        <f t="shared" si="10"/>
        <v>1.2072011542728156</v>
      </c>
      <c r="K35" s="153">
        <f t="shared" si="10"/>
        <v>3.2862698088537758</v>
      </c>
      <c r="L35" s="153">
        <f t="shared" si="10"/>
        <v>7.1090734640510247</v>
      </c>
      <c r="M35" s="153">
        <f t="shared" si="10"/>
        <v>2.4546423470213918</v>
      </c>
      <c r="N35" s="153">
        <f t="shared" si="2"/>
        <v>51.786246849072072</v>
      </c>
      <c r="O35" s="153">
        <f t="shared" ref="O35:S44" si="11">O$4*$C35</f>
        <v>10.06000961894013</v>
      </c>
      <c r="P35" s="153">
        <f t="shared" si="11"/>
        <v>2.0120019237880258</v>
      </c>
      <c r="Q35" s="153">
        <f t="shared" si="11"/>
        <v>2.148348587490061</v>
      </c>
      <c r="R35" s="153">
        <f t="shared" si="11"/>
        <v>1.3413346158586839</v>
      </c>
      <c r="S35" s="153">
        <f t="shared" si="11"/>
        <v>30.180028856820389</v>
      </c>
      <c r="T35" s="144">
        <f t="shared" si="4"/>
        <v>55.687518579297048</v>
      </c>
      <c r="U35" s="153">
        <f t="shared" si="5"/>
        <v>8.7186750030814455</v>
      </c>
      <c r="V35" s="22">
        <f t="shared" si="0"/>
        <v>196.44670370039177</v>
      </c>
    </row>
    <row r="36" spans="1:22" ht="14.4" x14ac:dyDescent="0.3">
      <c r="A36" s="89">
        <f>'Lista de Compra'!A35</f>
        <v>32</v>
      </c>
      <c r="B36" s="151">
        <f>'Lista de Compra'!I35</f>
        <v>800</v>
      </c>
      <c r="C36" s="152">
        <f>'Lista de Compra'!L35</f>
        <v>2.380566840758205E-2</v>
      </c>
      <c r="E36" s="153">
        <f t="shared" si="10"/>
        <v>2297.7231146998197</v>
      </c>
      <c r="F36" s="153">
        <f t="shared" si="10"/>
        <v>8.3319839426537179</v>
      </c>
      <c r="G36" s="153">
        <f t="shared" si="10"/>
        <v>26.186235248340257</v>
      </c>
      <c r="H36" s="153">
        <f t="shared" si="10"/>
        <v>35.708502611373078</v>
      </c>
      <c r="I36" s="153">
        <f t="shared" si="10"/>
        <v>2.3805668407582048</v>
      </c>
      <c r="J36" s="153">
        <f t="shared" si="10"/>
        <v>4.2850203133647691</v>
      </c>
      <c r="K36" s="153">
        <f t="shared" si="10"/>
        <v>11.664777519715205</v>
      </c>
      <c r="L36" s="153">
        <f t="shared" si="10"/>
        <v>25.234008512036972</v>
      </c>
      <c r="M36" s="153">
        <f t="shared" si="10"/>
        <v>8.7128746371750303</v>
      </c>
      <c r="N36" s="153">
        <f t="shared" si="2"/>
        <v>183.81784917598557</v>
      </c>
      <c r="O36" s="153">
        <f t="shared" si="11"/>
        <v>35.708502611373078</v>
      </c>
      <c r="P36" s="153">
        <f t="shared" si="11"/>
        <v>7.1417005222746148</v>
      </c>
      <c r="Q36" s="153">
        <f t="shared" si="11"/>
        <v>7.6256697610007578</v>
      </c>
      <c r="R36" s="153">
        <f t="shared" si="11"/>
        <v>4.7611336815164096</v>
      </c>
      <c r="S36" s="153">
        <f t="shared" si="11"/>
        <v>107.12550783411922</v>
      </c>
      <c r="T36" s="144">
        <f t="shared" si="4"/>
        <v>197.66560648867602</v>
      </c>
      <c r="U36" s="153">
        <f t="shared" si="5"/>
        <v>30.947368929856665</v>
      </c>
      <c r="V36" s="22">
        <f t="shared" ref="V36:V67" si="12">SUM(F36:U36)</f>
        <v>697.29730863021962</v>
      </c>
    </row>
    <row r="37" spans="1:22" ht="14.4" x14ac:dyDescent="0.3">
      <c r="A37" s="89">
        <f>'Lista de Compra'!A36</f>
        <v>33</v>
      </c>
      <c r="B37" s="151">
        <f>'Lista de Compra'!I36</f>
        <v>60</v>
      </c>
      <c r="C37" s="152">
        <f>'Lista de Compra'!L36</f>
        <v>2.8548675945640912E-3</v>
      </c>
      <c r="E37" s="153">
        <f t="shared" si="10"/>
        <v>275.55182022732606</v>
      </c>
      <c r="F37" s="153">
        <f t="shared" si="10"/>
        <v>0.99920365809743195</v>
      </c>
      <c r="G37" s="153">
        <f t="shared" si="10"/>
        <v>3.1403543540205003</v>
      </c>
      <c r="H37" s="153">
        <f t="shared" si="10"/>
        <v>4.2823013918461363</v>
      </c>
      <c r="I37" s="153">
        <f t="shared" si="10"/>
        <v>0.28548675945640911</v>
      </c>
      <c r="J37" s="153">
        <f t="shared" si="10"/>
        <v>0.51387616702153638</v>
      </c>
      <c r="K37" s="153">
        <f t="shared" si="10"/>
        <v>1.3988851213364046</v>
      </c>
      <c r="L37" s="153">
        <f t="shared" si="10"/>
        <v>3.0261596502379366</v>
      </c>
      <c r="M37" s="153">
        <f t="shared" si="10"/>
        <v>1.0448815396104574</v>
      </c>
      <c r="N37" s="153">
        <f t="shared" ref="N37:N68" si="13">$N$4*E37</f>
        <v>22.044145618186086</v>
      </c>
      <c r="O37" s="153">
        <f t="shared" si="11"/>
        <v>4.2823013918461363</v>
      </c>
      <c r="P37" s="153">
        <f t="shared" si="11"/>
        <v>0.85646027836922733</v>
      </c>
      <c r="Q37" s="153">
        <f t="shared" si="11"/>
        <v>0.91449973656671524</v>
      </c>
      <c r="R37" s="153">
        <f t="shared" si="11"/>
        <v>0.57097351891281822</v>
      </c>
      <c r="S37" s="153">
        <f t="shared" si="11"/>
        <v>12.846904175538411</v>
      </c>
      <c r="T37" s="144">
        <f t="shared" ref="T37:T68" si="14">T$4*C37</f>
        <v>23.704822097944017</v>
      </c>
      <c r="U37" s="153">
        <f t="shared" ref="U37:U68" si="15">U$4*$C37</f>
        <v>3.7113278729333183</v>
      </c>
      <c r="V37" s="22">
        <f t="shared" si="12"/>
        <v>83.622583331923551</v>
      </c>
    </row>
    <row r="38" spans="1:22" ht="14.4" x14ac:dyDescent="0.3">
      <c r="A38" s="89">
        <f>'Lista de Compra'!A37</f>
        <v>34</v>
      </c>
      <c r="B38" s="151">
        <f>'Lista de Compra'!I37</f>
        <v>50</v>
      </c>
      <c r="C38" s="152">
        <f>'Lista de Compra'!L37</f>
        <v>2.6811587197625724E-3</v>
      </c>
      <c r="E38" s="153">
        <f t="shared" si="10"/>
        <v>258.78543963148348</v>
      </c>
      <c r="F38" s="153">
        <f t="shared" si="10"/>
        <v>0.93840555191690034</v>
      </c>
      <c r="G38" s="153">
        <f t="shared" si="10"/>
        <v>2.9492745917388294</v>
      </c>
      <c r="H38" s="153">
        <f t="shared" si="10"/>
        <v>4.0217380796438587</v>
      </c>
      <c r="I38" s="153">
        <f t="shared" si="10"/>
        <v>0.26811587197625725</v>
      </c>
      <c r="J38" s="153">
        <f t="shared" si="10"/>
        <v>0.482608569557263</v>
      </c>
      <c r="K38" s="153">
        <f t="shared" si="10"/>
        <v>1.3137677726836605</v>
      </c>
      <c r="L38" s="153">
        <f t="shared" si="10"/>
        <v>2.8420282429483268</v>
      </c>
      <c r="M38" s="153">
        <f t="shared" si="10"/>
        <v>0.98130409143310149</v>
      </c>
      <c r="N38" s="153">
        <f t="shared" si="13"/>
        <v>20.702835170518679</v>
      </c>
      <c r="O38" s="153">
        <f t="shared" si="11"/>
        <v>4.0217380796438587</v>
      </c>
      <c r="P38" s="153">
        <f t="shared" si="11"/>
        <v>0.80434761592877169</v>
      </c>
      <c r="Q38" s="153">
        <f t="shared" si="11"/>
        <v>0.85885557270154478</v>
      </c>
      <c r="R38" s="153">
        <f t="shared" si="11"/>
        <v>0.53623174395251449</v>
      </c>
      <c r="S38" s="153">
        <f t="shared" si="11"/>
        <v>12.065214238931576</v>
      </c>
      <c r="T38" s="144">
        <f t="shared" si="14"/>
        <v>22.262465197804566</v>
      </c>
      <c r="U38" s="153">
        <f t="shared" si="15"/>
        <v>3.485506335691344</v>
      </c>
      <c r="V38" s="22">
        <f t="shared" si="12"/>
        <v>78.534436727071039</v>
      </c>
    </row>
    <row r="39" spans="1:22" ht="14.4" x14ac:dyDescent="0.3">
      <c r="A39" s="89">
        <f>'Lista de Compra'!A38</f>
        <v>35</v>
      </c>
      <c r="B39" s="151">
        <f>'Lista de Compra'!I38</f>
        <v>60</v>
      </c>
      <c r="C39" s="152">
        <f>'Lista de Compra'!L38</f>
        <v>4.4680943622860212E-3</v>
      </c>
      <c r="E39" s="153">
        <f t="shared" si="10"/>
        <v>431.26046784784677</v>
      </c>
      <c r="F39" s="153">
        <f t="shared" si="10"/>
        <v>1.5638330268001075</v>
      </c>
      <c r="G39" s="153">
        <f t="shared" si="10"/>
        <v>4.9149037985146231</v>
      </c>
      <c r="H39" s="153">
        <f t="shared" si="10"/>
        <v>6.7021415434290317</v>
      </c>
      <c r="I39" s="153">
        <f t="shared" si="10"/>
        <v>0.44680943622860214</v>
      </c>
      <c r="J39" s="153">
        <f t="shared" si="10"/>
        <v>0.80425698521148381</v>
      </c>
      <c r="K39" s="153">
        <f t="shared" si="10"/>
        <v>2.1893662375201504</v>
      </c>
      <c r="L39" s="153">
        <f t="shared" si="10"/>
        <v>4.7361800240231826</v>
      </c>
      <c r="M39" s="153">
        <f t="shared" si="10"/>
        <v>1.6353225365966837</v>
      </c>
      <c r="N39" s="153">
        <f t="shared" si="13"/>
        <v>34.50083742782774</v>
      </c>
      <c r="O39" s="153">
        <f t="shared" si="11"/>
        <v>6.7021415434290317</v>
      </c>
      <c r="P39" s="153">
        <f t="shared" si="11"/>
        <v>1.3404283086858064</v>
      </c>
      <c r="Q39" s="153">
        <f t="shared" si="11"/>
        <v>1.4312646670710811</v>
      </c>
      <c r="R39" s="153">
        <f t="shared" si="11"/>
        <v>0.89361887245720428</v>
      </c>
      <c r="S39" s="153">
        <f t="shared" si="11"/>
        <v>20.106424630287094</v>
      </c>
      <c r="T39" s="144">
        <f t="shared" si="14"/>
        <v>37.099927918369517</v>
      </c>
      <c r="U39" s="153">
        <f t="shared" si="15"/>
        <v>5.8085226709718274</v>
      </c>
      <c r="V39" s="22">
        <f t="shared" si="12"/>
        <v>130.87597962742316</v>
      </c>
    </row>
    <row r="40" spans="1:22" ht="14.4" x14ac:dyDescent="0.3">
      <c r="A40" s="89">
        <f>'Lista de Compra'!A39</f>
        <v>36</v>
      </c>
      <c r="B40" s="151">
        <f>'Lista de Compra'!I39</f>
        <v>80</v>
      </c>
      <c r="C40" s="152">
        <f>'Lista de Compra'!L39</f>
        <v>7.141700522274615E-3</v>
      </c>
      <c r="E40" s="153">
        <f t="shared" si="10"/>
        <v>689.31693440994582</v>
      </c>
      <c r="F40" s="153">
        <f t="shared" si="10"/>
        <v>2.4995951827961154</v>
      </c>
      <c r="G40" s="153">
        <f t="shared" si="10"/>
        <v>7.8558705745020765</v>
      </c>
      <c r="H40" s="153">
        <f t="shared" si="10"/>
        <v>10.712550783411922</v>
      </c>
      <c r="I40" s="153">
        <f t="shared" si="10"/>
        <v>0.71417005222746155</v>
      </c>
      <c r="J40" s="153">
        <f t="shared" si="10"/>
        <v>1.2855060940094307</v>
      </c>
      <c r="K40" s="153">
        <f t="shared" si="10"/>
        <v>3.4994332559145613</v>
      </c>
      <c r="L40" s="153">
        <f t="shared" si="10"/>
        <v>7.5702025536110922</v>
      </c>
      <c r="M40" s="153">
        <f t="shared" si="10"/>
        <v>2.6138623911525092</v>
      </c>
      <c r="N40" s="153">
        <f t="shared" si="13"/>
        <v>55.145354752795669</v>
      </c>
      <c r="O40" s="153">
        <f t="shared" si="11"/>
        <v>10.712550783411922</v>
      </c>
      <c r="P40" s="153">
        <f t="shared" si="11"/>
        <v>2.1425101566823845</v>
      </c>
      <c r="Q40" s="153">
        <f t="shared" si="11"/>
        <v>2.2877009283002274</v>
      </c>
      <c r="R40" s="153">
        <f t="shared" si="11"/>
        <v>1.4283401044549231</v>
      </c>
      <c r="S40" s="153">
        <f t="shared" si="11"/>
        <v>32.137652350235768</v>
      </c>
      <c r="T40" s="144">
        <f t="shared" si="14"/>
        <v>59.299681946602803</v>
      </c>
      <c r="U40" s="153">
        <f t="shared" si="15"/>
        <v>9.2842106789569989</v>
      </c>
      <c r="V40" s="22">
        <f t="shared" si="12"/>
        <v>209.18919258906587</v>
      </c>
    </row>
    <row r="41" spans="1:22" ht="14.4" x14ac:dyDescent="0.3">
      <c r="A41" s="89">
        <f>'Lista de Compra'!A40</f>
        <v>37</v>
      </c>
      <c r="B41" s="151">
        <f>'Lista de Compra'!I40</f>
        <v>100</v>
      </c>
      <c r="C41" s="152">
        <f>'Lista de Compra'!L40</f>
        <v>1.0422532488091127E-2</v>
      </c>
      <c r="E41" s="153">
        <f t="shared" si="10"/>
        <v>1005.9828357505555</v>
      </c>
      <c r="F41" s="153">
        <f t="shared" si="10"/>
        <v>3.6478863708318943</v>
      </c>
      <c r="G41" s="153">
        <f t="shared" si="10"/>
        <v>11.464785736900239</v>
      </c>
      <c r="H41" s="153">
        <f t="shared" si="10"/>
        <v>15.63379873213669</v>
      </c>
      <c r="I41" s="153">
        <f t="shared" si="10"/>
        <v>1.0422532488091127</v>
      </c>
      <c r="J41" s="153">
        <f t="shared" si="10"/>
        <v>1.8760558478564027</v>
      </c>
      <c r="K41" s="153">
        <f t="shared" si="10"/>
        <v>5.1070409191646524</v>
      </c>
      <c r="L41" s="153">
        <f t="shared" si="10"/>
        <v>11.047884437376593</v>
      </c>
      <c r="M41" s="153">
        <f t="shared" si="10"/>
        <v>3.8146468906413524</v>
      </c>
      <c r="N41" s="153">
        <f t="shared" si="13"/>
        <v>80.478626860044443</v>
      </c>
      <c r="O41" s="153">
        <f t="shared" si="11"/>
        <v>15.63379873213669</v>
      </c>
      <c r="P41" s="153">
        <f t="shared" si="11"/>
        <v>3.126759746427338</v>
      </c>
      <c r="Q41" s="153">
        <f t="shared" si="11"/>
        <v>3.3386498319102302</v>
      </c>
      <c r="R41" s="153">
        <f t="shared" si="11"/>
        <v>2.0845064976182255</v>
      </c>
      <c r="S41" s="153">
        <f t="shared" si="11"/>
        <v>46.901396196410069</v>
      </c>
      <c r="T41" s="144">
        <f t="shared" si="14"/>
        <v>86.541414008367042</v>
      </c>
      <c r="U41" s="153">
        <f t="shared" si="15"/>
        <v>13.549292234518465</v>
      </c>
      <c r="V41" s="22">
        <f t="shared" si="12"/>
        <v>305.28879629114942</v>
      </c>
    </row>
    <row r="42" spans="1:22" ht="14.4" x14ac:dyDescent="0.3">
      <c r="A42" s="89">
        <f>'Lista de Compra'!A41</f>
        <v>38</v>
      </c>
      <c r="B42" s="151">
        <f>'Lista de Compra'!I41</f>
        <v>50</v>
      </c>
      <c r="C42" s="152">
        <f>'Lista de Compra'!L41</f>
        <v>7.8848724040341562E-3</v>
      </c>
      <c r="E42" s="153">
        <f t="shared" si="10"/>
        <v>761.04788443737675</v>
      </c>
      <c r="F42" s="153">
        <f t="shared" si="10"/>
        <v>2.7597053414119546</v>
      </c>
      <c r="G42" s="153">
        <f t="shared" si="10"/>
        <v>8.6733596444375713</v>
      </c>
      <c r="H42" s="153">
        <f t="shared" si="10"/>
        <v>11.827308606051234</v>
      </c>
      <c r="I42" s="153">
        <f t="shared" si="10"/>
        <v>0.78848724040341567</v>
      </c>
      <c r="J42" s="153">
        <f t="shared" si="10"/>
        <v>1.4192770327261481</v>
      </c>
      <c r="K42" s="153">
        <f t="shared" si="10"/>
        <v>3.8635874779767367</v>
      </c>
      <c r="L42" s="153">
        <f t="shared" si="10"/>
        <v>8.3579647482762063</v>
      </c>
      <c r="M42" s="153">
        <f t="shared" si="10"/>
        <v>2.885863299876501</v>
      </c>
      <c r="N42" s="153">
        <f t="shared" si="13"/>
        <v>60.883830754990143</v>
      </c>
      <c r="O42" s="153">
        <f t="shared" si="11"/>
        <v>11.827308606051234</v>
      </c>
      <c r="P42" s="153">
        <f t="shared" si="11"/>
        <v>2.3654617212102469</v>
      </c>
      <c r="Q42" s="153">
        <f t="shared" si="11"/>
        <v>2.5257611771842612</v>
      </c>
      <c r="R42" s="153">
        <f t="shared" si="11"/>
        <v>1.5769744808068313</v>
      </c>
      <c r="S42" s="153">
        <f t="shared" si="11"/>
        <v>35.481925818153705</v>
      </c>
      <c r="T42" s="144">
        <f t="shared" si="14"/>
        <v>65.470461032416807</v>
      </c>
      <c r="U42" s="153">
        <f t="shared" si="15"/>
        <v>10.250334125244404</v>
      </c>
      <c r="V42" s="22">
        <f t="shared" si="12"/>
        <v>230.95761110721739</v>
      </c>
    </row>
    <row r="43" spans="1:22" ht="14.4" x14ac:dyDescent="0.3">
      <c r="A43" s="89">
        <f>'Lista de Compra'!A42</f>
        <v>39</v>
      </c>
      <c r="B43" s="151">
        <f>'Lista de Compra'!I42</f>
        <v>30</v>
      </c>
      <c r="C43" s="152">
        <f>'Lista de Compra'!L42</f>
        <v>6.4347809274301721E-4</v>
      </c>
      <c r="E43" s="153">
        <f t="shared" si="10"/>
        <v>62.108505511556018</v>
      </c>
      <c r="F43" s="153">
        <f t="shared" si="10"/>
        <v>0.22521733246005601</v>
      </c>
      <c r="G43" s="153">
        <f t="shared" si="10"/>
        <v>0.70782590201731899</v>
      </c>
      <c r="H43" s="153">
        <f t="shared" si="10"/>
        <v>0.96521713911452578</v>
      </c>
      <c r="I43" s="153">
        <f t="shared" si="10"/>
        <v>6.4347809274301726E-2</v>
      </c>
      <c r="J43" s="153">
        <f t="shared" si="10"/>
        <v>0.1158260566937431</v>
      </c>
      <c r="K43" s="153">
        <f t="shared" si="10"/>
        <v>0.31530426544407841</v>
      </c>
      <c r="L43" s="153">
        <f t="shared" si="10"/>
        <v>0.68208677830759823</v>
      </c>
      <c r="M43" s="153">
        <f t="shared" si="10"/>
        <v>0.23551298194394429</v>
      </c>
      <c r="N43" s="153">
        <f t="shared" si="13"/>
        <v>4.9686804409244818</v>
      </c>
      <c r="O43" s="153">
        <f t="shared" si="11"/>
        <v>0.96521713911452578</v>
      </c>
      <c r="P43" s="153">
        <f t="shared" si="11"/>
        <v>0.19304342782290515</v>
      </c>
      <c r="Q43" s="153">
        <f t="shared" si="11"/>
        <v>0.20612533744837069</v>
      </c>
      <c r="R43" s="153">
        <f t="shared" si="11"/>
        <v>0.12869561854860345</v>
      </c>
      <c r="S43" s="153">
        <f t="shared" si="11"/>
        <v>2.8956514173435774</v>
      </c>
      <c r="T43" s="144">
        <f t="shared" si="14"/>
        <v>5.3429916474730943</v>
      </c>
      <c r="U43" s="153">
        <f t="shared" si="15"/>
        <v>0.83652152056592233</v>
      </c>
      <c r="V43" s="22">
        <f t="shared" si="12"/>
        <v>18.84826481449705</v>
      </c>
    </row>
    <row r="44" spans="1:22" ht="14.4" x14ac:dyDescent="0.3">
      <c r="A44" s="89">
        <f>'Lista de Compra'!A43</f>
        <v>40</v>
      </c>
      <c r="B44" s="151">
        <f>'Lista de Compra'!I43</f>
        <v>30</v>
      </c>
      <c r="C44" s="152">
        <f>'Lista de Compra'!L43</f>
        <v>4.504346649201121E-3</v>
      </c>
      <c r="E44" s="153">
        <f t="shared" si="10"/>
        <v>434.75953858089218</v>
      </c>
      <c r="F44" s="153">
        <f t="shared" si="10"/>
        <v>1.5765213272203924</v>
      </c>
      <c r="G44" s="153">
        <f t="shared" si="10"/>
        <v>4.9547813141212336</v>
      </c>
      <c r="H44" s="153">
        <f t="shared" si="10"/>
        <v>6.7565199738016819</v>
      </c>
      <c r="I44" s="153">
        <f t="shared" si="10"/>
        <v>0.45043466492011208</v>
      </c>
      <c r="J44" s="153">
        <f t="shared" si="10"/>
        <v>0.81078239685620179</v>
      </c>
      <c r="K44" s="153">
        <f t="shared" si="10"/>
        <v>2.2071298581085492</v>
      </c>
      <c r="L44" s="153">
        <f t="shared" si="10"/>
        <v>4.7746074481531879</v>
      </c>
      <c r="M44" s="153">
        <f t="shared" si="10"/>
        <v>1.6485908736076103</v>
      </c>
      <c r="N44" s="153">
        <f t="shared" si="13"/>
        <v>34.780763086471374</v>
      </c>
      <c r="O44" s="153">
        <f t="shared" si="11"/>
        <v>6.7565199738016819</v>
      </c>
      <c r="P44" s="153">
        <f t="shared" si="11"/>
        <v>1.3513039947603362</v>
      </c>
      <c r="Q44" s="153">
        <f t="shared" si="11"/>
        <v>1.4428773621385951</v>
      </c>
      <c r="R44" s="153">
        <f t="shared" si="11"/>
        <v>0.90086932984022416</v>
      </c>
      <c r="S44" s="153">
        <f t="shared" si="11"/>
        <v>20.269559921405044</v>
      </c>
      <c r="T44" s="144">
        <f t="shared" si="14"/>
        <v>37.400941532311663</v>
      </c>
      <c r="U44" s="153">
        <f t="shared" si="15"/>
        <v>5.8556506439614573</v>
      </c>
      <c r="V44" s="22">
        <f t="shared" si="12"/>
        <v>131.93785370147936</v>
      </c>
    </row>
    <row r="45" spans="1:22" ht="14.4" x14ac:dyDescent="0.3">
      <c r="A45" s="89">
        <f>'Lista de Compra'!A44</f>
        <v>41</v>
      </c>
      <c r="B45" s="151">
        <f>'Lista de Compra'!I44</f>
        <v>35</v>
      </c>
      <c r="C45" s="152">
        <f>'Lista de Compra'!L44</f>
        <v>9.4422102294286422E-3</v>
      </c>
      <c r="E45" s="153">
        <f t="shared" ref="E45:M54" si="16">E$4*$C45</f>
        <v>911.36213134445256</v>
      </c>
      <c r="F45" s="153">
        <f t="shared" si="16"/>
        <v>3.3047735803000249</v>
      </c>
      <c r="G45" s="153">
        <f t="shared" si="16"/>
        <v>10.386431252371507</v>
      </c>
      <c r="H45" s="153">
        <f t="shared" si="16"/>
        <v>14.163315344142964</v>
      </c>
      <c r="I45" s="153">
        <f t="shared" si="16"/>
        <v>0.94422102294286425</v>
      </c>
      <c r="J45" s="153">
        <f t="shared" si="16"/>
        <v>1.6995978412971555</v>
      </c>
      <c r="K45" s="153">
        <f t="shared" si="16"/>
        <v>4.6266830124200347</v>
      </c>
      <c r="L45" s="153">
        <f t="shared" si="16"/>
        <v>10.00874284319436</v>
      </c>
      <c r="M45" s="153">
        <f t="shared" si="16"/>
        <v>3.4558489439708833</v>
      </c>
      <c r="N45" s="153">
        <f t="shared" si="13"/>
        <v>72.908970507556205</v>
      </c>
      <c r="O45" s="153">
        <f t="shared" ref="O45:S54" si="17">O$4*$C45</f>
        <v>14.163315344142964</v>
      </c>
      <c r="P45" s="153">
        <f t="shared" si="17"/>
        <v>2.8326630688285928</v>
      </c>
      <c r="Q45" s="153">
        <f t="shared" si="17"/>
        <v>3.0246232027928768</v>
      </c>
      <c r="R45" s="153">
        <f t="shared" si="17"/>
        <v>1.8884420458857285</v>
      </c>
      <c r="S45" s="153">
        <f t="shared" si="17"/>
        <v>42.48994603242889</v>
      </c>
      <c r="T45" s="144">
        <f t="shared" si="14"/>
        <v>78.401504198014834</v>
      </c>
      <c r="U45" s="153">
        <f t="shared" si="15"/>
        <v>12.274873298257235</v>
      </c>
      <c r="V45" s="22">
        <f t="shared" si="12"/>
        <v>276.57395153854713</v>
      </c>
    </row>
    <row r="46" spans="1:22" ht="14.4" x14ac:dyDescent="0.3">
      <c r="A46" s="89">
        <f>'Lista de Compra'!A45</f>
        <v>42</v>
      </c>
      <c r="B46" s="151">
        <f>'Lista de Compra'!I45</f>
        <v>45</v>
      </c>
      <c r="C46" s="152">
        <f>'Lista de Compra'!L45</f>
        <v>1.9997667769541802E-2</v>
      </c>
      <c r="E46" s="153">
        <f t="shared" si="16"/>
        <v>1930.1748931161746</v>
      </c>
      <c r="F46" s="153">
        <f t="shared" si="16"/>
        <v>6.9991837193396309</v>
      </c>
      <c r="G46" s="153">
        <f t="shared" si="16"/>
        <v>21.997434546495981</v>
      </c>
      <c r="H46" s="153">
        <f t="shared" si="16"/>
        <v>29.996501654312702</v>
      </c>
      <c r="I46" s="153">
        <f t="shared" si="16"/>
        <v>1.9997667769541803</v>
      </c>
      <c r="J46" s="153">
        <f t="shared" si="16"/>
        <v>3.5995801985175242</v>
      </c>
      <c r="K46" s="153">
        <f t="shared" si="16"/>
        <v>9.7988572070754838</v>
      </c>
      <c r="L46" s="153">
        <f t="shared" si="16"/>
        <v>21.197527835714311</v>
      </c>
      <c r="M46" s="153">
        <f t="shared" si="16"/>
        <v>7.3191464036523</v>
      </c>
      <c r="N46" s="153">
        <f t="shared" si="13"/>
        <v>154.41399144929397</v>
      </c>
      <c r="O46" s="153">
        <f t="shared" si="17"/>
        <v>29.996501654312702</v>
      </c>
      <c r="P46" s="153">
        <f t="shared" si="17"/>
        <v>5.9993003308625408</v>
      </c>
      <c r="Q46" s="153">
        <f t="shared" si="17"/>
        <v>6.4058529166173255</v>
      </c>
      <c r="R46" s="153">
        <f t="shared" si="17"/>
        <v>3.9995335539083605</v>
      </c>
      <c r="S46" s="153">
        <f t="shared" si="17"/>
        <v>89.989504962938113</v>
      </c>
      <c r="T46" s="144">
        <f t="shared" si="14"/>
        <v>166.04663479083644</v>
      </c>
      <c r="U46" s="153">
        <f t="shared" si="15"/>
        <v>25.996968100404342</v>
      </c>
      <c r="V46" s="22">
        <f t="shared" si="12"/>
        <v>585.7562861012359</v>
      </c>
    </row>
    <row r="47" spans="1:22" ht="14.4" x14ac:dyDescent="0.3">
      <c r="A47" s="89">
        <f>'Lista de Compra'!A46</f>
        <v>43</v>
      </c>
      <c r="B47" s="151">
        <f>'Lista de Compra'!I46</f>
        <v>20</v>
      </c>
      <c r="C47" s="152">
        <f>'Lista de Compra'!L46</f>
        <v>4.4711153861956137E-4</v>
      </c>
      <c r="E47" s="153">
        <f t="shared" si="16"/>
        <v>43.155205707560064</v>
      </c>
      <c r="F47" s="153">
        <f t="shared" si="16"/>
        <v>0.15648903851684648</v>
      </c>
      <c r="G47" s="153">
        <f t="shared" si="16"/>
        <v>0.4918226924815175</v>
      </c>
      <c r="H47" s="153">
        <f t="shared" si="16"/>
        <v>0.67066730792934204</v>
      </c>
      <c r="I47" s="153">
        <f t="shared" si="16"/>
        <v>4.4711153861956135E-2</v>
      </c>
      <c r="J47" s="153">
        <f t="shared" si="16"/>
        <v>8.048007695152104E-2</v>
      </c>
      <c r="K47" s="153">
        <f t="shared" si="16"/>
        <v>0.21908465392358506</v>
      </c>
      <c r="L47" s="153">
        <f t="shared" si="16"/>
        <v>0.47393823093673504</v>
      </c>
      <c r="M47" s="153">
        <f t="shared" si="16"/>
        <v>0.16364282313475947</v>
      </c>
      <c r="N47" s="153">
        <f t="shared" si="13"/>
        <v>3.452416456604805</v>
      </c>
      <c r="O47" s="153">
        <f t="shared" si="17"/>
        <v>0.67066730792934204</v>
      </c>
      <c r="P47" s="153">
        <f t="shared" si="17"/>
        <v>0.13413346158586842</v>
      </c>
      <c r="Q47" s="153">
        <f t="shared" si="17"/>
        <v>0.14322323916600407</v>
      </c>
      <c r="R47" s="153">
        <f t="shared" si="17"/>
        <v>8.942230772391227E-2</v>
      </c>
      <c r="S47" s="153">
        <f t="shared" si="17"/>
        <v>2.0120019237880262</v>
      </c>
      <c r="T47" s="144">
        <f t="shared" si="14"/>
        <v>3.7125012386198035</v>
      </c>
      <c r="U47" s="153">
        <f t="shared" si="15"/>
        <v>0.5812450002054298</v>
      </c>
      <c r="V47" s="22">
        <f t="shared" si="12"/>
        <v>13.096446913359456</v>
      </c>
    </row>
    <row r="48" spans="1:22" ht="14.4" x14ac:dyDescent="0.3">
      <c r="A48" s="89">
        <f>'Lista de Compra'!A47</f>
        <v>44</v>
      </c>
      <c r="B48" s="151">
        <f>'Lista de Compra'!I47</f>
        <v>20</v>
      </c>
      <c r="C48" s="152">
        <f>'Lista de Compra'!L47</f>
        <v>8.3380259904728999E-4</v>
      </c>
      <c r="E48" s="153">
        <f t="shared" si="16"/>
        <v>80.478626860044429</v>
      </c>
      <c r="F48" s="153">
        <f t="shared" si="16"/>
        <v>0.29183090966655151</v>
      </c>
      <c r="G48" s="153">
        <f t="shared" si="16"/>
        <v>0.91718285895201901</v>
      </c>
      <c r="H48" s="153">
        <f t="shared" si="16"/>
        <v>1.2507038985709349</v>
      </c>
      <c r="I48" s="153">
        <f t="shared" si="16"/>
        <v>8.3380259904728998E-2</v>
      </c>
      <c r="J48" s="153">
        <f t="shared" si="16"/>
        <v>0.1500844678285122</v>
      </c>
      <c r="K48" s="153">
        <f t="shared" si="16"/>
        <v>0.40856327353317207</v>
      </c>
      <c r="L48" s="153">
        <f t="shared" si="16"/>
        <v>0.88383075499012742</v>
      </c>
      <c r="M48" s="153">
        <f t="shared" si="16"/>
        <v>0.30517175125130813</v>
      </c>
      <c r="N48" s="153">
        <f t="shared" si="13"/>
        <v>6.4382901488035547</v>
      </c>
      <c r="O48" s="153">
        <f t="shared" si="17"/>
        <v>1.2507038985709349</v>
      </c>
      <c r="P48" s="153">
        <f t="shared" si="17"/>
        <v>0.25014077971418702</v>
      </c>
      <c r="Q48" s="153">
        <f t="shared" si="17"/>
        <v>0.26709198655281841</v>
      </c>
      <c r="R48" s="153">
        <f t="shared" si="17"/>
        <v>0.166760519809458</v>
      </c>
      <c r="S48" s="153">
        <f t="shared" si="17"/>
        <v>3.7521116957128049</v>
      </c>
      <c r="T48" s="144">
        <f t="shared" si="14"/>
        <v>6.9233131206693628</v>
      </c>
      <c r="U48" s="153">
        <f t="shared" si="15"/>
        <v>1.0839433787614769</v>
      </c>
      <c r="V48" s="22">
        <f t="shared" si="12"/>
        <v>24.42310370329195</v>
      </c>
    </row>
    <row r="49" spans="1:22" ht="14.4" x14ac:dyDescent="0.3">
      <c r="A49" s="89">
        <f>'Lista de Compra'!A48</f>
        <v>45</v>
      </c>
      <c r="B49" s="151">
        <f>'Lista de Compra'!I48</f>
        <v>100</v>
      </c>
      <c r="C49" s="152">
        <f>'Lista de Compra'!L48</f>
        <v>4.7581126576068181E-3</v>
      </c>
      <c r="E49" s="153">
        <f t="shared" si="16"/>
        <v>459.25303371221008</v>
      </c>
      <c r="F49" s="153">
        <f t="shared" si="16"/>
        <v>1.6653394301623863</v>
      </c>
      <c r="G49" s="153">
        <f t="shared" si="16"/>
        <v>5.2339239233674997</v>
      </c>
      <c r="H49" s="153">
        <f t="shared" si="16"/>
        <v>7.1371689864102272</v>
      </c>
      <c r="I49" s="153">
        <f t="shared" si="16"/>
        <v>0.47581126576068178</v>
      </c>
      <c r="J49" s="153">
        <f t="shared" si="16"/>
        <v>0.85646027836922722</v>
      </c>
      <c r="K49" s="153">
        <f t="shared" si="16"/>
        <v>2.3314752022273408</v>
      </c>
      <c r="L49" s="153">
        <f t="shared" si="16"/>
        <v>5.043599417063227</v>
      </c>
      <c r="M49" s="153">
        <f t="shared" si="16"/>
        <v>1.7414692326840955</v>
      </c>
      <c r="N49" s="153">
        <f t="shared" si="13"/>
        <v>36.740242696976807</v>
      </c>
      <c r="O49" s="153">
        <f t="shared" si="17"/>
        <v>7.1371689864102272</v>
      </c>
      <c r="P49" s="153">
        <f t="shared" si="17"/>
        <v>1.4274337972820454</v>
      </c>
      <c r="Q49" s="153">
        <f t="shared" si="17"/>
        <v>1.524166227611192</v>
      </c>
      <c r="R49" s="153">
        <f t="shared" si="17"/>
        <v>0.95162253152136356</v>
      </c>
      <c r="S49" s="153">
        <f t="shared" si="17"/>
        <v>21.411506959230682</v>
      </c>
      <c r="T49" s="144">
        <f t="shared" si="14"/>
        <v>39.508036829906686</v>
      </c>
      <c r="U49" s="153">
        <f t="shared" si="15"/>
        <v>6.1855464548888639</v>
      </c>
      <c r="V49" s="22">
        <f t="shared" si="12"/>
        <v>139.37097221987253</v>
      </c>
    </row>
    <row r="50" spans="1:22" ht="14.4" x14ac:dyDescent="0.3">
      <c r="A50" s="89">
        <f>'Lista de Compra'!A49</f>
        <v>46</v>
      </c>
      <c r="B50" s="151">
        <f>'Lista de Compra'!I49</f>
        <v>20</v>
      </c>
      <c r="C50" s="152">
        <f>'Lista de Compra'!L49</f>
        <v>2.5588072514241113E-3</v>
      </c>
      <c r="E50" s="153">
        <f t="shared" si="16"/>
        <v>246.97607590745523</v>
      </c>
      <c r="F50" s="153">
        <f t="shared" si="16"/>
        <v>0.89558253799843901</v>
      </c>
      <c r="G50" s="153">
        <f t="shared" si="16"/>
        <v>2.8146879765665225</v>
      </c>
      <c r="H50" s="153">
        <f t="shared" si="16"/>
        <v>3.8382108771361669</v>
      </c>
      <c r="I50" s="153">
        <f t="shared" si="16"/>
        <v>0.25588072514241111</v>
      </c>
      <c r="J50" s="153">
        <f t="shared" si="16"/>
        <v>0.46058530525634006</v>
      </c>
      <c r="K50" s="153">
        <f t="shared" si="16"/>
        <v>1.2538155531978146</v>
      </c>
      <c r="L50" s="153">
        <f t="shared" si="16"/>
        <v>2.712335686509558</v>
      </c>
      <c r="M50" s="153">
        <f t="shared" si="16"/>
        <v>0.93652345402122472</v>
      </c>
      <c r="N50" s="153">
        <f t="shared" si="13"/>
        <v>19.75808607259642</v>
      </c>
      <c r="O50" s="153">
        <f t="shared" si="17"/>
        <v>3.8382108771361669</v>
      </c>
      <c r="P50" s="153">
        <f t="shared" si="17"/>
        <v>0.76764217542723334</v>
      </c>
      <c r="Q50" s="153">
        <f t="shared" si="17"/>
        <v>0.81966272684868557</v>
      </c>
      <c r="R50" s="153">
        <f t="shared" si="17"/>
        <v>0.51176145028482223</v>
      </c>
      <c r="S50" s="153">
        <f t="shared" si="17"/>
        <v>11.514632631408501</v>
      </c>
      <c r="T50" s="144">
        <f t="shared" si="14"/>
        <v>21.246544250749821</v>
      </c>
      <c r="U50" s="153">
        <f t="shared" si="15"/>
        <v>3.3264494268513447</v>
      </c>
      <c r="V50" s="22">
        <f t="shared" si="12"/>
        <v>74.950611727131474</v>
      </c>
    </row>
    <row r="51" spans="1:22" ht="14.4" x14ac:dyDescent="0.3">
      <c r="A51" s="89">
        <f>'Lista de Compra'!A50</f>
        <v>47</v>
      </c>
      <c r="B51" s="151">
        <f>'Lista de Compra'!I50</f>
        <v>40</v>
      </c>
      <c r="C51" s="152">
        <f>'Lista de Compra'!L50</f>
        <v>9.52226736303282E-3</v>
      </c>
      <c r="E51" s="153">
        <f t="shared" si="16"/>
        <v>919.08924587992783</v>
      </c>
      <c r="F51" s="153">
        <f t="shared" si="16"/>
        <v>3.3327935770614872</v>
      </c>
      <c r="G51" s="153">
        <f t="shared" si="16"/>
        <v>10.474494099336102</v>
      </c>
      <c r="H51" s="153">
        <f t="shared" si="16"/>
        <v>14.28340104454923</v>
      </c>
      <c r="I51" s="153">
        <f t="shared" si="16"/>
        <v>0.95222673630328203</v>
      </c>
      <c r="J51" s="153">
        <f t="shared" si="16"/>
        <v>1.7140081253459076</v>
      </c>
      <c r="K51" s="153">
        <f t="shared" si="16"/>
        <v>4.6659110078860815</v>
      </c>
      <c r="L51" s="153">
        <f t="shared" si="16"/>
        <v>10.09360340481479</v>
      </c>
      <c r="M51" s="153">
        <f t="shared" si="16"/>
        <v>3.4851498548700119</v>
      </c>
      <c r="N51" s="153">
        <f t="shared" si="13"/>
        <v>73.527139670394234</v>
      </c>
      <c r="O51" s="153">
        <f t="shared" si="17"/>
        <v>14.28340104454923</v>
      </c>
      <c r="P51" s="153">
        <f t="shared" si="17"/>
        <v>2.8566802089098462</v>
      </c>
      <c r="Q51" s="153">
        <f t="shared" si="17"/>
        <v>3.0502679044003029</v>
      </c>
      <c r="R51" s="153">
        <f t="shared" si="17"/>
        <v>1.9044534726065641</v>
      </c>
      <c r="S51" s="153">
        <f t="shared" si="17"/>
        <v>42.850203133647689</v>
      </c>
      <c r="T51" s="144">
        <f t="shared" si="14"/>
        <v>79.066242595470413</v>
      </c>
      <c r="U51" s="153">
        <f t="shared" si="15"/>
        <v>12.378947571942666</v>
      </c>
      <c r="V51" s="22">
        <f t="shared" si="12"/>
        <v>278.91892345208782</v>
      </c>
    </row>
    <row r="52" spans="1:22" ht="14.4" x14ac:dyDescent="0.3">
      <c r="A52" s="89">
        <f>'Lista de Compra'!A51</f>
        <v>48</v>
      </c>
      <c r="B52" s="151">
        <f>'Lista de Compra'!I51</f>
        <v>20</v>
      </c>
      <c r="C52" s="152">
        <f>'Lista de Compra'!L51</f>
        <v>7.7368422324641667E-3</v>
      </c>
      <c r="E52" s="153">
        <f t="shared" si="16"/>
        <v>746.76001227744132</v>
      </c>
      <c r="F52" s="153">
        <f t="shared" si="16"/>
        <v>2.7078947813624583</v>
      </c>
      <c r="G52" s="153">
        <f t="shared" si="16"/>
        <v>8.5105264557105826</v>
      </c>
      <c r="H52" s="153">
        <f t="shared" si="16"/>
        <v>11.60526334869625</v>
      </c>
      <c r="I52" s="153">
        <f t="shared" si="16"/>
        <v>0.77368422324641672</v>
      </c>
      <c r="J52" s="153">
        <f t="shared" si="16"/>
        <v>1.3926316018435501</v>
      </c>
      <c r="K52" s="153">
        <f t="shared" si="16"/>
        <v>3.7910526939074418</v>
      </c>
      <c r="L52" s="153">
        <f t="shared" si="16"/>
        <v>8.2010527664120172</v>
      </c>
      <c r="M52" s="153">
        <f t="shared" si="16"/>
        <v>2.8316842570818852</v>
      </c>
      <c r="N52" s="153">
        <f t="shared" si="13"/>
        <v>59.74080098219531</v>
      </c>
      <c r="O52" s="153">
        <f t="shared" si="17"/>
        <v>11.60526334869625</v>
      </c>
      <c r="P52" s="153">
        <f t="shared" si="17"/>
        <v>2.3210526697392502</v>
      </c>
      <c r="Q52" s="153">
        <f t="shared" si="17"/>
        <v>2.4783426723252462</v>
      </c>
      <c r="R52" s="153">
        <f t="shared" si="17"/>
        <v>1.5473684464928334</v>
      </c>
      <c r="S52" s="153">
        <f t="shared" si="17"/>
        <v>34.81579004608875</v>
      </c>
      <c r="T52" s="144">
        <f t="shared" si="14"/>
        <v>64.241322108819716</v>
      </c>
      <c r="U52" s="153">
        <f t="shared" si="15"/>
        <v>10.057894902203417</v>
      </c>
      <c r="V52" s="22">
        <f t="shared" si="12"/>
        <v>226.62162530482135</v>
      </c>
    </row>
    <row r="53" spans="1:22" ht="14.4" x14ac:dyDescent="0.3">
      <c r="A53" s="89">
        <f>'Lista de Compra'!A52</f>
        <v>49</v>
      </c>
      <c r="B53" s="151">
        <f>'Lista de Compra'!I52</f>
        <v>40</v>
      </c>
      <c r="C53" s="152">
        <f>'Lista de Compra'!L52</f>
        <v>5.310960033062086E-3</v>
      </c>
      <c r="E53" s="153">
        <f t="shared" si="16"/>
        <v>512.61386239115257</v>
      </c>
      <c r="F53" s="153">
        <f t="shared" si="16"/>
        <v>1.8588360115717302</v>
      </c>
      <c r="G53" s="153">
        <f t="shared" si="16"/>
        <v>5.8420560363682945</v>
      </c>
      <c r="H53" s="153">
        <f t="shared" si="16"/>
        <v>7.9664400495931291</v>
      </c>
      <c r="I53" s="153">
        <f t="shared" si="16"/>
        <v>0.53109600330620865</v>
      </c>
      <c r="J53" s="153">
        <f t="shared" si="16"/>
        <v>0.95597280595117551</v>
      </c>
      <c r="K53" s="153">
        <f t="shared" si="16"/>
        <v>2.6023704162004222</v>
      </c>
      <c r="L53" s="153">
        <f t="shared" si="16"/>
        <v>5.6296176350458111</v>
      </c>
      <c r="M53" s="153">
        <f t="shared" si="16"/>
        <v>1.9438113721007235</v>
      </c>
      <c r="N53" s="153">
        <f t="shared" si="13"/>
        <v>41.009108991292209</v>
      </c>
      <c r="O53" s="153">
        <f t="shared" si="17"/>
        <v>7.9664400495931291</v>
      </c>
      <c r="P53" s="153">
        <f t="shared" si="17"/>
        <v>1.5932880099186257</v>
      </c>
      <c r="Q53" s="153">
        <f t="shared" si="17"/>
        <v>1.701259827390778</v>
      </c>
      <c r="R53" s="153">
        <f t="shared" si="17"/>
        <v>1.0621920066124173</v>
      </c>
      <c r="S53" s="153">
        <f t="shared" si="17"/>
        <v>23.899320148779388</v>
      </c>
      <c r="T53" s="144">
        <f t="shared" si="14"/>
        <v>44.098494442524412</v>
      </c>
      <c r="U53" s="153">
        <f t="shared" si="15"/>
        <v>6.9042480429807123</v>
      </c>
      <c r="V53" s="22">
        <f t="shared" si="12"/>
        <v>155.56455184922919</v>
      </c>
    </row>
    <row r="54" spans="1:22" ht="14.4" x14ac:dyDescent="0.3">
      <c r="A54" s="89">
        <f>'Lista de Compra'!A53</f>
        <v>50</v>
      </c>
      <c r="B54" s="151">
        <f>'Lista de Compra'!I53</f>
        <v>50</v>
      </c>
      <c r="C54" s="152">
        <f>'Lista de Compra'!L53</f>
        <v>1.9636655412345601E-3</v>
      </c>
      <c r="E54" s="153">
        <f t="shared" si="16"/>
        <v>189.53299803995975</v>
      </c>
      <c r="F54" s="153">
        <f t="shared" si="16"/>
        <v>0.68728293943209606</v>
      </c>
      <c r="G54" s="153">
        <f t="shared" si="16"/>
        <v>2.1600320953580159</v>
      </c>
      <c r="H54" s="153">
        <f t="shared" si="16"/>
        <v>2.9454983118518401</v>
      </c>
      <c r="I54" s="153">
        <f t="shared" si="16"/>
        <v>0.19636655412345599</v>
      </c>
      <c r="J54" s="153">
        <f t="shared" si="16"/>
        <v>0.35345979742222083</v>
      </c>
      <c r="K54" s="153">
        <f t="shared" si="16"/>
        <v>0.96219611520493442</v>
      </c>
      <c r="L54" s="153">
        <f t="shared" si="16"/>
        <v>2.0814854737086335</v>
      </c>
      <c r="M54" s="153">
        <f t="shared" si="16"/>
        <v>0.71870158809184903</v>
      </c>
      <c r="N54" s="153">
        <f t="shared" si="13"/>
        <v>15.16263984319678</v>
      </c>
      <c r="O54" s="153">
        <f t="shared" si="17"/>
        <v>2.9454983118518401</v>
      </c>
      <c r="P54" s="153">
        <f t="shared" si="17"/>
        <v>0.58909966237036804</v>
      </c>
      <c r="Q54" s="153">
        <f t="shared" si="17"/>
        <v>0.62902098282366659</v>
      </c>
      <c r="R54" s="153">
        <f t="shared" si="17"/>
        <v>0.39273310824691199</v>
      </c>
      <c r="S54" s="153">
        <f t="shared" si="17"/>
        <v>8.8364949355555211</v>
      </c>
      <c r="T54" s="144">
        <f t="shared" si="14"/>
        <v>16.304904088532922</v>
      </c>
      <c r="U54" s="153">
        <f t="shared" si="15"/>
        <v>2.552765203604928</v>
      </c>
      <c r="V54" s="22">
        <f t="shared" si="12"/>
        <v>57.518179011375985</v>
      </c>
    </row>
    <row r="55" spans="1:22" ht="14.4" x14ac:dyDescent="0.3">
      <c r="A55" s="89">
        <f>'Lista de Compra'!A54</f>
        <v>51</v>
      </c>
      <c r="B55" s="151">
        <f>'Lista de Compra'!I54</f>
        <v>60</v>
      </c>
      <c r="C55" s="152">
        <f>'Lista de Compra'!L54</f>
        <v>1.0150640336227879E-3</v>
      </c>
      <c r="E55" s="153">
        <f t="shared" ref="E55:M64" si="18">E$4*$C55</f>
        <v>97.973980525271486</v>
      </c>
      <c r="F55" s="153">
        <f t="shared" si="18"/>
        <v>0.35527241176797575</v>
      </c>
      <c r="G55" s="153">
        <f t="shared" si="18"/>
        <v>1.1165704369850666</v>
      </c>
      <c r="H55" s="153">
        <f t="shared" si="18"/>
        <v>1.5225960504341818</v>
      </c>
      <c r="I55" s="153">
        <f t="shared" si="18"/>
        <v>0.10150640336227879</v>
      </c>
      <c r="J55" s="153">
        <f t="shared" si="18"/>
        <v>0.18271152605210184</v>
      </c>
      <c r="K55" s="153">
        <f t="shared" si="18"/>
        <v>0.49738137647516606</v>
      </c>
      <c r="L55" s="153">
        <f t="shared" si="18"/>
        <v>1.0759678756401552</v>
      </c>
      <c r="M55" s="153">
        <f t="shared" si="18"/>
        <v>0.37151343630594036</v>
      </c>
      <c r="N55" s="153">
        <f t="shared" si="13"/>
        <v>7.8379184420217189</v>
      </c>
      <c r="O55" s="153">
        <f t="shared" ref="O55:S64" si="19">O$4*$C55</f>
        <v>1.5225960504341818</v>
      </c>
      <c r="P55" s="153">
        <f t="shared" si="19"/>
        <v>0.30451921008683636</v>
      </c>
      <c r="Q55" s="153">
        <f t="shared" si="19"/>
        <v>0.32515546189038763</v>
      </c>
      <c r="R55" s="153">
        <f t="shared" si="19"/>
        <v>0.20301280672455757</v>
      </c>
      <c r="S55" s="153">
        <f t="shared" si="19"/>
        <v>4.5677881513025458</v>
      </c>
      <c r="T55" s="144">
        <f t="shared" si="14"/>
        <v>8.4283811903800938</v>
      </c>
      <c r="U55" s="153">
        <f t="shared" si="15"/>
        <v>1.3195832437096242</v>
      </c>
      <c r="V55" s="22">
        <f t="shared" si="12"/>
        <v>29.73247407357281</v>
      </c>
    </row>
    <row r="56" spans="1:22" ht="14.4" x14ac:dyDescent="0.3">
      <c r="A56" s="89">
        <f>'Lista de Compra'!A55</f>
        <v>52</v>
      </c>
      <c r="B56" s="151">
        <f>'Lista de Compra'!I55</f>
        <v>60</v>
      </c>
      <c r="C56" s="152">
        <f>'Lista de Compra'!L55</f>
        <v>8.338025990472901E-4</v>
      </c>
      <c r="E56" s="153">
        <f t="shared" si="18"/>
        <v>80.478626860044443</v>
      </c>
      <c r="F56" s="153">
        <f t="shared" si="18"/>
        <v>0.29183090966655151</v>
      </c>
      <c r="G56" s="153">
        <f t="shared" si="18"/>
        <v>0.91718285895201912</v>
      </c>
      <c r="H56" s="153">
        <f t="shared" si="18"/>
        <v>1.2507038985709351</v>
      </c>
      <c r="I56" s="153">
        <f t="shared" si="18"/>
        <v>8.3380259904729012E-2</v>
      </c>
      <c r="J56" s="153">
        <f t="shared" si="18"/>
        <v>0.15008446782851223</v>
      </c>
      <c r="K56" s="153">
        <f t="shared" si="18"/>
        <v>0.40856327353317212</v>
      </c>
      <c r="L56" s="153">
        <f t="shared" si="18"/>
        <v>0.88383075499012753</v>
      </c>
      <c r="M56" s="153">
        <f t="shared" si="18"/>
        <v>0.30517175125130819</v>
      </c>
      <c r="N56" s="153">
        <f t="shared" si="13"/>
        <v>6.4382901488035555</v>
      </c>
      <c r="O56" s="153">
        <f t="shared" si="19"/>
        <v>1.2507038985709351</v>
      </c>
      <c r="P56" s="153">
        <f t="shared" si="19"/>
        <v>0.25014077971418702</v>
      </c>
      <c r="Q56" s="153">
        <f t="shared" si="19"/>
        <v>0.26709198655281841</v>
      </c>
      <c r="R56" s="153">
        <f t="shared" si="19"/>
        <v>0.16676051980945802</v>
      </c>
      <c r="S56" s="153">
        <f t="shared" si="19"/>
        <v>3.7521116957128053</v>
      </c>
      <c r="T56" s="144">
        <f t="shared" si="14"/>
        <v>6.9233131206693637</v>
      </c>
      <c r="U56" s="153">
        <f t="shared" si="15"/>
        <v>1.0839433787614772</v>
      </c>
      <c r="V56" s="22">
        <f t="shared" si="12"/>
        <v>24.423103703291954</v>
      </c>
    </row>
    <row r="57" spans="1:22" ht="14.4" x14ac:dyDescent="0.3">
      <c r="A57" s="89">
        <f>'Lista de Compra'!A56</f>
        <v>53</v>
      </c>
      <c r="B57" s="151">
        <f>'Lista de Compra'!I56</f>
        <v>100</v>
      </c>
      <c r="C57" s="152">
        <f>'Lista de Compra'!L56</f>
        <v>8.005713360417821E-4</v>
      </c>
      <c r="E57" s="153">
        <f t="shared" si="18"/>
        <v>77.271145354752804</v>
      </c>
      <c r="F57" s="153">
        <f t="shared" si="18"/>
        <v>0.28019996761462374</v>
      </c>
      <c r="G57" s="153">
        <f t="shared" si="18"/>
        <v>0.88062846964596031</v>
      </c>
      <c r="H57" s="153">
        <f t="shared" si="18"/>
        <v>1.2008570040626732</v>
      </c>
      <c r="I57" s="153">
        <f t="shared" si="18"/>
        <v>8.005713360417821E-2</v>
      </c>
      <c r="J57" s="153">
        <f t="shared" si="18"/>
        <v>0.14410284048752078</v>
      </c>
      <c r="K57" s="153">
        <f t="shared" si="18"/>
        <v>0.39227995466047322</v>
      </c>
      <c r="L57" s="153">
        <f t="shared" si="18"/>
        <v>0.84860561620428898</v>
      </c>
      <c r="M57" s="153">
        <f t="shared" si="18"/>
        <v>0.29300910899129223</v>
      </c>
      <c r="N57" s="153">
        <f t="shared" si="13"/>
        <v>6.1816916283802241</v>
      </c>
      <c r="O57" s="153">
        <f t="shared" si="19"/>
        <v>1.2008570040626732</v>
      </c>
      <c r="P57" s="153">
        <f t="shared" si="19"/>
        <v>0.24017140081253463</v>
      </c>
      <c r="Q57" s="153">
        <f t="shared" si="19"/>
        <v>0.25644701607426407</v>
      </c>
      <c r="R57" s="153">
        <f t="shared" si="19"/>
        <v>0.16011426720835642</v>
      </c>
      <c r="S57" s="153">
        <f t="shared" si="19"/>
        <v>3.6025710121880197</v>
      </c>
      <c r="T57" s="144">
        <f t="shared" si="14"/>
        <v>6.647383974555729</v>
      </c>
      <c r="U57" s="153">
        <f t="shared" si="15"/>
        <v>1.0407427368543167</v>
      </c>
      <c r="V57" s="22">
        <f t="shared" si="12"/>
        <v>23.449719135407129</v>
      </c>
    </row>
    <row r="58" spans="1:22" ht="14.4" x14ac:dyDescent="0.3">
      <c r="A58" s="89">
        <f>'Lista de Compra'!A57</f>
        <v>54</v>
      </c>
      <c r="B58" s="151">
        <f>'Lista de Compra'!I57</f>
        <v>75</v>
      </c>
      <c r="C58" s="152">
        <f>'Lista de Compra'!L57</f>
        <v>3.2853635016808982E-4</v>
      </c>
      <c r="E58" s="153">
        <f t="shared" si="18"/>
        <v>31.710328518224031</v>
      </c>
      <c r="F58" s="153">
        <f t="shared" si="18"/>
        <v>0.11498772255883144</v>
      </c>
      <c r="G58" s="153">
        <f t="shared" si="18"/>
        <v>0.36138998518489879</v>
      </c>
      <c r="H58" s="153">
        <f t="shared" si="18"/>
        <v>0.49280452525213475</v>
      </c>
      <c r="I58" s="153">
        <f t="shared" si="18"/>
        <v>3.2853635016808984E-2</v>
      </c>
      <c r="J58" s="153">
        <f t="shared" si="18"/>
        <v>5.9136543030256165E-2</v>
      </c>
      <c r="K58" s="153">
        <f t="shared" si="18"/>
        <v>0.16098281158236402</v>
      </c>
      <c r="L58" s="153">
        <f t="shared" si="18"/>
        <v>0.34824853117817522</v>
      </c>
      <c r="M58" s="153">
        <f t="shared" si="18"/>
        <v>0.12024430416152088</v>
      </c>
      <c r="N58" s="153">
        <f t="shared" si="13"/>
        <v>2.5368262814579228</v>
      </c>
      <c r="O58" s="153">
        <f t="shared" si="19"/>
        <v>0.49280452525213475</v>
      </c>
      <c r="P58" s="153">
        <f t="shared" si="19"/>
        <v>9.8560905050426945E-2</v>
      </c>
      <c r="Q58" s="153">
        <f t="shared" si="19"/>
        <v>0.10524004904934421</v>
      </c>
      <c r="R58" s="153">
        <f t="shared" si="19"/>
        <v>6.5707270033617968E-2</v>
      </c>
      <c r="S58" s="153">
        <f t="shared" si="19"/>
        <v>1.4784135757564043</v>
      </c>
      <c r="T58" s="144">
        <f t="shared" si="14"/>
        <v>2.7279358763507</v>
      </c>
      <c r="U58" s="153">
        <f t="shared" si="15"/>
        <v>0.42709725521851677</v>
      </c>
      <c r="V58" s="22">
        <f t="shared" si="12"/>
        <v>9.6232337961340573</v>
      </c>
    </row>
    <row r="59" spans="1:22" ht="14.4" x14ac:dyDescent="0.3">
      <c r="A59" s="89">
        <f>'Lista de Compra'!A58</f>
        <v>55</v>
      </c>
      <c r="B59" s="151">
        <f>'Lista de Compra'!I58</f>
        <v>10</v>
      </c>
      <c r="C59" s="152">
        <f>'Lista de Compra'!L58</f>
        <v>3.5512136057249621E-3</v>
      </c>
      <c r="E59" s="153">
        <f t="shared" si="18"/>
        <v>342.76313722457331</v>
      </c>
      <c r="F59" s="153">
        <f t="shared" si="18"/>
        <v>1.2429247620037367</v>
      </c>
      <c r="G59" s="153">
        <f t="shared" si="18"/>
        <v>3.9063349662974582</v>
      </c>
      <c r="H59" s="153">
        <f t="shared" si="18"/>
        <v>5.3268204085874427</v>
      </c>
      <c r="I59" s="153">
        <f t="shared" si="18"/>
        <v>0.35512136057249621</v>
      </c>
      <c r="J59" s="153">
        <f t="shared" si="18"/>
        <v>0.63921844903049319</v>
      </c>
      <c r="K59" s="153">
        <f t="shared" si="18"/>
        <v>1.7400946668052315</v>
      </c>
      <c r="L59" s="153">
        <f t="shared" si="18"/>
        <v>3.76428642206846</v>
      </c>
      <c r="M59" s="153">
        <f t="shared" si="18"/>
        <v>1.2997441796953362</v>
      </c>
      <c r="N59" s="153">
        <f t="shared" si="13"/>
        <v>27.421050977965866</v>
      </c>
      <c r="O59" s="153">
        <f t="shared" si="19"/>
        <v>5.3268204085874427</v>
      </c>
      <c r="P59" s="153">
        <f t="shared" si="19"/>
        <v>1.0653640817174885</v>
      </c>
      <c r="Q59" s="153">
        <f t="shared" si="19"/>
        <v>1.137560254321877</v>
      </c>
      <c r="R59" s="153">
        <f t="shared" si="19"/>
        <v>0.71024272114499243</v>
      </c>
      <c r="S59" s="153">
        <f t="shared" si="19"/>
        <v>15.98046122576233</v>
      </c>
      <c r="T59" s="144">
        <f t="shared" si="14"/>
        <v>29.486791932416075</v>
      </c>
      <c r="U59" s="153">
        <f t="shared" si="15"/>
        <v>4.6165776874424509</v>
      </c>
      <c r="V59" s="22">
        <f t="shared" si="12"/>
        <v>104.01941450441919</v>
      </c>
    </row>
    <row r="60" spans="1:22" ht="14.4" x14ac:dyDescent="0.3">
      <c r="A60" s="89">
        <f>'Lista de Compra'!A59</f>
        <v>56</v>
      </c>
      <c r="B60" s="151">
        <f>'Lista de Compra'!I59</f>
        <v>40</v>
      </c>
      <c r="C60" s="152">
        <f>'Lista de Compra'!L59</f>
        <v>2.2355576930978068E-4</v>
      </c>
      <c r="E60" s="153">
        <f t="shared" si="18"/>
        <v>21.577602853780032</v>
      </c>
      <c r="F60" s="153">
        <f t="shared" si="18"/>
        <v>7.824451925842324E-2</v>
      </c>
      <c r="G60" s="153">
        <f t="shared" si="18"/>
        <v>0.24591134624075875</v>
      </c>
      <c r="H60" s="153">
        <f t="shared" si="18"/>
        <v>0.33533365396467102</v>
      </c>
      <c r="I60" s="153">
        <f t="shared" si="18"/>
        <v>2.2355576930978067E-2</v>
      </c>
      <c r="J60" s="153">
        <f t="shared" si="18"/>
        <v>4.024003847576052E-2</v>
      </c>
      <c r="K60" s="153">
        <f t="shared" si="18"/>
        <v>0.10954232696179253</v>
      </c>
      <c r="L60" s="153">
        <f t="shared" si="18"/>
        <v>0.23696911546836752</v>
      </c>
      <c r="M60" s="153">
        <f t="shared" si="18"/>
        <v>8.1821411567379737E-2</v>
      </c>
      <c r="N60" s="153">
        <f t="shared" si="13"/>
        <v>1.7262082283024025</v>
      </c>
      <c r="O60" s="153">
        <f t="shared" si="19"/>
        <v>0.33533365396467102</v>
      </c>
      <c r="P60" s="153">
        <f t="shared" si="19"/>
        <v>6.7066730792934209E-2</v>
      </c>
      <c r="Q60" s="153">
        <f t="shared" si="19"/>
        <v>7.1611619583002037E-2</v>
      </c>
      <c r="R60" s="153">
        <f t="shared" si="19"/>
        <v>4.4711153861956135E-2</v>
      </c>
      <c r="S60" s="153">
        <f t="shared" si="19"/>
        <v>1.0060009618940131</v>
      </c>
      <c r="T60" s="144">
        <f t="shared" si="14"/>
        <v>1.8562506193099018</v>
      </c>
      <c r="U60" s="153">
        <f t="shared" si="15"/>
        <v>0.2906225001027149</v>
      </c>
      <c r="V60" s="22">
        <f t="shared" si="12"/>
        <v>6.5482234566797279</v>
      </c>
    </row>
    <row r="61" spans="1:22" ht="14.4" x14ac:dyDescent="0.3">
      <c r="A61" s="89">
        <f>'Lista de Compra'!A60</f>
        <v>57</v>
      </c>
      <c r="B61" s="151">
        <f>'Lista de Compra'!I60</f>
        <v>30</v>
      </c>
      <c r="C61" s="152">
        <f>'Lista de Compra'!L60</f>
        <v>2.582975442700844E-4</v>
      </c>
      <c r="E61" s="153">
        <f t="shared" si="18"/>
        <v>24.930878972948548</v>
      </c>
      <c r="F61" s="153">
        <f t="shared" si="18"/>
        <v>9.0404140494529536E-2</v>
      </c>
      <c r="G61" s="153">
        <f t="shared" si="18"/>
        <v>0.28412729869709286</v>
      </c>
      <c r="H61" s="153">
        <f t="shared" si="18"/>
        <v>0.38744631640512661</v>
      </c>
      <c r="I61" s="153">
        <f t="shared" si="18"/>
        <v>2.5829754427008439E-2</v>
      </c>
      <c r="J61" s="153">
        <f t="shared" si="18"/>
        <v>4.6493557968615193E-2</v>
      </c>
      <c r="K61" s="153">
        <f t="shared" si="18"/>
        <v>0.12656579669234136</v>
      </c>
      <c r="L61" s="153">
        <f t="shared" si="18"/>
        <v>0.27379539692628946</v>
      </c>
      <c r="M61" s="153">
        <f t="shared" si="18"/>
        <v>9.4536901202850895E-2</v>
      </c>
      <c r="N61" s="153">
        <f t="shared" si="13"/>
        <v>1.9944703178358838</v>
      </c>
      <c r="O61" s="153">
        <f t="shared" si="19"/>
        <v>0.38744631640512661</v>
      </c>
      <c r="P61" s="153">
        <f t="shared" si="19"/>
        <v>7.7489263281025317E-2</v>
      </c>
      <c r="Q61" s="153">
        <f t="shared" si="19"/>
        <v>8.2740452356036137E-2</v>
      </c>
      <c r="R61" s="153">
        <f t="shared" si="19"/>
        <v>5.1659508854016878E-2</v>
      </c>
      <c r="S61" s="153">
        <f t="shared" si="19"/>
        <v>1.1623389492153797</v>
      </c>
      <c r="T61" s="144">
        <f t="shared" si="14"/>
        <v>2.1447219993377917</v>
      </c>
      <c r="U61" s="153">
        <f t="shared" si="15"/>
        <v>0.33578680755110973</v>
      </c>
      <c r="V61" s="22">
        <f t="shared" si="12"/>
        <v>7.5658527776502256</v>
      </c>
    </row>
    <row r="62" spans="1:22" ht="14.4" x14ac:dyDescent="0.3">
      <c r="A62" s="89">
        <f>'Lista de Compra'!A61</f>
        <v>58</v>
      </c>
      <c r="B62" s="151">
        <f>'Lista de Compra'!I61</f>
        <v>30</v>
      </c>
      <c r="C62" s="152">
        <f>'Lista de Compra'!L61</f>
        <v>7.4317188175954108E-4</v>
      </c>
      <c r="E62" s="153">
        <f t="shared" si="18"/>
        <v>71.730950027430907</v>
      </c>
      <c r="F62" s="153">
        <f t="shared" si="18"/>
        <v>0.26011015861583936</v>
      </c>
      <c r="G62" s="153">
        <f t="shared" si="18"/>
        <v>0.81748906993549519</v>
      </c>
      <c r="H62" s="153">
        <f t="shared" si="18"/>
        <v>1.1147578226393116</v>
      </c>
      <c r="I62" s="153">
        <f t="shared" si="18"/>
        <v>7.4317188175954105E-2</v>
      </c>
      <c r="J62" s="153">
        <f t="shared" si="18"/>
        <v>0.13377093871671739</v>
      </c>
      <c r="K62" s="153">
        <f t="shared" si="18"/>
        <v>0.36415422206217513</v>
      </c>
      <c r="L62" s="153">
        <f t="shared" si="18"/>
        <v>0.78776219466511355</v>
      </c>
      <c r="M62" s="153">
        <f t="shared" si="18"/>
        <v>0.27200090872399202</v>
      </c>
      <c r="N62" s="153">
        <f t="shared" si="13"/>
        <v>5.7384760021944725</v>
      </c>
      <c r="O62" s="153">
        <f t="shared" si="19"/>
        <v>1.1147578226393116</v>
      </c>
      <c r="P62" s="153">
        <f t="shared" si="19"/>
        <v>0.22295156452786233</v>
      </c>
      <c r="Q62" s="153">
        <f t="shared" si="19"/>
        <v>0.23806024888403379</v>
      </c>
      <c r="R62" s="153">
        <f t="shared" si="19"/>
        <v>0.14863437635190821</v>
      </c>
      <c r="S62" s="153">
        <f t="shared" si="19"/>
        <v>3.3442734679179349</v>
      </c>
      <c r="T62" s="144">
        <f t="shared" si="14"/>
        <v>6.1707790858139973</v>
      </c>
      <c r="U62" s="153">
        <f t="shared" si="15"/>
        <v>0.96612344628740343</v>
      </c>
      <c r="V62" s="22">
        <f t="shared" si="12"/>
        <v>21.768418518151524</v>
      </c>
    </row>
    <row r="63" spans="1:22" ht="14.4" x14ac:dyDescent="0.3">
      <c r="A63" s="89">
        <f>'Lista de Compra'!A62</f>
        <v>59</v>
      </c>
      <c r="B63" s="151">
        <f>'Lista de Compra'!I62</f>
        <v>30</v>
      </c>
      <c r="C63" s="152">
        <f>'Lista de Compra'!L62</f>
        <v>1.3322715441299092E-3</v>
      </c>
      <c r="E63" s="153">
        <f t="shared" si="18"/>
        <v>128.59084943941883</v>
      </c>
      <c r="F63" s="153">
        <f t="shared" si="18"/>
        <v>0.46629504044546821</v>
      </c>
      <c r="G63" s="153">
        <f t="shared" si="18"/>
        <v>1.4654986985429002</v>
      </c>
      <c r="H63" s="153">
        <f t="shared" si="18"/>
        <v>1.9984073161948639</v>
      </c>
      <c r="I63" s="153">
        <f t="shared" si="18"/>
        <v>0.13322715441299093</v>
      </c>
      <c r="J63" s="153">
        <f t="shared" si="18"/>
        <v>0.23980887794338365</v>
      </c>
      <c r="K63" s="153">
        <f t="shared" si="18"/>
        <v>0.65281305662365552</v>
      </c>
      <c r="L63" s="153">
        <f t="shared" si="18"/>
        <v>1.4122078367777038</v>
      </c>
      <c r="M63" s="153">
        <f t="shared" si="18"/>
        <v>0.48761138515154678</v>
      </c>
      <c r="N63" s="153">
        <f t="shared" si="13"/>
        <v>10.287267955153506</v>
      </c>
      <c r="O63" s="153">
        <f t="shared" si="19"/>
        <v>1.9984073161948639</v>
      </c>
      <c r="P63" s="153">
        <f t="shared" si="19"/>
        <v>0.39968146323897275</v>
      </c>
      <c r="Q63" s="153">
        <f t="shared" si="19"/>
        <v>0.42676654373113382</v>
      </c>
      <c r="R63" s="153">
        <f t="shared" si="19"/>
        <v>0.26645430882598187</v>
      </c>
      <c r="S63" s="153">
        <f t="shared" si="19"/>
        <v>5.9952219485845912</v>
      </c>
      <c r="T63" s="144">
        <f t="shared" si="14"/>
        <v>11.062250312373875</v>
      </c>
      <c r="U63" s="153">
        <f t="shared" si="15"/>
        <v>1.731953007368882</v>
      </c>
      <c r="V63" s="22">
        <f t="shared" si="12"/>
        <v>39.023872221564318</v>
      </c>
    </row>
    <row r="64" spans="1:22" ht="14.4" x14ac:dyDescent="0.3">
      <c r="A64" s="89">
        <f>'Lista de Compra'!A63</f>
        <v>60</v>
      </c>
      <c r="B64" s="151">
        <f>'Lista de Compra'!I63</f>
        <v>10</v>
      </c>
      <c r="C64" s="152">
        <f>'Lista de Compra'!L63</f>
        <v>3.8306583173621876E-3</v>
      </c>
      <c r="E64" s="153">
        <f t="shared" si="18"/>
        <v>369.73514079179836</v>
      </c>
      <c r="F64" s="153">
        <f t="shared" si="18"/>
        <v>1.3407304110767657</v>
      </c>
      <c r="G64" s="153">
        <f t="shared" si="18"/>
        <v>4.2137241490984065</v>
      </c>
      <c r="H64" s="153">
        <f t="shared" si="18"/>
        <v>5.7459874760432816</v>
      </c>
      <c r="I64" s="153">
        <f t="shared" si="18"/>
        <v>0.38306583173621878</v>
      </c>
      <c r="J64" s="153">
        <f t="shared" si="18"/>
        <v>0.68951849712519375</v>
      </c>
      <c r="K64" s="153">
        <f t="shared" si="18"/>
        <v>1.8770225755074719</v>
      </c>
      <c r="L64" s="153">
        <f t="shared" si="18"/>
        <v>4.0604978164039185</v>
      </c>
      <c r="M64" s="153">
        <f t="shared" si="18"/>
        <v>1.4020209441545606</v>
      </c>
      <c r="N64" s="153">
        <f t="shared" si="13"/>
        <v>29.578811263343869</v>
      </c>
      <c r="O64" s="153">
        <f t="shared" si="19"/>
        <v>5.7459874760432816</v>
      </c>
      <c r="P64" s="153">
        <f t="shared" si="19"/>
        <v>1.1491974952086563</v>
      </c>
      <c r="Q64" s="153">
        <f t="shared" si="19"/>
        <v>1.2270747788006295</v>
      </c>
      <c r="R64" s="153">
        <f t="shared" si="19"/>
        <v>0.76613166347243755</v>
      </c>
      <c r="S64" s="153">
        <f t="shared" si="19"/>
        <v>17.237962428129844</v>
      </c>
      <c r="T64" s="144">
        <f t="shared" si="14"/>
        <v>31.807105206553448</v>
      </c>
      <c r="U64" s="153">
        <f t="shared" si="15"/>
        <v>4.9798558125708441</v>
      </c>
      <c r="V64" s="22">
        <f t="shared" si="12"/>
        <v>112.20469382526882</v>
      </c>
    </row>
    <row r="65" spans="1:22" ht="14.4" x14ac:dyDescent="0.3">
      <c r="A65" s="89">
        <f>'Lista de Compra'!A64</f>
        <v>61</v>
      </c>
      <c r="B65" s="151">
        <f>'Lista de Compra'!I64</f>
        <v>20</v>
      </c>
      <c r="C65" s="152">
        <f>'Lista de Compra'!L64</f>
        <v>6.1326785364710095E-4</v>
      </c>
      <c r="E65" s="153">
        <f t="shared" ref="E65:M74" si="20">E$4*$C65</f>
        <v>59.192613234018182</v>
      </c>
      <c r="F65" s="153">
        <f t="shared" si="20"/>
        <v>0.21464374877648534</v>
      </c>
      <c r="G65" s="153">
        <f t="shared" si="20"/>
        <v>0.67459463901181105</v>
      </c>
      <c r="H65" s="153">
        <f t="shared" si="20"/>
        <v>0.91990178047065141</v>
      </c>
      <c r="I65" s="153">
        <f t="shared" si="20"/>
        <v>6.1326785364710097E-2</v>
      </c>
      <c r="J65" s="153">
        <f t="shared" si="20"/>
        <v>0.11038821365647818</v>
      </c>
      <c r="K65" s="153">
        <f t="shared" si="20"/>
        <v>0.30050124828707947</v>
      </c>
      <c r="L65" s="153">
        <f t="shared" si="20"/>
        <v>0.65006392486592701</v>
      </c>
      <c r="M65" s="153">
        <f t="shared" si="20"/>
        <v>0.22445603443483894</v>
      </c>
      <c r="N65" s="153">
        <f t="shared" si="13"/>
        <v>4.735409058721455</v>
      </c>
      <c r="O65" s="153">
        <f t="shared" ref="O65:S74" si="21">O$4*$C65</f>
        <v>0.91990178047065141</v>
      </c>
      <c r="P65" s="153">
        <f t="shared" si="21"/>
        <v>0.18398035609413027</v>
      </c>
      <c r="Q65" s="153">
        <f t="shared" si="21"/>
        <v>0.19644809155877582</v>
      </c>
      <c r="R65" s="153">
        <f t="shared" si="21"/>
        <v>0.12265357072942019</v>
      </c>
      <c r="S65" s="153">
        <f t="shared" si="21"/>
        <v>2.7597053414119541</v>
      </c>
      <c r="T65" s="144">
        <f t="shared" si="14"/>
        <v>5.092146969187973</v>
      </c>
      <c r="U65" s="153">
        <f t="shared" si="15"/>
        <v>0.79724820974123123</v>
      </c>
      <c r="V65" s="22">
        <f t="shared" si="12"/>
        <v>17.963369752783571</v>
      </c>
    </row>
    <row r="66" spans="1:22" ht="14.4" x14ac:dyDescent="0.3">
      <c r="A66" s="89">
        <f>'Lista de Compra'!A65</f>
        <v>62</v>
      </c>
      <c r="B66" s="151">
        <f>'Lista de Compra'!I65</f>
        <v>20</v>
      </c>
      <c r="C66" s="152">
        <f>'Lista de Compra'!L65</f>
        <v>9.1839126851585566E-4</v>
      </c>
      <c r="E66" s="153">
        <f t="shared" si="20"/>
        <v>88.643125237150386</v>
      </c>
      <c r="F66" s="153">
        <f t="shared" si="20"/>
        <v>0.32143694398054951</v>
      </c>
      <c r="G66" s="153">
        <f t="shared" si="20"/>
        <v>1.0102303953674412</v>
      </c>
      <c r="H66" s="153">
        <f t="shared" si="20"/>
        <v>1.3775869027737835</v>
      </c>
      <c r="I66" s="153">
        <f t="shared" si="20"/>
        <v>9.1839126851585573E-2</v>
      </c>
      <c r="J66" s="153">
        <f t="shared" si="20"/>
        <v>0.16531042833285403</v>
      </c>
      <c r="K66" s="153">
        <f t="shared" si="20"/>
        <v>0.45001172157276925</v>
      </c>
      <c r="L66" s="153">
        <f t="shared" si="20"/>
        <v>0.97349474462680696</v>
      </c>
      <c r="M66" s="153">
        <f t="shared" si="20"/>
        <v>0.33613120427680315</v>
      </c>
      <c r="N66" s="153">
        <f t="shared" si="13"/>
        <v>7.0914500189720311</v>
      </c>
      <c r="O66" s="153">
        <f t="shared" si="21"/>
        <v>1.3775869027737835</v>
      </c>
      <c r="P66" s="153">
        <f t="shared" si="21"/>
        <v>0.27551738055475672</v>
      </c>
      <c r="Q66" s="153">
        <f t="shared" si="21"/>
        <v>0.29418827504368406</v>
      </c>
      <c r="R66" s="153">
        <f t="shared" si="21"/>
        <v>0.18367825370317115</v>
      </c>
      <c r="S66" s="153">
        <f t="shared" si="21"/>
        <v>4.1327607083213502</v>
      </c>
      <c r="T66" s="144">
        <f t="shared" si="14"/>
        <v>7.6256782198677033</v>
      </c>
      <c r="U66" s="153">
        <f t="shared" si="15"/>
        <v>1.1939086490706123</v>
      </c>
      <c r="V66" s="22">
        <f t="shared" si="12"/>
        <v>26.900809876089685</v>
      </c>
    </row>
    <row r="67" spans="1:22" ht="14.4" x14ac:dyDescent="0.3">
      <c r="A67" s="89">
        <f>'Lista de Compra'!A66</f>
        <v>63</v>
      </c>
      <c r="B67" s="151">
        <f>'Lista de Compra'!I66</f>
        <v>40</v>
      </c>
      <c r="C67" s="152">
        <f>'Lista de Compra'!L66</f>
        <v>5.9816273409914287E-4</v>
      </c>
      <c r="E67" s="153">
        <f t="shared" si="20"/>
        <v>57.734667095249272</v>
      </c>
      <c r="F67" s="153">
        <f t="shared" si="20"/>
        <v>0.20935695693469999</v>
      </c>
      <c r="G67" s="153">
        <f t="shared" si="20"/>
        <v>0.65797900750905713</v>
      </c>
      <c r="H67" s="153">
        <f t="shared" si="20"/>
        <v>0.89724410114871433</v>
      </c>
      <c r="I67" s="153">
        <f t="shared" si="20"/>
        <v>5.9816273409914286E-2</v>
      </c>
      <c r="J67" s="153">
        <f t="shared" si="20"/>
        <v>0.10766929213784572</v>
      </c>
      <c r="K67" s="153">
        <f t="shared" si="20"/>
        <v>0.29309973970858</v>
      </c>
      <c r="L67" s="153">
        <f t="shared" si="20"/>
        <v>0.63405249814509146</v>
      </c>
      <c r="M67" s="153">
        <f t="shared" si="20"/>
        <v>0.21892756068028629</v>
      </c>
      <c r="N67" s="153">
        <f t="shared" si="13"/>
        <v>4.6187733676199416</v>
      </c>
      <c r="O67" s="153">
        <f t="shared" si="21"/>
        <v>0.89724410114871433</v>
      </c>
      <c r="P67" s="153">
        <f t="shared" si="21"/>
        <v>0.17944882022974287</v>
      </c>
      <c r="Q67" s="153">
        <f t="shared" si="21"/>
        <v>0.19160946861397843</v>
      </c>
      <c r="R67" s="153">
        <f t="shared" si="21"/>
        <v>0.11963254681982857</v>
      </c>
      <c r="S67" s="153">
        <f t="shared" si="21"/>
        <v>2.6917323034461429</v>
      </c>
      <c r="T67" s="144">
        <f t="shared" si="14"/>
        <v>4.9667246300454124</v>
      </c>
      <c r="U67" s="153">
        <f t="shared" si="15"/>
        <v>0.77761155432888573</v>
      </c>
      <c r="V67" s="22">
        <f t="shared" si="12"/>
        <v>17.520922221926835</v>
      </c>
    </row>
    <row r="68" spans="1:22" ht="14.4" x14ac:dyDescent="0.3">
      <c r="A68" s="89">
        <f>'Lista de Compra'!A67</f>
        <v>64</v>
      </c>
      <c r="B68" s="151">
        <f>'Lista de Compra'!I67</f>
        <v>40</v>
      </c>
      <c r="C68" s="152">
        <f>'Lista de Compra'!L67</f>
        <v>9.5464355543095538E-4</v>
      </c>
      <c r="E68" s="153">
        <f t="shared" si="20"/>
        <v>92.142195970195814</v>
      </c>
      <c r="F68" s="153">
        <f t="shared" si="20"/>
        <v>0.33412524440083441</v>
      </c>
      <c r="G68" s="153">
        <f t="shared" si="20"/>
        <v>1.050107910974051</v>
      </c>
      <c r="H68" s="153">
        <f t="shared" si="20"/>
        <v>1.431965333146433</v>
      </c>
      <c r="I68" s="153">
        <f t="shared" si="20"/>
        <v>9.5464355543095542E-2</v>
      </c>
      <c r="J68" s="153">
        <f t="shared" si="20"/>
        <v>0.17183583997757196</v>
      </c>
      <c r="K68" s="153">
        <f t="shared" si="20"/>
        <v>0.46777534216116812</v>
      </c>
      <c r="L68" s="153">
        <f t="shared" si="20"/>
        <v>1.0119221687568127</v>
      </c>
      <c r="M68" s="153">
        <f t="shared" si="20"/>
        <v>0.34939954128772965</v>
      </c>
      <c r="N68" s="153">
        <f t="shared" si="13"/>
        <v>7.3713756776156654</v>
      </c>
      <c r="O68" s="153">
        <f t="shared" si="21"/>
        <v>1.431965333146433</v>
      </c>
      <c r="P68" s="153">
        <f t="shared" si="21"/>
        <v>0.2863930666292866</v>
      </c>
      <c r="Q68" s="153">
        <f t="shared" si="21"/>
        <v>0.30580097011119795</v>
      </c>
      <c r="R68" s="153">
        <f t="shared" si="21"/>
        <v>0.19092871108619108</v>
      </c>
      <c r="S68" s="153">
        <f t="shared" si="21"/>
        <v>4.2958959994392991</v>
      </c>
      <c r="T68" s="144">
        <f t="shared" si="14"/>
        <v>7.9266918338098513</v>
      </c>
      <c r="U68" s="153">
        <f t="shared" si="15"/>
        <v>1.241036622060242</v>
      </c>
      <c r="V68" s="22">
        <f t="shared" ref="V68:V99" si="22">SUM(F68:U68)</f>
        <v>27.962683950145863</v>
      </c>
    </row>
    <row r="69" spans="1:22" ht="14.4" x14ac:dyDescent="0.3">
      <c r="A69" s="89">
        <f>'Lista de Compra'!A68</f>
        <v>65</v>
      </c>
      <c r="B69" s="151">
        <f>'Lista de Compra'!I68</f>
        <v>100</v>
      </c>
      <c r="C69" s="152">
        <f>'Lista de Compra'!L68</f>
        <v>2.2355576930978066E-3</v>
      </c>
      <c r="E69" s="153">
        <f t="shared" si="20"/>
        <v>215.7760285378003</v>
      </c>
      <c r="F69" s="153">
        <f t="shared" si="20"/>
        <v>0.78244519258423229</v>
      </c>
      <c r="G69" s="153">
        <f t="shared" si="20"/>
        <v>2.4591134624075872</v>
      </c>
      <c r="H69" s="153">
        <f t="shared" si="20"/>
        <v>3.3533365396467101</v>
      </c>
      <c r="I69" s="153">
        <f t="shared" si="20"/>
        <v>0.22355576930978066</v>
      </c>
      <c r="J69" s="153">
        <f t="shared" si="20"/>
        <v>0.4024003847576052</v>
      </c>
      <c r="K69" s="153">
        <f t="shared" si="20"/>
        <v>1.0954232696179251</v>
      </c>
      <c r="L69" s="153">
        <f t="shared" si="20"/>
        <v>2.3696911546836747</v>
      </c>
      <c r="M69" s="153">
        <f t="shared" si="20"/>
        <v>0.8182141156737972</v>
      </c>
      <c r="N69" s="153">
        <f t="shared" ref="N69:N100" si="23">$N$4*E69</f>
        <v>17.262082283024025</v>
      </c>
      <c r="O69" s="153">
        <f t="shared" si="21"/>
        <v>3.3533365396467101</v>
      </c>
      <c r="P69" s="153">
        <f t="shared" si="21"/>
        <v>0.67066730792934193</v>
      </c>
      <c r="Q69" s="153">
        <f t="shared" si="21"/>
        <v>0.7161161958300204</v>
      </c>
      <c r="R69" s="153">
        <f t="shared" si="21"/>
        <v>0.44711153861956132</v>
      </c>
      <c r="S69" s="153">
        <f t="shared" si="21"/>
        <v>10.06000961894013</v>
      </c>
      <c r="T69" s="144">
        <f t="shared" ref="T69:T100" si="24">T$4*C69</f>
        <v>18.562506193099015</v>
      </c>
      <c r="U69" s="153">
        <f t="shared" ref="U69:U100" si="25">U$4*$C69</f>
        <v>2.9062250010271486</v>
      </c>
      <c r="V69" s="22">
        <f t="shared" si="22"/>
        <v>65.48223456679726</v>
      </c>
    </row>
    <row r="70" spans="1:22" ht="14.4" x14ac:dyDescent="0.3">
      <c r="A70" s="89">
        <f>'Lista de Compra'!A69</f>
        <v>66</v>
      </c>
      <c r="B70" s="151">
        <f>'Lista de Compra'!I69</f>
        <v>30</v>
      </c>
      <c r="C70" s="152">
        <f>'Lista de Compra'!L69</f>
        <v>1.250703898570935E-3</v>
      </c>
      <c r="E70" s="153">
        <f t="shared" si="20"/>
        <v>120.71794029006665</v>
      </c>
      <c r="F70" s="153">
        <f t="shared" si="20"/>
        <v>0.43774636449982729</v>
      </c>
      <c r="G70" s="153">
        <f t="shared" si="20"/>
        <v>1.3757742884280286</v>
      </c>
      <c r="H70" s="153">
        <f t="shared" si="20"/>
        <v>1.8760558478564024</v>
      </c>
      <c r="I70" s="153">
        <f t="shared" si="20"/>
        <v>0.12507038985709351</v>
      </c>
      <c r="J70" s="153">
        <f t="shared" si="20"/>
        <v>0.2251267017427683</v>
      </c>
      <c r="K70" s="153">
        <f t="shared" si="20"/>
        <v>0.61284491029975818</v>
      </c>
      <c r="L70" s="153">
        <f t="shared" si="20"/>
        <v>1.3257461324851911</v>
      </c>
      <c r="M70" s="153">
        <f t="shared" si="20"/>
        <v>0.4577576268769622</v>
      </c>
      <c r="N70" s="153">
        <f t="shared" si="23"/>
        <v>9.6574352232053329</v>
      </c>
      <c r="O70" s="153">
        <f t="shared" si="21"/>
        <v>1.8760558478564024</v>
      </c>
      <c r="P70" s="153">
        <f t="shared" si="21"/>
        <v>0.37521116957128053</v>
      </c>
      <c r="Q70" s="153">
        <f t="shared" si="21"/>
        <v>0.40063797982922761</v>
      </c>
      <c r="R70" s="153">
        <f t="shared" si="21"/>
        <v>0.25014077971418702</v>
      </c>
      <c r="S70" s="153">
        <f t="shared" si="21"/>
        <v>5.6281675435692078</v>
      </c>
      <c r="T70" s="144">
        <f t="shared" si="24"/>
        <v>10.384969681004044</v>
      </c>
      <c r="U70" s="153">
        <f t="shared" si="25"/>
        <v>1.6259150681422156</v>
      </c>
      <c r="V70" s="22">
        <f t="shared" si="22"/>
        <v>36.634655554937929</v>
      </c>
    </row>
    <row r="71" spans="1:22" ht="14.4" x14ac:dyDescent="0.3">
      <c r="A71" s="89">
        <f>'Lista de Compra'!A70</f>
        <v>67</v>
      </c>
      <c r="B71" s="151">
        <f>'Lista de Compra'!I70</f>
        <v>30</v>
      </c>
      <c r="C71" s="152">
        <f>'Lista de Compra'!L70</f>
        <v>6.2535194928546752E-4</v>
      </c>
      <c r="E71" s="153">
        <f t="shared" si="20"/>
        <v>60.358970145033325</v>
      </c>
      <c r="F71" s="153">
        <f t="shared" si="20"/>
        <v>0.21887318224991364</v>
      </c>
      <c r="G71" s="153">
        <f t="shared" si="20"/>
        <v>0.68788714421401431</v>
      </c>
      <c r="H71" s="153">
        <f t="shared" si="20"/>
        <v>0.93802792392820122</v>
      </c>
      <c r="I71" s="153">
        <f t="shared" si="20"/>
        <v>6.2535194928546756E-2</v>
      </c>
      <c r="J71" s="153">
        <f t="shared" si="20"/>
        <v>0.11256335087138415</v>
      </c>
      <c r="K71" s="153">
        <f t="shared" si="20"/>
        <v>0.30642245514987909</v>
      </c>
      <c r="L71" s="153">
        <f t="shared" si="20"/>
        <v>0.66287306624259557</v>
      </c>
      <c r="M71" s="153">
        <f t="shared" si="20"/>
        <v>0.2288788134384811</v>
      </c>
      <c r="N71" s="153">
        <f t="shared" si="23"/>
        <v>4.8287176116026664</v>
      </c>
      <c r="O71" s="153">
        <f t="shared" si="21"/>
        <v>0.93802792392820122</v>
      </c>
      <c r="P71" s="153">
        <f t="shared" si="21"/>
        <v>0.18760558478564027</v>
      </c>
      <c r="Q71" s="153">
        <f t="shared" si="21"/>
        <v>0.2003189899146138</v>
      </c>
      <c r="R71" s="153">
        <f t="shared" si="21"/>
        <v>0.12507038985709351</v>
      </c>
      <c r="S71" s="153">
        <f t="shared" si="21"/>
        <v>2.8140837717846039</v>
      </c>
      <c r="T71" s="144">
        <f t="shared" si="24"/>
        <v>5.1924848405020221</v>
      </c>
      <c r="U71" s="153">
        <f t="shared" si="25"/>
        <v>0.81295753407110782</v>
      </c>
      <c r="V71" s="22">
        <f t="shared" si="22"/>
        <v>18.317327777468964</v>
      </c>
    </row>
    <row r="72" spans="1:22" ht="14.4" x14ac:dyDescent="0.3">
      <c r="A72" s="89">
        <f>'Lista de Compra'!A71</f>
        <v>68</v>
      </c>
      <c r="B72" s="151">
        <f>'Lista de Compra'!I71</f>
        <v>250</v>
      </c>
      <c r="C72" s="152">
        <f>'Lista de Compra'!L71</f>
        <v>7.4392713773693908E-3</v>
      </c>
      <c r="E72" s="153">
        <f t="shared" si="20"/>
        <v>718.03847334369357</v>
      </c>
      <c r="F72" s="153">
        <f t="shared" si="20"/>
        <v>2.6037449820792866</v>
      </c>
      <c r="G72" s="153">
        <f t="shared" si="20"/>
        <v>8.18319851510633</v>
      </c>
      <c r="H72" s="153">
        <f t="shared" si="20"/>
        <v>11.158907066054086</v>
      </c>
      <c r="I72" s="153">
        <f t="shared" si="20"/>
        <v>0.74392713773693908</v>
      </c>
      <c r="J72" s="153">
        <f t="shared" si="20"/>
        <v>1.3390688479264903</v>
      </c>
      <c r="K72" s="153">
        <f t="shared" si="20"/>
        <v>3.6452429749110014</v>
      </c>
      <c r="L72" s="153">
        <f t="shared" si="20"/>
        <v>7.8856276600115542</v>
      </c>
      <c r="M72" s="153">
        <f t="shared" si="20"/>
        <v>2.7227733241171972</v>
      </c>
      <c r="N72" s="153">
        <f t="shared" si="23"/>
        <v>57.443077867495489</v>
      </c>
      <c r="O72" s="153">
        <f t="shared" si="21"/>
        <v>11.158907066054086</v>
      </c>
      <c r="P72" s="153">
        <f t="shared" si="21"/>
        <v>2.2317814132108174</v>
      </c>
      <c r="Q72" s="153">
        <f t="shared" si="21"/>
        <v>2.3830218003127368</v>
      </c>
      <c r="R72" s="153">
        <f t="shared" si="21"/>
        <v>1.4878542754738782</v>
      </c>
      <c r="S72" s="153">
        <f t="shared" si="21"/>
        <v>33.476721198162259</v>
      </c>
      <c r="T72" s="144">
        <f t="shared" si="24"/>
        <v>61.77050202771126</v>
      </c>
      <c r="U72" s="153">
        <f t="shared" si="25"/>
        <v>9.6710527905802088</v>
      </c>
      <c r="V72" s="22">
        <f t="shared" si="22"/>
        <v>217.9054089469436</v>
      </c>
    </row>
    <row r="73" spans="1:22" ht="14.4" x14ac:dyDescent="0.3">
      <c r="A73" s="89">
        <f>'Lista de Compra'!A72</f>
        <v>69</v>
      </c>
      <c r="B73" s="151">
        <f>'Lista de Compra'!I72</f>
        <v>80</v>
      </c>
      <c r="C73" s="152">
        <f>'Lista de Compra'!L72</f>
        <v>3.8064901260854546E-3</v>
      </c>
      <c r="E73" s="153">
        <f t="shared" si="20"/>
        <v>367.4024269697681</v>
      </c>
      <c r="F73" s="153">
        <f t="shared" si="20"/>
        <v>1.3322715441299091</v>
      </c>
      <c r="G73" s="153">
        <f t="shared" si="20"/>
        <v>4.1871391386940005</v>
      </c>
      <c r="H73" s="153">
        <f t="shared" si="20"/>
        <v>5.7097351891281818</v>
      </c>
      <c r="I73" s="153">
        <f t="shared" si="20"/>
        <v>0.38064901260854545</v>
      </c>
      <c r="J73" s="153">
        <f t="shared" si="20"/>
        <v>0.6851682226953818</v>
      </c>
      <c r="K73" s="153">
        <f t="shared" si="20"/>
        <v>1.8651801617818728</v>
      </c>
      <c r="L73" s="153">
        <f t="shared" si="20"/>
        <v>4.0348795336505816</v>
      </c>
      <c r="M73" s="153">
        <f t="shared" si="20"/>
        <v>1.3931753861472764</v>
      </c>
      <c r="N73" s="153">
        <f t="shared" si="23"/>
        <v>29.39219415758145</v>
      </c>
      <c r="O73" s="153">
        <f t="shared" si="21"/>
        <v>5.7097351891281818</v>
      </c>
      <c r="P73" s="153">
        <f t="shared" si="21"/>
        <v>1.1419470378256364</v>
      </c>
      <c r="Q73" s="153">
        <f t="shared" si="21"/>
        <v>1.2193329820889536</v>
      </c>
      <c r="R73" s="153">
        <f t="shared" si="21"/>
        <v>0.76129802521709089</v>
      </c>
      <c r="S73" s="153">
        <f t="shared" si="21"/>
        <v>17.129205567384545</v>
      </c>
      <c r="T73" s="144">
        <f t="shared" si="24"/>
        <v>31.606429463925352</v>
      </c>
      <c r="U73" s="153">
        <f t="shared" si="25"/>
        <v>4.9484371639110911</v>
      </c>
      <c r="V73" s="22">
        <f t="shared" si="22"/>
        <v>111.49677777589807</v>
      </c>
    </row>
    <row r="74" spans="1:22" ht="14.4" x14ac:dyDescent="0.3">
      <c r="A74" s="89">
        <f>'Lista de Compra'!A73</f>
        <v>70</v>
      </c>
      <c r="B74" s="151">
        <f>'Lista de Compra'!I73</f>
        <v>50</v>
      </c>
      <c r="C74" s="152">
        <f>'Lista de Compra'!L73</f>
        <v>2.379056328803409E-3</v>
      </c>
      <c r="E74" s="153">
        <f t="shared" si="20"/>
        <v>229.62651685610504</v>
      </c>
      <c r="F74" s="153">
        <f t="shared" si="20"/>
        <v>0.83266971508119314</v>
      </c>
      <c r="G74" s="153">
        <f t="shared" si="20"/>
        <v>2.6169619616837498</v>
      </c>
      <c r="H74" s="153">
        <f t="shared" si="20"/>
        <v>3.5685844932051136</v>
      </c>
      <c r="I74" s="153">
        <f t="shared" si="20"/>
        <v>0.23790563288034089</v>
      </c>
      <c r="J74" s="153">
        <f t="shared" si="20"/>
        <v>0.42823013918461361</v>
      </c>
      <c r="K74" s="153">
        <f t="shared" si="20"/>
        <v>1.1657376011136704</v>
      </c>
      <c r="L74" s="153">
        <f t="shared" si="20"/>
        <v>2.5217997085316135</v>
      </c>
      <c r="M74" s="153">
        <f t="shared" si="20"/>
        <v>0.87073461634204774</v>
      </c>
      <c r="N74" s="153">
        <f t="shared" si="23"/>
        <v>18.370121348488404</v>
      </c>
      <c r="O74" s="153">
        <f t="shared" si="21"/>
        <v>3.5685844932051136</v>
      </c>
      <c r="P74" s="153">
        <f t="shared" si="21"/>
        <v>0.71371689864102272</v>
      </c>
      <c r="Q74" s="153">
        <f t="shared" si="21"/>
        <v>0.76208311380559601</v>
      </c>
      <c r="R74" s="153">
        <f t="shared" si="21"/>
        <v>0.47581126576068178</v>
      </c>
      <c r="S74" s="153">
        <f t="shared" si="21"/>
        <v>10.705753479615341</v>
      </c>
      <c r="T74" s="144">
        <f t="shared" si="24"/>
        <v>19.754018414953343</v>
      </c>
      <c r="U74" s="153">
        <f t="shared" si="25"/>
        <v>3.0927732274444319</v>
      </c>
      <c r="V74" s="22">
        <f t="shared" si="22"/>
        <v>69.685486109936264</v>
      </c>
    </row>
    <row r="75" spans="1:22" ht="14.4" x14ac:dyDescent="0.3">
      <c r="A75" s="89">
        <f>'Lista de Compra'!A74</f>
        <v>71</v>
      </c>
      <c r="B75" s="151">
        <f>'Lista de Compra'!I74</f>
        <v>30</v>
      </c>
      <c r="C75" s="152">
        <f>'Lista de Compra'!L74</f>
        <v>1.8760558478564024E-3</v>
      </c>
      <c r="E75" s="153">
        <f t="shared" ref="E75:M84" si="26">E$4*$C75</f>
        <v>181.07691043509996</v>
      </c>
      <c r="F75" s="153">
        <f t="shared" si="26"/>
        <v>0.65661954674974088</v>
      </c>
      <c r="G75" s="153">
        <f t="shared" si="26"/>
        <v>2.0636614326420428</v>
      </c>
      <c r="H75" s="153">
        <f t="shared" si="26"/>
        <v>2.8140837717846034</v>
      </c>
      <c r="I75" s="153">
        <f t="shared" si="26"/>
        <v>0.18760558478564024</v>
      </c>
      <c r="J75" s="153">
        <f t="shared" si="26"/>
        <v>0.33769005261415241</v>
      </c>
      <c r="K75" s="153">
        <f t="shared" si="26"/>
        <v>0.91926736544963716</v>
      </c>
      <c r="L75" s="153">
        <f t="shared" si="26"/>
        <v>1.9886191987277866</v>
      </c>
      <c r="M75" s="153">
        <f t="shared" si="26"/>
        <v>0.68663644031544324</v>
      </c>
      <c r="N75" s="153">
        <f t="shared" si="23"/>
        <v>14.486152834807998</v>
      </c>
      <c r="O75" s="153">
        <f t="shared" ref="O75:S84" si="27">O$4*$C75</f>
        <v>2.8140837717846034</v>
      </c>
      <c r="P75" s="153">
        <f t="shared" si="27"/>
        <v>0.56281675435692069</v>
      </c>
      <c r="Q75" s="153">
        <f t="shared" si="27"/>
        <v>0.60095696974384138</v>
      </c>
      <c r="R75" s="153">
        <f t="shared" si="27"/>
        <v>0.37521116957128048</v>
      </c>
      <c r="S75" s="153">
        <f t="shared" si="27"/>
        <v>8.4422513153538112</v>
      </c>
      <c r="T75" s="144">
        <f t="shared" si="24"/>
        <v>15.577454521506064</v>
      </c>
      <c r="U75" s="153">
        <f t="shared" si="25"/>
        <v>2.4388726022133231</v>
      </c>
      <c r="V75" s="22">
        <f t="shared" si="22"/>
        <v>54.951983332406883</v>
      </c>
    </row>
    <row r="76" spans="1:22" ht="14.4" x14ac:dyDescent="0.3">
      <c r="A76" s="89">
        <f>'Lista de Compra'!A75</f>
        <v>72</v>
      </c>
      <c r="B76" s="151">
        <f>'Lista de Compra'!I75</f>
        <v>50</v>
      </c>
      <c r="C76" s="152">
        <f>'Lista de Compra'!L75</f>
        <v>2.6811587197625724E-3</v>
      </c>
      <c r="E76" s="153">
        <f t="shared" si="26"/>
        <v>258.78543963148348</v>
      </c>
      <c r="F76" s="153">
        <f t="shared" si="26"/>
        <v>0.93840555191690034</v>
      </c>
      <c r="G76" s="153">
        <f t="shared" si="26"/>
        <v>2.9492745917388294</v>
      </c>
      <c r="H76" s="153">
        <f t="shared" si="26"/>
        <v>4.0217380796438587</v>
      </c>
      <c r="I76" s="153">
        <f t="shared" si="26"/>
        <v>0.26811587197625725</v>
      </c>
      <c r="J76" s="153">
        <f t="shared" si="26"/>
        <v>0.482608569557263</v>
      </c>
      <c r="K76" s="153">
        <f t="shared" si="26"/>
        <v>1.3137677726836605</v>
      </c>
      <c r="L76" s="153">
        <f t="shared" si="26"/>
        <v>2.8420282429483268</v>
      </c>
      <c r="M76" s="153">
        <f t="shared" si="26"/>
        <v>0.98130409143310149</v>
      </c>
      <c r="N76" s="153">
        <f t="shared" si="23"/>
        <v>20.702835170518679</v>
      </c>
      <c r="O76" s="153">
        <f t="shared" si="27"/>
        <v>4.0217380796438587</v>
      </c>
      <c r="P76" s="153">
        <f t="shared" si="27"/>
        <v>0.80434761592877169</v>
      </c>
      <c r="Q76" s="153">
        <f t="shared" si="27"/>
        <v>0.85885557270154478</v>
      </c>
      <c r="R76" s="153">
        <f t="shared" si="27"/>
        <v>0.53623174395251449</v>
      </c>
      <c r="S76" s="153">
        <f t="shared" si="27"/>
        <v>12.065214238931576</v>
      </c>
      <c r="T76" s="144">
        <f t="shared" si="24"/>
        <v>22.262465197804566</v>
      </c>
      <c r="U76" s="153">
        <f t="shared" si="25"/>
        <v>3.485506335691344</v>
      </c>
      <c r="V76" s="22">
        <f t="shared" si="22"/>
        <v>78.534436727071039</v>
      </c>
    </row>
    <row r="77" spans="1:22" ht="14.4" x14ac:dyDescent="0.3">
      <c r="A77" s="89">
        <f>'Lista de Compra'!A76</f>
        <v>73</v>
      </c>
      <c r="B77" s="151">
        <f>'Lista de Compra'!I76</f>
        <v>50</v>
      </c>
      <c r="C77" s="152">
        <f>'Lista de Compra'!L76</f>
        <v>3.7234119685716849E-3</v>
      </c>
      <c r="E77" s="153">
        <f t="shared" si="26"/>
        <v>359.383723206539</v>
      </c>
      <c r="F77" s="153">
        <f t="shared" si="26"/>
        <v>1.3031941890000898</v>
      </c>
      <c r="G77" s="153">
        <f t="shared" si="26"/>
        <v>4.095753165428853</v>
      </c>
      <c r="H77" s="153">
        <f t="shared" si="26"/>
        <v>5.5851179528575274</v>
      </c>
      <c r="I77" s="153">
        <f t="shared" si="26"/>
        <v>0.37234119685716849</v>
      </c>
      <c r="J77" s="153">
        <f t="shared" si="26"/>
        <v>0.67021415434290332</v>
      </c>
      <c r="K77" s="153">
        <f t="shared" si="26"/>
        <v>1.8244718646001257</v>
      </c>
      <c r="L77" s="153">
        <f t="shared" si="26"/>
        <v>3.946816686685986</v>
      </c>
      <c r="M77" s="153">
        <f t="shared" si="26"/>
        <v>1.3627687804972366</v>
      </c>
      <c r="N77" s="153">
        <f t="shared" si="23"/>
        <v>28.750697856523121</v>
      </c>
      <c r="O77" s="153">
        <f t="shared" si="27"/>
        <v>5.5851179528575274</v>
      </c>
      <c r="P77" s="153">
        <f t="shared" si="27"/>
        <v>1.1170235905715056</v>
      </c>
      <c r="Q77" s="153">
        <f t="shared" si="27"/>
        <v>1.1927205558925678</v>
      </c>
      <c r="R77" s="153">
        <f t="shared" si="27"/>
        <v>0.74468239371433698</v>
      </c>
      <c r="S77" s="153">
        <f t="shared" si="27"/>
        <v>16.755353858572583</v>
      </c>
      <c r="T77" s="144">
        <f t="shared" si="24"/>
        <v>30.91660659864127</v>
      </c>
      <c r="U77" s="153">
        <f t="shared" si="25"/>
        <v>4.8404355591431907</v>
      </c>
      <c r="V77" s="22">
        <f t="shared" si="22"/>
        <v>109.06331635618599</v>
      </c>
    </row>
    <row r="78" spans="1:22" ht="14.4" x14ac:dyDescent="0.3">
      <c r="A78" s="89">
        <f>'Lista de Compra'!A77</f>
        <v>74</v>
      </c>
      <c r="B78" s="151">
        <f>'Lista de Compra'!I77</f>
        <v>80</v>
      </c>
      <c r="C78" s="152">
        <f>'Lista de Compra'!L77</f>
        <v>7.141700522274615E-3</v>
      </c>
      <c r="E78" s="153">
        <f t="shared" si="26"/>
        <v>689.31693440994582</v>
      </c>
      <c r="F78" s="153">
        <f t="shared" si="26"/>
        <v>2.4995951827961154</v>
      </c>
      <c r="G78" s="153">
        <f t="shared" si="26"/>
        <v>7.8558705745020765</v>
      </c>
      <c r="H78" s="153">
        <f t="shared" si="26"/>
        <v>10.712550783411922</v>
      </c>
      <c r="I78" s="153">
        <f t="shared" si="26"/>
        <v>0.71417005222746155</v>
      </c>
      <c r="J78" s="153">
        <f t="shared" si="26"/>
        <v>1.2855060940094307</v>
      </c>
      <c r="K78" s="153">
        <f t="shared" si="26"/>
        <v>3.4994332559145613</v>
      </c>
      <c r="L78" s="153">
        <f t="shared" si="26"/>
        <v>7.5702025536110922</v>
      </c>
      <c r="M78" s="153">
        <f t="shared" si="26"/>
        <v>2.6138623911525092</v>
      </c>
      <c r="N78" s="153">
        <f t="shared" si="23"/>
        <v>55.145354752795669</v>
      </c>
      <c r="O78" s="153">
        <f t="shared" si="27"/>
        <v>10.712550783411922</v>
      </c>
      <c r="P78" s="153">
        <f t="shared" si="27"/>
        <v>2.1425101566823845</v>
      </c>
      <c r="Q78" s="153">
        <f t="shared" si="27"/>
        <v>2.2877009283002274</v>
      </c>
      <c r="R78" s="153">
        <f t="shared" si="27"/>
        <v>1.4283401044549231</v>
      </c>
      <c r="S78" s="153">
        <f t="shared" si="27"/>
        <v>32.137652350235768</v>
      </c>
      <c r="T78" s="144">
        <f t="shared" si="24"/>
        <v>59.299681946602803</v>
      </c>
      <c r="U78" s="153">
        <f t="shared" si="25"/>
        <v>9.2842106789569989</v>
      </c>
      <c r="V78" s="22">
        <f t="shared" si="22"/>
        <v>209.18919258906587</v>
      </c>
    </row>
    <row r="79" spans="1:22" ht="14.4" x14ac:dyDescent="0.3">
      <c r="A79" s="89">
        <f>'Lista de Compra'!A78</f>
        <v>75</v>
      </c>
      <c r="B79" s="151">
        <f>'Lista de Compra'!I78</f>
        <v>80</v>
      </c>
      <c r="C79" s="152">
        <f>'Lista de Compra'!L78</f>
        <v>8.3380259904729005E-3</v>
      </c>
      <c r="E79" s="153">
        <f t="shared" si="26"/>
        <v>804.78626860044437</v>
      </c>
      <c r="F79" s="153">
        <f t="shared" si="26"/>
        <v>2.918309096665515</v>
      </c>
      <c r="G79" s="153">
        <f t="shared" si="26"/>
        <v>9.1718285895201905</v>
      </c>
      <c r="H79" s="153">
        <f t="shared" si="26"/>
        <v>12.50703898570935</v>
      </c>
      <c r="I79" s="153">
        <f t="shared" si="26"/>
        <v>0.83380259904729004</v>
      </c>
      <c r="J79" s="153">
        <f t="shared" si="26"/>
        <v>1.5008446782851221</v>
      </c>
      <c r="K79" s="153">
        <f t="shared" si="26"/>
        <v>4.0856327353317212</v>
      </c>
      <c r="L79" s="153">
        <f t="shared" si="26"/>
        <v>8.8383075499012751</v>
      </c>
      <c r="M79" s="153">
        <f t="shared" si="26"/>
        <v>3.0517175125130818</v>
      </c>
      <c r="N79" s="153">
        <f t="shared" si="23"/>
        <v>64.382901488035557</v>
      </c>
      <c r="O79" s="153">
        <f t="shared" si="27"/>
        <v>12.50703898570935</v>
      </c>
      <c r="P79" s="153">
        <f t="shared" si="27"/>
        <v>2.5014077971418702</v>
      </c>
      <c r="Q79" s="153">
        <f t="shared" si="27"/>
        <v>2.6709198655281843</v>
      </c>
      <c r="R79" s="153">
        <f t="shared" si="27"/>
        <v>1.6676051980945801</v>
      </c>
      <c r="S79" s="153">
        <f t="shared" si="27"/>
        <v>37.521116957128051</v>
      </c>
      <c r="T79" s="144">
        <f t="shared" si="24"/>
        <v>69.233131206693628</v>
      </c>
      <c r="U79" s="153">
        <f t="shared" si="25"/>
        <v>10.839433787614771</v>
      </c>
      <c r="V79" s="22">
        <f t="shared" si="22"/>
        <v>244.23103703291955</v>
      </c>
    </row>
    <row r="80" spans="1:22" ht="14.4" x14ac:dyDescent="0.3">
      <c r="A80" s="89">
        <f>'Lista de Compra'!A79</f>
        <v>76</v>
      </c>
      <c r="B80" s="151">
        <f>'Lista de Compra'!I79</f>
        <v>30</v>
      </c>
      <c r="C80" s="152">
        <f>'Lista de Compra'!L79</f>
        <v>7.141700522274615E-3</v>
      </c>
      <c r="E80" s="153">
        <f t="shared" si="26"/>
        <v>689.31693440994582</v>
      </c>
      <c r="F80" s="153">
        <f t="shared" si="26"/>
        <v>2.4995951827961154</v>
      </c>
      <c r="G80" s="153">
        <f t="shared" si="26"/>
        <v>7.8558705745020765</v>
      </c>
      <c r="H80" s="153">
        <f t="shared" si="26"/>
        <v>10.712550783411922</v>
      </c>
      <c r="I80" s="153">
        <f t="shared" si="26"/>
        <v>0.71417005222746155</v>
      </c>
      <c r="J80" s="153">
        <f t="shared" si="26"/>
        <v>1.2855060940094307</v>
      </c>
      <c r="K80" s="153">
        <f t="shared" si="26"/>
        <v>3.4994332559145613</v>
      </c>
      <c r="L80" s="153">
        <f t="shared" si="26"/>
        <v>7.5702025536110922</v>
      </c>
      <c r="M80" s="153">
        <f t="shared" si="26"/>
        <v>2.6138623911525092</v>
      </c>
      <c r="N80" s="153">
        <f t="shared" si="23"/>
        <v>55.145354752795669</v>
      </c>
      <c r="O80" s="153">
        <f t="shared" si="27"/>
        <v>10.712550783411922</v>
      </c>
      <c r="P80" s="153">
        <f t="shared" si="27"/>
        <v>2.1425101566823845</v>
      </c>
      <c r="Q80" s="153">
        <f t="shared" si="27"/>
        <v>2.2877009283002274</v>
      </c>
      <c r="R80" s="153">
        <f t="shared" si="27"/>
        <v>1.4283401044549231</v>
      </c>
      <c r="S80" s="153">
        <f t="shared" si="27"/>
        <v>32.137652350235768</v>
      </c>
      <c r="T80" s="144">
        <f t="shared" si="24"/>
        <v>59.299681946602803</v>
      </c>
      <c r="U80" s="153">
        <f t="shared" si="25"/>
        <v>9.2842106789569989</v>
      </c>
      <c r="V80" s="22">
        <f t="shared" si="22"/>
        <v>209.18919258906587</v>
      </c>
    </row>
    <row r="81" spans="1:22" ht="14.4" x14ac:dyDescent="0.3">
      <c r="A81" s="89">
        <f>'Lista de Compra'!A80</f>
        <v>77</v>
      </c>
      <c r="B81" s="151">
        <f>'Lista de Compra'!I80</f>
        <v>30</v>
      </c>
      <c r="C81" s="152">
        <f>'Lista de Compra'!L80</f>
        <v>4.7309234424204932E-3</v>
      </c>
      <c r="E81" s="153">
        <f t="shared" si="26"/>
        <v>456.62873066242599</v>
      </c>
      <c r="F81" s="153">
        <f t="shared" si="26"/>
        <v>1.6558232048471726</v>
      </c>
      <c r="G81" s="153">
        <f t="shared" si="26"/>
        <v>5.2040157866625423</v>
      </c>
      <c r="H81" s="153">
        <f t="shared" si="26"/>
        <v>7.0963851636307398</v>
      </c>
      <c r="I81" s="153">
        <f t="shared" si="26"/>
        <v>0.47309234424204932</v>
      </c>
      <c r="J81" s="153">
        <f t="shared" si="26"/>
        <v>0.85156621963568879</v>
      </c>
      <c r="K81" s="153">
        <f t="shared" si="26"/>
        <v>2.3181524867860417</v>
      </c>
      <c r="L81" s="153">
        <f t="shared" si="26"/>
        <v>5.0147788489657223</v>
      </c>
      <c r="M81" s="153">
        <f t="shared" si="26"/>
        <v>1.7315179799259006</v>
      </c>
      <c r="N81" s="153">
        <f t="shared" si="23"/>
        <v>36.530298452994082</v>
      </c>
      <c r="O81" s="153">
        <f t="shared" si="27"/>
        <v>7.0963851636307398</v>
      </c>
      <c r="P81" s="153">
        <f t="shared" si="27"/>
        <v>1.4192770327261479</v>
      </c>
      <c r="Q81" s="153">
        <f t="shared" si="27"/>
        <v>1.5154567063105564</v>
      </c>
      <c r="R81" s="153">
        <f t="shared" si="27"/>
        <v>0.94618468848409865</v>
      </c>
      <c r="S81" s="153">
        <f t="shared" si="27"/>
        <v>21.28915549089222</v>
      </c>
      <c r="T81" s="144">
        <f t="shared" si="24"/>
        <v>39.28227661945008</v>
      </c>
      <c r="U81" s="153">
        <f t="shared" si="25"/>
        <v>6.150200475146641</v>
      </c>
      <c r="V81" s="22">
        <f t="shared" si="22"/>
        <v>138.5745666643304</v>
      </c>
    </row>
    <row r="82" spans="1:22" ht="14.4" x14ac:dyDescent="0.3">
      <c r="A82" s="89">
        <f>'Lista de Compra'!A81</f>
        <v>78</v>
      </c>
      <c r="B82" s="151">
        <f>'Lista de Compra'!I81</f>
        <v>15</v>
      </c>
      <c r="C82" s="152">
        <f>'Lista de Compra'!L81</f>
        <v>5.8026316743481242E-3</v>
      </c>
      <c r="E82" s="153">
        <f t="shared" si="26"/>
        <v>560.07000920808093</v>
      </c>
      <c r="F82" s="153">
        <f t="shared" si="26"/>
        <v>2.0309210860218436</v>
      </c>
      <c r="G82" s="153">
        <f t="shared" si="26"/>
        <v>6.382894841782937</v>
      </c>
      <c r="H82" s="153">
        <f t="shared" si="26"/>
        <v>8.7039475115221858</v>
      </c>
      <c r="I82" s="153">
        <f t="shared" si="26"/>
        <v>0.58026316743481243</v>
      </c>
      <c r="J82" s="153">
        <f t="shared" si="26"/>
        <v>1.0444737013826624</v>
      </c>
      <c r="K82" s="153">
        <f t="shared" si="26"/>
        <v>2.8432895204305808</v>
      </c>
      <c r="L82" s="153">
        <f t="shared" si="26"/>
        <v>6.1507895748090116</v>
      </c>
      <c r="M82" s="153">
        <f t="shared" si="26"/>
        <v>2.1237631928114133</v>
      </c>
      <c r="N82" s="153">
        <f t="shared" si="23"/>
        <v>44.805600736646475</v>
      </c>
      <c r="O82" s="153">
        <f t="shared" si="27"/>
        <v>8.7039475115221858</v>
      </c>
      <c r="P82" s="153">
        <f t="shared" si="27"/>
        <v>1.7407895023044373</v>
      </c>
      <c r="Q82" s="153">
        <f t="shared" si="27"/>
        <v>1.8587570042439345</v>
      </c>
      <c r="R82" s="153">
        <f t="shared" si="27"/>
        <v>1.1605263348696249</v>
      </c>
      <c r="S82" s="153">
        <f t="shared" si="27"/>
        <v>26.111842534566559</v>
      </c>
      <c r="T82" s="144">
        <f t="shared" si="24"/>
        <v>48.180991581614776</v>
      </c>
      <c r="U82" s="153">
        <f t="shared" si="25"/>
        <v>7.5434211766525614</v>
      </c>
      <c r="V82" s="22">
        <f t="shared" si="22"/>
        <v>169.96621897861601</v>
      </c>
    </row>
    <row r="83" spans="1:22" ht="14.4" x14ac:dyDescent="0.3">
      <c r="A83" s="89">
        <f>'Lista de Compra'!A82</f>
        <v>79</v>
      </c>
      <c r="B83" s="151">
        <f>'Lista de Compra'!I82</f>
        <v>15</v>
      </c>
      <c r="C83" s="152">
        <f>'Lista de Compra'!L82</f>
        <v>1.9191054385680835E-3</v>
      </c>
      <c r="E83" s="153">
        <f t="shared" si="26"/>
        <v>185.23205693059143</v>
      </c>
      <c r="F83" s="153">
        <f t="shared" si="26"/>
        <v>0.6716869034988292</v>
      </c>
      <c r="G83" s="153">
        <f t="shared" si="26"/>
        <v>2.1110159824248917</v>
      </c>
      <c r="H83" s="153">
        <f t="shared" si="26"/>
        <v>2.8786581578521253</v>
      </c>
      <c r="I83" s="153">
        <f t="shared" si="26"/>
        <v>0.19191054385680834</v>
      </c>
      <c r="J83" s="153">
        <f t="shared" si="26"/>
        <v>0.345438978942255</v>
      </c>
      <c r="K83" s="153">
        <f t="shared" si="26"/>
        <v>0.94036166489836093</v>
      </c>
      <c r="L83" s="153">
        <f t="shared" si="26"/>
        <v>2.0342517648821685</v>
      </c>
      <c r="M83" s="153">
        <f t="shared" si="26"/>
        <v>0.70239259051591851</v>
      </c>
      <c r="N83" s="153">
        <f t="shared" si="23"/>
        <v>14.818564554447315</v>
      </c>
      <c r="O83" s="153">
        <f t="shared" si="27"/>
        <v>2.8786581578521253</v>
      </c>
      <c r="P83" s="153">
        <f t="shared" si="27"/>
        <v>0.57573163157042506</v>
      </c>
      <c r="Q83" s="153">
        <f t="shared" si="27"/>
        <v>0.61474704513651413</v>
      </c>
      <c r="R83" s="153">
        <f t="shared" si="27"/>
        <v>0.38382108771361667</v>
      </c>
      <c r="S83" s="153">
        <f t="shared" si="27"/>
        <v>8.6359744735563755</v>
      </c>
      <c r="T83" s="144">
        <f t="shared" si="24"/>
        <v>15.934908188062366</v>
      </c>
      <c r="U83" s="153">
        <f t="shared" si="25"/>
        <v>2.4948370701385088</v>
      </c>
      <c r="V83" s="22">
        <f t="shared" si="22"/>
        <v>56.212958795348605</v>
      </c>
    </row>
    <row r="84" spans="1:22" ht="14.4" x14ac:dyDescent="0.3">
      <c r="A84" s="89">
        <f>'Lista de Compra'!A83</f>
        <v>80</v>
      </c>
      <c r="B84" s="151">
        <f>'Lista de Compra'!I83</f>
        <v>100</v>
      </c>
      <c r="C84" s="152">
        <f>'Lista de Compra'!L83</f>
        <v>6.042047819183261E-4</v>
      </c>
      <c r="E84" s="153">
        <f t="shared" si="26"/>
        <v>58.317845550756836</v>
      </c>
      <c r="F84" s="153">
        <f t="shared" si="26"/>
        <v>0.21147167367141415</v>
      </c>
      <c r="G84" s="153">
        <f t="shared" si="26"/>
        <v>0.66462526011015866</v>
      </c>
      <c r="H84" s="153">
        <f t="shared" si="26"/>
        <v>0.90630717287748919</v>
      </c>
      <c r="I84" s="153">
        <f t="shared" si="26"/>
        <v>6.0420478191832612E-2</v>
      </c>
      <c r="J84" s="153">
        <f t="shared" si="26"/>
        <v>0.10875686074529869</v>
      </c>
      <c r="K84" s="153">
        <f t="shared" si="26"/>
        <v>0.29606034313997981</v>
      </c>
      <c r="L84" s="153">
        <f t="shared" si="26"/>
        <v>0.64045706883342568</v>
      </c>
      <c r="M84" s="153">
        <f t="shared" si="26"/>
        <v>0.22113895018210736</v>
      </c>
      <c r="N84" s="153">
        <f t="shared" si="23"/>
        <v>4.6654276440605473</v>
      </c>
      <c r="O84" s="153">
        <f t="shared" si="27"/>
        <v>0.90630717287748919</v>
      </c>
      <c r="P84" s="153">
        <f t="shared" si="27"/>
        <v>0.18126143457549784</v>
      </c>
      <c r="Q84" s="153">
        <f t="shared" si="27"/>
        <v>0.19354491779189739</v>
      </c>
      <c r="R84" s="153">
        <f t="shared" si="27"/>
        <v>0.12084095638366522</v>
      </c>
      <c r="S84" s="153">
        <f t="shared" si="27"/>
        <v>2.7189215186324676</v>
      </c>
      <c r="T84" s="144">
        <f t="shared" si="24"/>
        <v>5.0168935657024365</v>
      </c>
      <c r="U84" s="153">
        <f t="shared" si="25"/>
        <v>0.78546621649382398</v>
      </c>
      <c r="V84" s="22">
        <f t="shared" si="22"/>
        <v>17.69790123426953</v>
      </c>
    </row>
    <row r="85" spans="1:22" ht="14.4" x14ac:dyDescent="0.3">
      <c r="A85" s="89">
        <f>'Lista de Compra'!A84</f>
        <v>81</v>
      </c>
      <c r="B85" s="151">
        <f>'Lista de Compra'!I84</f>
        <v>200</v>
      </c>
      <c r="C85" s="152">
        <f>'Lista de Compra'!L84</f>
        <v>1.9032450630427273E-3</v>
      </c>
      <c r="E85" s="153">
        <f t="shared" ref="E85:M94" si="28">E$4*$C85</f>
        <v>183.70121348488405</v>
      </c>
      <c r="F85" s="153">
        <f t="shared" si="28"/>
        <v>0.66613577206495456</v>
      </c>
      <c r="G85" s="153">
        <f t="shared" si="28"/>
        <v>2.0935695693470002</v>
      </c>
      <c r="H85" s="153">
        <f t="shared" si="28"/>
        <v>2.8548675945640909</v>
      </c>
      <c r="I85" s="153">
        <f t="shared" si="28"/>
        <v>0.19032450630427272</v>
      </c>
      <c r="J85" s="153">
        <f t="shared" si="28"/>
        <v>0.3425841113476909</v>
      </c>
      <c r="K85" s="153">
        <f t="shared" si="28"/>
        <v>0.93259008089093642</v>
      </c>
      <c r="L85" s="153">
        <f t="shared" si="28"/>
        <v>2.0174397668252908</v>
      </c>
      <c r="M85" s="153">
        <f t="shared" si="28"/>
        <v>0.69658769307363821</v>
      </c>
      <c r="N85" s="153">
        <f t="shared" si="23"/>
        <v>14.696097078790725</v>
      </c>
      <c r="O85" s="153">
        <f t="shared" ref="O85:S94" si="29">O$4*$C85</f>
        <v>2.8548675945640909</v>
      </c>
      <c r="P85" s="153">
        <f t="shared" si="29"/>
        <v>0.57097351891281822</v>
      </c>
      <c r="Q85" s="153">
        <f t="shared" si="29"/>
        <v>0.60966649104447679</v>
      </c>
      <c r="R85" s="153">
        <f t="shared" si="29"/>
        <v>0.38064901260854545</v>
      </c>
      <c r="S85" s="153">
        <f t="shared" si="29"/>
        <v>8.5646027836922727</v>
      </c>
      <c r="T85" s="144">
        <f t="shared" si="24"/>
        <v>15.803214731962676</v>
      </c>
      <c r="U85" s="153">
        <f t="shared" si="25"/>
        <v>2.4742185819555456</v>
      </c>
      <c r="V85" s="22">
        <f t="shared" si="22"/>
        <v>55.748388887949034</v>
      </c>
    </row>
    <row r="86" spans="1:22" ht="14.4" x14ac:dyDescent="0.3">
      <c r="A86" s="89">
        <f>'Lista de Compra'!A85</f>
        <v>82</v>
      </c>
      <c r="B86" s="151">
        <f>'Lista de Compra'!I85</f>
        <v>30</v>
      </c>
      <c r="C86" s="152">
        <f>'Lista de Compra'!L85</f>
        <v>1.3730553669093961E-3</v>
      </c>
      <c r="E86" s="153">
        <f t="shared" si="28"/>
        <v>132.52730401409491</v>
      </c>
      <c r="F86" s="153">
        <f t="shared" si="28"/>
        <v>0.48056937841828862</v>
      </c>
      <c r="G86" s="153">
        <f t="shared" si="28"/>
        <v>1.5103609036003356</v>
      </c>
      <c r="H86" s="153">
        <f t="shared" si="28"/>
        <v>2.0595830503640942</v>
      </c>
      <c r="I86" s="153">
        <f t="shared" si="28"/>
        <v>0.13730553669093962</v>
      </c>
      <c r="J86" s="153">
        <f t="shared" si="28"/>
        <v>0.2471499660436913</v>
      </c>
      <c r="K86" s="153">
        <f t="shared" si="28"/>
        <v>0.67279712978560413</v>
      </c>
      <c r="L86" s="153">
        <f t="shared" si="28"/>
        <v>1.4554386889239599</v>
      </c>
      <c r="M86" s="153">
        <f t="shared" si="28"/>
        <v>0.50253826428883897</v>
      </c>
      <c r="N86" s="153">
        <f t="shared" si="23"/>
        <v>10.602184321127593</v>
      </c>
      <c r="O86" s="153">
        <f t="shared" si="29"/>
        <v>2.0595830503640942</v>
      </c>
      <c r="P86" s="153">
        <f t="shared" si="29"/>
        <v>0.41191661007281882</v>
      </c>
      <c r="Q86" s="153">
        <f t="shared" si="29"/>
        <v>0.43983082568208681</v>
      </c>
      <c r="R86" s="153">
        <f t="shared" si="29"/>
        <v>0.27461107338187923</v>
      </c>
      <c r="S86" s="153">
        <f t="shared" si="29"/>
        <v>6.1787491510922825</v>
      </c>
      <c r="T86" s="144">
        <f t="shared" si="24"/>
        <v>11.400890628058788</v>
      </c>
      <c r="U86" s="153">
        <f t="shared" si="25"/>
        <v>1.784971976982215</v>
      </c>
      <c r="V86" s="22">
        <f t="shared" si="22"/>
        <v>40.218480554877509</v>
      </c>
    </row>
    <row r="87" spans="1:22" ht="14.4" x14ac:dyDescent="0.3">
      <c r="A87" s="89">
        <f>'Lista de Compra'!A86</f>
        <v>83</v>
      </c>
      <c r="B87" s="151">
        <f>'Lista de Compra'!I86</f>
        <v>40</v>
      </c>
      <c r="C87" s="152">
        <f>'Lista de Compra'!L86</f>
        <v>2.9424772879422484E-3</v>
      </c>
      <c r="E87" s="153">
        <f t="shared" si="28"/>
        <v>284.00790783218582</v>
      </c>
      <c r="F87" s="153">
        <f t="shared" si="28"/>
        <v>1.0298670507797869</v>
      </c>
      <c r="G87" s="153">
        <f t="shared" si="28"/>
        <v>3.2367250167364734</v>
      </c>
      <c r="H87" s="153">
        <f t="shared" si="28"/>
        <v>4.413715931913373</v>
      </c>
      <c r="I87" s="153">
        <f t="shared" si="28"/>
        <v>0.29424772879422484</v>
      </c>
      <c r="J87" s="153">
        <f t="shared" si="28"/>
        <v>0.52964591182960474</v>
      </c>
      <c r="K87" s="153">
        <f t="shared" si="28"/>
        <v>1.4418138710917017</v>
      </c>
      <c r="L87" s="153">
        <f t="shared" si="28"/>
        <v>3.1190259252187831</v>
      </c>
      <c r="M87" s="153">
        <f t="shared" si="28"/>
        <v>1.0769466873868629</v>
      </c>
      <c r="N87" s="153">
        <f t="shared" si="23"/>
        <v>22.720632626574865</v>
      </c>
      <c r="O87" s="153">
        <f t="shared" si="29"/>
        <v>4.413715931913373</v>
      </c>
      <c r="P87" s="153">
        <f t="shared" si="29"/>
        <v>0.88274318638267446</v>
      </c>
      <c r="Q87" s="153">
        <f t="shared" si="29"/>
        <v>0.94256374964654033</v>
      </c>
      <c r="R87" s="153">
        <f t="shared" si="29"/>
        <v>0.58849545758844968</v>
      </c>
      <c r="S87" s="153">
        <f t="shared" si="29"/>
        <v>13.241147795740117</v>
      </c>
      <c r="T87" s="144">
        <f t="shared" si="24"/>
        <v>24.43227166497087</v>
      </c>
      <c r="U87" s="153">
        <f t="shared" si="25"/>
        <v>3.8252204743249227</v>
      </c>
      <c r="V87" s="22">
        <f t="shared" si="22"/>
        <v>86.188779010892617</v>
      </c>
    </row>
    <row r="88" spans="1:22" ht="14.4" x14ac:dyDescent="0.3">
      <c r="A88" s="89">
        <f>'Lista de Compra'!A87</f>
        <v>84</v>
      </c>
      <c r="B88" s="151">
        <f>'Lista de Compra'!I87</f>
        <v>50</v>
      </c>
      <c r="C88" s="152">
        <f>'Lista de Compra'!L87</f>
        <v>5.5284737545526841E-3</v>
      </c>
      <c r="E88" s="153">
        <f t="shared" si="28"/>
        <v>533.60828678942505</v>
      </c>
      <c r="F88" s="153">
        <f t="shared" si="28"/>
        <v>1.9349658140934394</v>
      </c>
      <c r="G88" s="153">
        <f t="shared" si="28"/>
        <v>6.0813211300079528</v>
      </c>
      <c r="H88" s="153">
        <f t="shared" si="28"/>
        <v>8.292710631829026</v>
      </c>
      <c r="I88" s="153">
        <f t="shared" si="28"/>
        <v>0.55284737545526841</v>
      </c>
      <c r="J88" s="153">
        <f t="shared" si="28"/>
        <v>0.99512527581948318</v>
      </c>
      <c r="K88" s="153">
        <f t="shared" si="28"/>
        <v>2.7089521397308154</v>
      </c>
      <c r="L88" s="153">
        <f t="shared" si="28"/>
        <v>5.8601821798258449</v>
      </c>
      <c r="M88" s="153">
        <f t="shared" si="28"/>
        <v>2.0234213941662822</v>
      </c>
      <c r="N88" s="153">
        <f t="shared" si="23"/>
        <v>42.688662943154007</v>
      </c>
      <c r="O88" s="153">
        <f t="shared" si="29"/>
        <v>8.292710631829026</v>
      </c>
      <c r="P88" s="153">
        <f t="shared" si="29"/>
        <v>1.6585421263658053</v>
      </c>
      <c r="Q88" s="153">
        <f t="shared" si="29"/>
        <v>1.7709359977958612</v>
      </c>
      <c r="R88" s="153">
        <f t="shared" si="29"/>
        <v>1.1056947509105368</v>
      </c>
      <c r="S88" s="153">
        <f t="shared" si="29"/>
        <v>24.87813189548708</v>
      </c>
      <c r="T88" s="144">
        <f t="shared" si="24"/>
        <v>45.904576126177297</v>
      </c>
      <c r="U88" s="153">
        <f t="shared" si="25"/>
        <v>7.187015880918489</v>
      </c>
      <c r="V88" s="22">
        <f t="shared" si="22"/>
        <v>161.9357962935662</v>
      </c>
    </row>
    <row r="89" spans="1:22" ht="14.4" x14ac:dyDescent="0.3">
      <c r="A89" s="89">
        <f>'Lista de Compra'!A88</f>
        <v>85</v>
      </c>
      <c r="B89" s="151">
        <f>'Lista de Compra'!I88</f>
        <v>40</v>
      </c>
      <c r="C89" s="152">
        <f>'Lista de Compra'!L88</f>
        <v>5.9816273409914287E-4</v>
      </c>
      <c r="E89" s="153">
        <f t="shared" si="28"/>
        <v>57.734667095249272</v>
      </c>
      <c r="F89" s="153">
        <f t="shared" si="28"/>
        <v>0.20935695693469999</v>
      </c>
      <c r="G89" s="153">
        <f t="shared" si="28"/>
        <v>0.65797900750905713</v>
      </c>
      <c r="H89" s="153">
        <f t="shared" si="28"/>
        <v>0.89724410114871433</v>
      </c>
      <c r="I89" s="153">
        <f t="shared" si="28"/>
        <v>5.9816273409914286E-2</v>
      </c>
      <c r="J89" s="153">
        <f t="shared" si="28"/>
        <v>0.10766929213784572</v>
      </c>
      <c r="K89" s="153">
        <f t="shared" si="28"/>
        <v>0.29309973970858</v>
      </c>
      <c r="L89" s="153">
        <f t="shared" si="28"/>
        <v>0.63405249814509146</v>
      </c>
      <c r="M89" s="153">
        <f t="shared" si="28"/>
        <v>0.21892756068028629</v>
      </c>
      <c r="N89" s="153">
        <f t="shared" si="23"/>
        <v>4.6187733676199416</v>
      </c>
      <c r="O89" s="153">
        <f t="shared" si="29"/>
        <v>0.89724410114871433</v>
      </c>
      <c r="P89" s="153">
        <f t="shared" si="29"/>
        <v>0.17944882022974287</v>
      </c>
      <c r="Q89" s="153">
        <f t="shared" si="29"/>
        <v>0.19160946861397843</v>
      </c>
      <c r="R89" s="153">
        <f t="shared" si="29"/>
        <v>0.11963254681982857</v>
      </c>
      <c r="S89" s="153">
        <f t="shared" si="29"/>
        <v>2.6917323034461429</v>
      </c>
      <c r="T89" s="144">
        <f t="shared" si="24"/>
        <v>4.9667246300454124</v>
      </c>
      <c r="U89" s="153">
        <f t="shared" si="25"/>
        <v>0.77761155432888573</v>
      </c>
      <c r="V89" s="22">
        <f t="shared" si="22"/>
        <v>17.520922221926835</v>
      </c>
    </row>
    <row r="90" spans="1:22" ht="14.4" x14ac:dyDescent="0.3">
      <c r="A90" s="89">
        <f>'Lista de Compra'!A89</f>
        <v>86</v>
      </c>
      <c r="B90" s="151">
        <f>'Lista de Compra'!I89</f>
        <v>40</v>
      </c>
      <c r="C90" s="152">
        <f>'Lista de Compra'!L89</f>
        <v>9.5464355543095538E-4</v>
      </c>
      <c r="E90" s="153">
        <f t="shared" si="28"/>
        <v>92.142195970195814</v>
      </c>
      <c r="F90" s="153">
        <f t="shared" si="28"/>
        <v>0.33412524440083441</v>
      </c>
      <c r="G90" s="153">
        <f t="shared" si="28"/>
        <v>1.050107910974051</v>
      </c>
      <c r="H90" s="153">
        <f t="shared" si="28"/>
        <v>1.431965333146433</v>
      </c>
      <c r="I90" s="153">
        <f t="shared" si="28"/>
        <v>9.5464355543095542E-2</v>
      </c>
      <c r="J90" s="153">
        <f t="shared" si="28"/>
        <v>0.17183583997757196</v>
      </c>
      <c r="K90" s="153">
        <f t="shared" si="28"/>
        <v>0.46777534216116812</v>
      </c>
      <c r="L90" s="153">
        <f t="shared" si="28"/>
        <v>1.0119221687568127</v>
      </c>
      <c r="M90" s="153">
        <f t="shared" si="28"/>
        <v>0.34939954128772965</v>
      </c>
      <c r="N90" s="153">
        <f t="shared" si="23"/>
        <v>7.3713756776156654</v>
      </c>
      <c r="O90" s="153">
        <f t="shared" si="29"/>
        <v>1.431965333146433</v>
      </c>
      <c r="P90" s="153">
        <f t="shared" si="29"/>
        <v>0.2863930666292866</v>
      </c>
      <c r="Q90" s="153">
        <f t="shared" si="29"/>
        <v>0.30580097011119795</v>
      </c>
      <c r="R90" s="153">
        <f t="shared" si="29"/>
        <v>0.19092871108619108</v>
      </c>
      <c r="S90" s="153">
        <f t="shared" si="29"/>
        <v>4.2958959994392991</v>
      </c>
      <c r="T90" s="144">
        <f t="shared" si="24"/>
        <v>7.9266918338098513</v>
      </c>
      <c r="U90" s="153">
        <f t="shared" si="25"/>
        <v>1.241036622060242</v>
      </c>
      <c r="V90" s="22">
        <f t="shared" si="22"/>
        <v>27.962683950145863</v>
      </c>
    </row>
    <row r="91" spans="1:22" ht="14.4" x14ac:dyDescent="0.3">
      <c r="A91" s="89">
        <f>'Lista de Compra'!A90</f>
        <v>87</v>
      </c>
      <c r="B91" s="151">
        <f>'Lista de Compra'!I90</f>
        <v>100</v>
      </c>
      <c r="C91" s="152">
        <f>'Lista de Compra'!L90</f>
        <v>2.2355576930978066E-3</v>
      </c>
      <c r="E91" s="153">
        <f t="shared" si="28"/>
        <v>215.7760285378003</v>
      </c>
      <c r="F91" s="153">
        <f t="shared" si="28"/>
        <v>0.78244519258423229</v>
      </c>
      <c r="G91" s="153">
        <f t="shared" si="28"/>
        <v>2.4591134624075872</v>
      </c>
      <c r="H91" s="153">
        <f t="shared" si="28"/>
        <v>3.3533365396467101</v>
      </c>
      <c r="I91" s="153">
        <f t="shared" si="28"/>
        <v>0.22355576930978066</v>
      </c>
      <c r="J91" s="153">
        <f t="shared" si="28"/>
        <v>0.4024003847576052</v>
      </c>
      <c r="K91" s="153">
        <f t="shared" si="28"/>
        <v>1.0954232696179251</v>
      </c>
      <c r="L91" s="153">
        <f t="shared" si="28"/>
        <v>2.3696911546836747</v>
      </c>
      <c r="M91" s="153">
        <f t="shared" si="28"/>
        <v>0.8182141156737972</v>
      </c>
      <c r="N91" s="153">
        <f t="shared" si="23"/>
        <v>17.262082283024025</v>
      </c>
      <c r="O91" s="153">
        <f t="shared" si="29"/>
        <v>3.3533365396467101</v>
      </c>
      <c r="P91" s="153">
        <f t="shared" si="29"/>
        <v>0.67066730792934193</v>
      </c>
      <c r="Q91" s="153">
        <f t="shared" si="29"/>
        <v>0.7161161958300204</v>
      </c>
      <c r="R91" s="153">
        <f t="shared" si="29"/>
        <v>0.44711153861956132</v>
      </c>
      <c r="S91" s="153">
        <f t="shared" si="29"/>
        <v>10.06000961894013</v>
      </c>
      <c r="T91" s="144">
        <f t="shared" si="24"/>
        <v>18.562506193099015</v>
      </c>
      <c r="U91" s="153">
        <f t="shared" si="25"/>
        <v>2.9062250010271486</v>
      </c>
      <c r="V91" s="22">
        <f t="shared" si="22"/>
        <v>65.48223456679726</v>
      </c>
    </row>
    <row r="92" spans="1:22" ht="14.4" x14ac:dyDescent="0.3">
      <c r="A92" s="89">
        <f>'Lista de Compra'!A91</f>
        <v>88</v>
      </c>
      <c r="B92" s="151">
        <f>'Lista de Compra'!I91</f>
        <v>30</v>
      </c>
      <c r="C92" s="152">
        <f>'Lista de Compra'!L91</f>
        <v>1.250703898570935E-3</v>
      </c>
      <c r="E92" s="153">
        <f t="shared" si="28"/>
        <v>120.71794029006665</v>
      </c>
      <c r="F92" s="153">
        <f t="shared" si="28"/>
        <v>0.43774636449982729</v>
      </c>
      <c r="G92" s="153">
        <f t="shared" si="28"/>
        <v>1.3757742884280286</v>
      </c>
      <c r="H92" s="153">
        <f t="shared" si="28"/>
        <v>1.8760558478564024</v>
      </c>
      <c r="I92" s="153">
        <f t="shared" si="28"/>
        <v>0.12507038985709351</v>
      </c>
      <c r="J92" s="153">
        <f t="shared" si="28"/>
        <v>0.2251267017427683</v>
      </c>
      <c r="K92" s="153">
        <f t="shared" si="28"/>
        <v>0.61284491029975818</v>
      </c>
      <c r="L92" s="153">
        <f t="shared" si="28"/>
        <v>1.3257461324851911</v>
      </c>
      <c r="M92" s="153">
        <f t="shared" si="28"/>
        <v>0.4577576268769622</v>
      </c>
      <c r="N92" s="153">
        <f t="shared" si="23"/>
        <v>9.6574352232053329</v>
      </c>
      <c r="O92" s="153">
        <f t="shared" si="29"/>
        <v>1.8760558478564024</v>
      </c>
      <c r="P92" s="153">
        <f t="shared" si="29"/>
        <v>0.37521116957128053</v>
      </c>
      <c r="Q92" s="153">
        <f t="shared" si="29"/>
        <v>0.40063797982922761</v>
      </c>
      <c r="R92" s="153">
        <f t="shared" si="29"/>
        <v>0.25014077971418702</v>
      </c>
      <c r="S92" s="153">
        <f t="shared" si="29"/>
        <v>5.6281675435692078</v>
      </c>
      <c r="T92" s="144">
        <f t="shared" si="24"/>
        <v>10.384969681004044</v>
      </c>
      <c r="U92" s="153">
        <f t="shared" si="25"/>
        <v>1.6259150681422156</v>
      </c>
      <c r="V92" s="22">
        <f t="shared" si="22"/>
        <v>36.634655554937929</v>
      </c>
    </row>
    <row r="93" spans="1:22" ht="14.4" x14ac:dyDescent="0.3">
      <c r="A93" s="89">
        <f>'Lista de Compra'!A92</f>
        <v>89</v>
      </c>
      <c r="B93" s="151">
        <f>'Lista de Compra'!I92</f>
        <v>30</v>
      </c>
      <c r="C93" s="152">
        <f>'Lista de Compra'!L92</f>
        <v>6.2535194928546752E-4</v>
      </c>
      <c r="E93" s="153">
        <f t="shared" si="28"/>
        <v>60.358970145033325</v>
      </c>
      <c r="F93" s="153">
        <f t="shared" si="28"/>
        <v>0.21887318224991364</v>
      </c>
      <c r="G93" s="153">
        <f t="shared" si="28"/>
        <v>0.68788714421401431</v>
      </c>
      <c r="H93" s="153">
        <f t="shared" si="28"/>
        <v>0.93802792392820122</v>
      </c>
      <c r="I93" s="153">
        <f t="shared" si="28"/>
        <v>6.2535194928546756E-2</v>
      </c>
      <c r="J93" s="153">
        <f t="shared" si="28"/>
        <v>0.11256335087138415</v>
      </c>
      <c r="K93" s="153">
        <f t="shared" si="28"/>
        <v>0.30642245514987909</v>
      </c>
      <c r="L93" s="153">
        <f t="shared" si="28"/>
        <v>0.66287306624259557</v>
      </c>
      <c r="M93" s="153">
        <f t="shared" si="28"/>
        <v>0.2288788134384811</v>
      </c>
      <c r="N93" s="153">
        <f t="shared" si="23"/>
        <v>4.8287176116026664</v>
      </c>
      <c r="O93" s="153">
        <f t="shared" si="29"/>
        <v>0.93802792392820122</v>
      </c>
      <c r="P93" s="153">
        <f t="shared" si="29"/>
        <v>0.18760558478564027</v>
      </c>
      <c r="Q93" s="153">
        <f t="shared" si="29"/>
        <v>0.2003189899146138</v>
      </c>
      <c r="R93" s="153">
        <f t="shared" si="29"/>
        <v>0.12507038985709351</v>
      </c>
      <c r="S93" s="153">
        <f t="shared" si="29"/>
        <v>2.8140837717846039</v>
      </c>
      <c r="T93" s="144">
        <f t="shared" si="24"/>
        <v>5.1924848405020221</v>
      </c>
      <c r="U93" s="153">
        <f t="shared" si="25"/>
        <v>0.81295753407110782</v>
      </c>
      <c r="V93" s="22">
        <f t="shared" si="22"/>
        <v>18.317327777468964</v>
      </c>
    </row>
    <row r="94" spans="1:22" ht="14.4" x14ac:dyDescent="0.3">
      <c r="A94" s="89">
        <f>'Lista de Compra'!A93</f>
        <v>90</v>
      </c>
      <c r="B94" s="151">
        <f>'Lista de Compra'!I93</f>
        <v>250</v>
      </c>
      <c r="C94" s="152">
        <f>'Lista de Compra'!L93</f>
        <v>7.4392713773693908E-3</v>
      </c>
      <c r="E94" s="153">
        <f t="shared" si="28"/>
        <v>718.03847334369357</v>
      </c>
      <c r="F94" s="153">
        <f t="shared" si="28"/>
        <v>2.6037449820792866</v>
      </c>
      <c r="G94" s="153">
        <f t="shared" si="28"/>
        <v>8.18319851510633</v>
      </c>
      <c r="H94" s="153">
        <f t="shared" si="28"/>
        <v>11.158907066054086</v>
      </c>
      <c r="I94" s="153">
        <f t="shared" si="28"/>
        <v>0.74392713773693908</v>
      </c>
      <c r="J94" s="153">
        <f t="shared" si="28"/>
        <v>1.3390688479264903</v>
      </c>
      <c r="K94" s="153">
        <f t="shared" si="28"/>
        <v>3.6452429749110014</v>
      </c>
      <c r="L94" s="153">
        <f t="shared" si="28"/>
        <v>7.8856276600115542</v>
      </c>
      <c r="M94" s="153">
        <f t="shared" si="28"/>
        <v>2.7227733241171972</v>
      </c>
      <c r="N94" s="153">
        <f t="shared" si="23"/>
        <v>57.443077867495489</v>
      </c>
      <c r="O94" s="153">
        <f t="shared" si="29"/>
        <v>11.158907066054086</v>
      </c>
      <c r="P94" s="153">
        <f t="shared" si="29"/>
        <v>2.2317814132108174</v>
      </c>
      <c r="Q94" s="153">
        <f t="shared" si="29"/>
        <v>2.3830218003127368</v>
      </c>
      <c r="R94" s="153">
        <f t="shared" si="29"/>
        <v>1.4878542754738782</v>
      </c>
      <c r="S94" s="153">
        <f t="shared" si="29"/>
        <v>33.476721198162259</v>
      </c>
      <c r="T94" s="144">
        <f t="shared" si="24"/>
        <v>61.77050202771126</v>
      </c>
      <c r="U94" s="153">
        <f t="shared" si="25"/>
        <v>9.6710527905802088</v>
      </c>
      <c r="V94" s="22">
        <f t="shared" si="22"/>
        <v>217.9054089469436</v>
      </c>
    </row>
    <row r="95" spans="1:22" ht="14.4" x14ac:dyDescent="0.3">
      <c r="A95" s="89">
        <f>'Lista de Compra'!A94</f>
        <v>91</v>
      </c>
      <c r="B95" s="151">
        <f>'Lista de Compra'!I94</f>
        <v>80</v>
      </c>
      <c r="C95" s="152">
        <f>'Lista de Compra'!L94</f>
        <v>3.8064901260854546E-3</v>
      </c>
      <c r="E95" s="153">
        <f t="shared" ref="E95:M104" si="30">E$4*$C95</f>
        <v>367.4024269697681</v>
      </c>
      <c r="F95" s="153">
        <f t="shared" si="30"/>
        <v>1.3322715441299091</v>
      </c>
      <c r="G95" s="153">
        <f t="shared" si="30"/>
        <v>4.1871391386940005</v>
      </c>
      <c r="H95" s="153">
        <f t="shared" si="30"/>
        <v>5.7097351891281818</v>
      </c>
      <c r="I95" s="153">
        <f t="shared" si="30"/>
        <v>0.38064901260854545</v>
      </c>
      <c r="J95" s="153">
        <f t="shared" si="30"/>
        <v>0.6851682226953818</v>
      </c>
      <c r="K95" s="153">
        <f t="shared" si="30"/>
        <v>1.8651801617818728</v>
      </c>
      <c r="L95" s="153">
        <f t="shared" si="30"/>
        <v>4.0348795336505816</v>
      </c>
      <c r="M95" s="153">
        <f t="shared" si="30"/>
        <v>1.3931753861472764</v>
      </c>
      <c r="N95" s="153">
        <f t="shared" si="23"/>
        <v>29.39219415758145</v>
      </c>
      <c r="O95" s="153">
        <f t="shared" ref="O95:S104" si="31">O$4*$C95</f>
        <v>5.7097351891281818</v>
      </c>
      <c r="P95" s="153">
        <f t="shared" si="31"/>
        <v>1.1419470378256364</v>
      </c>
      <c r="Q95" s="153">
        <f t="shared" si="31"/>
        <v>1.2193329820889536</v>
      </c>
      <c r="R95" s="153">
        <f t="shared" si="31"/>
        <v>0.76129802521709089</v>
      </c>
      <c r="S95" s="153">
        <f t="shared" si="31"/>
        <v>17.129205567384545</v>
      </c>
      <c r="T95" s="144">
        <f t="shared" si="24"/>
        <v>31.606429463925352</v>
      </c>
      <c r="U95" s="153">
        <f t="shared" si="25"/>
        <v>4.9484371639110911</v>
      </c>
      <c r="V95" s="22">
        <f t="shared" si="22"/>
        <v>111.49677777589807</v>
      </c>
    </row>
    <row r="96" spans="1:22" ht="14.4" x14ac:dyDescent="0.3">
      <c r="A96" s="89">
        <f>'Lista de Compra'!A95</f>
        <v>92</v>
      </c>
      <c r="B96" s="151">
        <f>'Lista de Compra'!I95</f>
        <v>50</v>
      </c>
      <c r="C96" s="152">
        <f>'Lista de Compra'!L95</f>
        <v>2.379056328803409E-3</v>
      </c>
      <c r="E96" s="153">
        <f t="shared" si="30"/>
        <v>229.62651685610504</v>
      </c>
      <c r="F96" s="153">
        <f t="shared" si="30"/>
        <v>0.83266971508119314</v>
      </c>
      <c r="G96" s="153">
        <f t="shared" si="30"/>
        <v>2.6169619616837498</v>
      </c>
      <c r="H96" s="153">
        <f t="shared" si="30"/>
        <v>3.5685844932051136</v>
      </c>
      <c r="I96" s="153">
        <f t="shared" si="30"/>
        <v>0.23790563288034089</v>
      </c>
      <c r="J96" s="153">
        <f t="shared" si="30"/>
        <v>0.42823013918461361</v>
      </c>
      <c r="K96" s="153">
        <f t="shared" si="30"/>
        <v>1.1657376011136704</v>
      </c>
      <c r="L96" s="153">
        <f t="shared" si="30"/>
        <v>2.5217997085316135</v>
      </c>
      <c r="M96" s="153">
        <f t="shared" si="30"/>
        <v>0.87073461634204774</v>
      </c>
      <c r="N96" s="153">
        <f t="shared" si="23"/>
        <v>18.370121348488404</v>
      </c>
      <c r="O96" s="153">
        <f t="shared" si="31"/>
        <v>3.5685844932051136</v>
      </c>
      <c r="P96" s="153">
        <f t="shared" si="31"/>
        <v>0.71371689864102272</v>
      </c>
      <c r="Q96" s="153">
        <f t="shared" si="31"/>
        <v>0.76208311380559601</v>
      </c>
      <c r="R96" s="153">
        <f t="shared" si="31"/>
        <v>0.47581126576068178</v>
      </c>
      <c r="S96" s="153">
        <f t="shared" si="31"/>
        <v>10.705753479615341</v>
      </c>
      <c r="T96" s="144">
        <f t="shared" si="24"/>
        <v>19.754018414953343</v>
      </c>
      <c r="U96" s="153">
        <f t="shared" si="25"/>
        <v>3.0927732274444319</v>
      </c>
      <c r="V96" s="22">
        <f t="shared" si="22"/>
        <v>69.685486109936264</v>
      </c>
    </row>
    <row r="97" spans="1:22" ht="14.4" x14ac:dyDescent="0.3">
      <c r="A97" s="89">
        <f>'Lista de Compra'!A96</f>
        <v>93</v>
      </c>
      <c r="B97" s="151">
        <f>'Lista de Compra'!I96</f>
        <v>30</v>
      </c>
      <c r="C97" s="152">
        <f>'Lista de Compra'!L96</f>
        <v>1.8760558478564024E-3</v>
      </c>
      <c r="E97" s="153">
        <f t="shared" si="30"/>
        <v>181.07691043509996</v>
      </c>
      <c r="F97" s="153">
        <f t="shared" si="30"/>
        <v>0.65661954674974088</v>
      </c>
      <c r="G97" s="153">
        <f t="shared" si="30"/>
        <v>2.0636614326420428</v>
      </c>
      <c r="H97" s="153">
        <f t="shared" si="30"/>
        <v>2.8140837717846034</v>
      </c>
      <c r="I97" s="153">
        <f t="shared" si="30"/>
        <v>0.18760558478564024</v>
      </c>
      <c r="J97" s="153">
        <f t="shared" si="30"/>
        <v>0.33769005261415241</v>
      </c>
      <c r="K97" s="153">
        <f t="shared" si="30"/>
        <v>0.91926736544963716</v>
      </c>
      <c r="L97" s="153">
        <f t="shared" si="30"/>
        <v>1.9886191987277866</v>
      </c>
      <c r="M97" s="153">
        <f t="shared" si="30"/>
        <v>0.68663644031544324</v>
      </c>
      <c r="N97" s="153">
        <f t="shared" si="23"/>
        <v>14.486152834807998</v>
      </c>
      <c r="O97" s="153">
        <f t="shared" si="31"/>
        <v>2.8140837717846034</v>
      </c>
      <c r="P97" s="153">
        <f t="shared" si="31"/>
        <v>0.56281675435692069</v>
      </c>
      <c r="Q97" s="153">
        <f t="shared" si="31"/>
        <v>0.60095696974384138</v>
      </c>
      <c r="R97" s="153">
        <f t="shared" si="31"/>
        <v>0.37521116957128048</v>
      </c>
      <c r="S97" s="153">
        <f t="shared" si="31"/>
        <v>8.4422513153538112</v>
      </c>
      <c r="T97" s="144">
        <f t="shared" si="24"/>
        <v>15.577454521506064</v>
      </c>
      <c r="U97" s="153">
        <f t="shared" si="25"/>
        <v>2.4388726022133231</v>
      </c>
      <c r="V97" s="22">
        <f t="shared" si="22"/>
        <v>54.951983332406883</v>
      </c>
    </row>
    <row r="98" spans="1:22" ht="14.4" x14ac:dyDescent="0.3">
      <c r="A98" s="89">
        <f>'Lista de Compra'!A97</f>
        <v>94</v>
      </c>
      <c r="B98" s="151">
        <f>'Lista de Compra'!I97</f>
        <v>50</v>
      </c>
      <c r="C98" s="152">
        <f>'Lista de Compra'!L97</f>
        <v>2.6811587197625724E-3</v>
      </c>
      <c r="E98" s="153">
        <f t="shared" si="30"/>
        <v>258.78543963148348</v>
      </c>
      <c r="F98" s="153">
        <f t="shared" si="30"/>
        <v>0.93840555191690034</v>
      </c>
      <c r="G98" s="153">
        <f t="shared" si="30"/>
        <v>2.9492745917388294</v>
      </c>
      <c r="H98" s="153">
        <f t="shared" si="30"/>
        <v>4.0217380796438587</v>
      </c>
      <c r="I98" s="153">
        <f t="shared" si="30"/>
        <v>0.26811587197625725</v>
      </c>
      <c r="J98" s="153">
        <f t="shared" si="30"/>
        <v>0.482608569557263</v>
      </c>
      <c r="K98" s="153">
        <f t="shared" si="30"/>
        <v>1.3137677726836605</v>
      </c>
      <c r="L98" s="153">
        <f t="shared" si="30"/>
        <v>2.8420282429483268</v>
      </c>
      <c r="M98" s="153">
        <f t="shared" si="30"/>
        <v>0.98130409143310149</v>
      </c>
      <c r="N98" s="153">
        <f t="shared" si="23"/>
        <v>20.702835170518679</v>
      </c>
      <c r="O98" s="153">
        <f t="shared" si="31"/>
        <v>4.0217380796438587</v>
      </c>
      <c r="P98" s="153">
        <f t="shared" si="31"/>
        <v>0.80434761592877169</v>
      </c>
      <c r="Q98" s="153">
        <f t="shared" si="31"/>
        <v>0.85885557270154478</v>
      </c>
      <c r="R98" s="153">
        <f t="shared" si="31"/>
        <v>0.53623174395251449</v>
      </c>
      <c r="S98" s="153">
        <f t="shared" si="31"/>
        <v>12.065214238931576</v>
      </c>
      <c r="T98" s="144">
        <f t="shared" si="24"/>
        <v>22.262465197804566</v>
      </c>
      <c r="U98" s="153">
        <f t="shared" si="25"/>
        <v>3.485506335691344</v>
      </c>
      <c r="V98" s="22">
        <f t="shared" si="22"/>
        <v>78.534436727071039</v>
      </c>
    </row>
    <row r="99" spans="1:22" ht="14.4" x14ac:dyDescent="0.3">
      <c r="A99" s="89">
        <f>'Lista de Compra'!A98</f>
        <v>95</v>
      </c>
      <c r="B99" s="151">
        <f>'Lista de Compra'!I98</f>
        <v>50</v>
      </c>
      <c r="C99" s="152">
        <f>'Lista de Compra'!L98</f>
        <v>3.7234119685716849E-3</v>
      </c>
      <c r="E99" s="153">
        <f t="shared" si="30"/>
        <v>359.383723206539</v>
      </c>
      <c r="F99" s="153">
        <f t="shared" si="30"/>
        <v>1.3031941890000898</v>
      </c>
      <c r="G99" s="153">
        <f t="shared" si="30"/>
        <v>4.095753165428853</v>
      </c>
      <c r="H99" s="153">
        <f t="shared" si="30"/>
        <v>5.5851179528575274</v>
      </c>
      <c r="I99" s="153">
        <f t="shared" si="30"/>
        <v>0.37234119685716849</v>
      </c>
      <c r="J99" s="153">
        <f t="shared" si="30"/>
        <v>0.67021415434290332</v>
      </c>
      <c r="K99" s="153">
        <f t="shared" si="30"/>
        <v>1.8244718646001257</v>
      </c>
      <c r="L99" s="153">
        <f t="shared" si="30"/>
        <v>3.946816686685986</v>
      </c>
      <c r="M99" s="153">
        <f t="shared" si="30"/>
        <v>1.3627687804972366</v>
      </c>
      <c r="N99" s="153">
        <f t="shared" si="23"/>
        <v>28.750697856523121</v>
      </c>
      <c r="O99" s="153">
        <f t="shared" si="31"/>
        <v>5.5851179528575274</v>
      </c>
      <c r="P99" s="153">
        <f t="shared" si="31"/>
        <v>1.1170235905715056</v>
      </c>
      <c r="Q99" s="153">
        <f t="shared" si="31"/>
        <v>1.1927205558925678</v>
      </c>
      <c r="R99" s="153">
        <f t="shared" si="31"/>
        <v>0.74468239371433698</v>
      </c>
      <c r="S99" s="153">
        <f t="shared" si="31"/>
        <v>16.755353858572583</v>
      </c>
      <c r="T99" s="144">
        <f t="shared" si="24"/>
        <v>30.91660659864127</v>
      </c>
      <c r="U99" s="153">
        <f t="shared" si="25"/>
        <v>4.8404355591431907</v>
      </c>
      <c r="V99" s="22">
        <f t="shared" si="22"/>
        <v>109.06331635618599</v>
      </c>
    </row>
    <row r="100" spans="1:22" ht="14.4" x14ac:dyDescent="0.3">
      <c r="A100" s="89">
        <f>'Lista de Compra'!A99</f>
        <v>96</v>
      </c>
      <c r="B100" s="151">
        <f>'Lista de Compra'!I99</f>
        <v>80</v>
      </c>
      <c r="C100" s="152">
        <f>'Lista de Compra'!L99</f>
        <v>7.141700522274615E-3</v>
      </c>
      <c r="E100" s="153">
        <f t="shared" si="30"/>
        <v>689.31693440994582</v>
      </c>
      <c r="F100" s="153">
        <f t="shared" si="30"/>
        <v>2.4995951827961154</v>
      </c>
      <c r="G100" s="153">
        <f t="shared" si="30"/>
        <v>7.8558705745020765</v>
      </c>
      <c r="H100" s="153">
        <f t="shared" si="30"/>
        <v>10.712550783411922</v>
      </c>
      <c r="I100" s="153">
        <f t="shared" si="30"/>
        <v>0.71417005222746155</v>
      </c>
      <c r="J100" s="153">
        <f t="shared" si="30"/>
        <v>1.2855060940094307</v>
      </c>
      <c r="K100" s="153">
        <f t="shared" si="30"/>
        <v>3.4994332559145613</v>
      </c>
      <c r="L100" s="153">
        <f t="shared" si="30"/>
        <v>7.5702025536110922</v>
      </c>
      <c r="M100" s="153">
        <f t="shared" si="30"/>
        <v>2.6138623911525092</v>
      </c>
      <c r="N100" s="153">
        <f t="shared" si="23"/>
        <v>55.145354752795669</v>
      </c>
      <c r="O100" s="153">
        <f t="shared" si="31"/>
        <v>10.712550783411922</v>
      </c>
      <c r="P100" s="153">
        <f t="shared" si="31"/>
        <v>2.1425101566823845</v>
      </c>
      <c r="Q100" s="153">
        <f t="shared" si="31"/>
        <v>2.2877009283002274</v>
      </c>
      <c r="R100" s="153">
        <f t="shared" si="31"/>
        <v>1.4283401044549231</v>
      </c>
      <c r="S100" s="153">
        <f t="shared" si="31"/>
        <v>32.137652350235768</v>
      </c>
      <c r="T100" s="144">
        <f t="shared" si="24"/>
        <v>59.299681946602803</v>
      </c>
      <c r="U100" s="153">
        <f t="shared" si="25"/>
        <v>9.2842106789569989</v>
      </c>
      <c r="V100" s="22">
        <f t="shared" ref="V100:V131" si="32">SUM(F100:U100)</f>
        <v>209.18919258906587</v>
      </c>
    </row>
    <row r="101" spans="1:22" ht="14.4" x14ac:dyDescent="0.3">
      <c r="A101" s="89">
        <f>'Lista de Compra'!A100</f>
        <v>97</v>
      </c>
      <c r="B101" s="151">
        <f>'Lista de Compra'!I100</f>
        <v>80</v>
      </c>
      <c r="C101" s="152">
        <f>'Lista de Compra'!L100</f>
        <v>8.3380259904729005E-3</v>
      </c>
      <c r="E101" s="153">
        <f t="shared" si="30"/>
        <v>804.78626860044437</v>
      </c>
      <c r="F101" s="153">
        <f t="shared" si="30"/>
        <v>2.918309096665515</v>
      </c>
      <c r="G101" s="153">
        <f t="shared" si="30"/>
        <v>9.1718285895201905</v>
      </c>
      <c r="H101" s="153">
        <f t="shared" si="30"/>
        <v>12.50703898570935</v>
      </c>
      <c r="I101" s="153">
        <f t="shared" si="30"/>
        <v>0.83380259904729004</v>
      </c>
      <c r="J101" s="153">
        <f t="shared" si="30"/>
        <v>1.5008446782851221</v>
      </c>
      <c r="K101" s="153">
        <f t="shared" si="30"/>
        <v>4.0856327353317212</v>
      </c>
      <c r="L101" s="153">
        <f t="shared" si="30"/>
        <v>8.8383075499012751</v>
      </c>
      <c r="M101" s="153">
        <f t="shared" si="30"/>
        <v>3.0517175125130818</v>
      </c>
      <c r="N101" s="153">
        <f t="shared" ref="N101:N132" si="33">$N$4*E101</f>
        <v>64.382901488035557</v>
      </c>
      <c r="O101" s="153">
        <f t="shared" si="31"/>
        <v>12.50703898570935</v>
      </c>
      <c r="P101" s="153">
        <f t="shared" si="31"/>
        <v>2.5014077971418702</v>
      </c>
      <c r="Q101" s="153">
        <f t="shared" si="31"/>
        <v>2.6709198655281843</v>
      </c>
      <c r="R101" s="153">
        <f t="shared" si="31"/>
        <v>1.6676051980945801</v>
      </c>
      <c r="S101" s="153">
        <f t="shared" si="31"/>
        <v>37.521116957128051</v>
      </c>
      <c r="T101" s="144">
        <f t="shared" ref="T101:T132" si="34">T$4*C101</f>
        <v>69.233131206693628</v>
      </c>
      <c r="U101" s="153">
        <f t="shared" ref="U101:U132" si="35">U$4*$C101</f>
        <v>10.839433787614771</v>
      </c>
      <c r="V101" s="22">
        <f t="shared" si="32"/>
        <v>244.23103703291955</v>
      </c>
    </row>
    <row r="102" spans="1:22" ht="14.4" x14ac:dyDescent="0.3">
      <c r="A102" s="89">
        <f>'Lista de Compra'!A101</f>
        <v>98</v>
      </c>
      <c r="B102" s="151">
        <f>'Lista de Compra'!I101</f>
        <v>80</v>
      </c>
      <c r="C102" s="152">
        <f>'Lista de Compra'!L101</f>
        <v>1.2615795846454649E-2</v>
      </c>
      <c r="E102" s="153">
        <f t="shared" si="30"/>
        <v>1217.6766150998026</v>
      </c>
      <c r="F102" s="153">
        <f t="shared" si="30"/>
        <v>4.4155285462591269</v>
      </c>
      <c r="G102" s="153">
        <f t="shared" si="30"/>
        <v>13.877375431100113</v>
      </c>
      <c r="H102" s="153">
        <f t="shared" si="30"/>
        <v>18.923693769681972</v>
      </c>
      <c r="I102" s="153">
        <f t="shared" si="30"/>
        <v>1.2615795846454649</v>
      </c>
      <c r="J102" s="153">
        <f t="shared" si="30"/>
        <v>2.2708432523618369</v>
      </c>
      <c r="K102" s="153">
        <f t="shared" si="30"/>
        <v>6.1817399647627775</v>
      </c>
      <c r="L102" s="153">
        <f t="shared" si="30"/>
        <v>13.372743597241927</v>
      </c>
      <c r="M102" s="153">
        <f t="shared" si="30"/>
        <v>4.6173812798024017</v>
      </c>
      <c r="N102" s="153">
        <f t="shared" si="33"/>
        <v>97.414129207984203</v>
      </c>
      <c r="O102" s="153">
        <f t="shared" si="31"/>
        <v>18.923693769681972</v>
      </c>
      <c r="P102" s="153">
        <f t="shared" si="31"/>
        <v>3.7847387539363946</v>
      </c>
      <c r="Q102" s="153">
        <f t="shared" si="31"/>
        <v>4.0412178834948174</v>
      </c>
      <c r="R102" s="153">
        <f t="shared" si="31"/>
        <v>2.5231591692909299</v>
      </c>
      <c r="S102" s="153">
        <f t="shared" si="31"/>
        <v>56.771081309045918</v>
      </c>
      <c r="T102" s="144">
        <f t="shared" si="34"/>
        <v>104.75273765186688</v>
      </c>
      <c r="U102" s="153">
        <f t="shared" si="35"/>
        <v>16.400534600391044</v>
      </c>
      <c r="V102" s="22">
        <f t="shared" si="32"/>
        <v>369.53217777154777</v>
      </c>
    </row>
    <row r="103" spans="1:22" ht="14.4" x14ac:dyDescent="0.3">
      <c r="A103" s="89">
        <f>'Lista de Compra'!A102</f>
        <v>99</v>
      </c>
      <c r="B103" s="151">
        <f>'Lista de Compra'!I102</f>
        <v>30</v>
      </c>
      <c r="C103" s="152">
        <f>'Lista de Compra'!L102</f>
        <v>1.1605263348696248E-2</v>
      </c>
      <c r="E103" s="153">
        <f t="shared" si="30"/>
        <v>1120.1400184161619</v>
      </c>
      <c r="F103" s="153">
        <f t="shared" si="30"/>
        <v>4.0618421720436872</v>
      </c>
      <c r="G103" s="153">
        <f t="shared" si="30"/>
        <v>12.765789683565874</v>
      </c>
      <c r="H103" s="153">
        <f t="shared" si="30"/>
        <v>17.407895023044372</v>
      </c>
      <c r="I103" s="153">
        <f t="shared" si="30"/>
        <v>1.1605263348696249</v>
      </c>
      <c r="J103" s="153">
        <f t="shared" si="30"/>
        <v>2.0889474027653248</v>
      </c>
      <c r="K103" s="153">
        <f t="shared" si="30"/>
        <v>5.6865790408611616</v>
      </c>
      <c r="L103" s="153">
        <f t="shared" si="30"/>
        <v>12.301579149618023</v>
      </c>
      <c r="M103" s="153">
        <f t="shared" si="30"/>
        <v>4.2475263856228267</v>
      </c>
      <c r="N103" s="153">
        <f t="shared" si="33"/>
        <v>89.611201473292951</v>
      </c>
      <c r="O103" s="153">
        <f t="shared" si="31"/>
        <v>17.407895023044372</v>
      </c>
      <c r="P103" s="153">
        <f t="shared" si="31"/>
        <v>3.4815790046088746</v>
      </c>
      <c r="Q103" s="153">
        <f t="shared" si="31"/>
        <v>3.7175140084878691</v>
      </c>
      <c r="R103" s="153">
        <f t="shared" si="31"/>
        <v>2.3210526697392497</v>
      </c>
      <c r="S103" s="153">
        <f t="shared" si="31"/>
        <v>52.223685069133118</v>
      </c>
      <c r="T103" s="144">
        <f t="shared" si="34"/>
        <v>96.361983163229553</v>
      </c>
      <c r="U103" s="153">
        <f t="shared" si="35"/>
        <v>15.086842353305123</v>
      </c>
      <c r="V103" s="22">
        <f t="shared" si="32"/>
        <v>339.93243795723203</v>
      </c>
    </row>
    <row r="104" spans="1:22" ht="14.4" x14ac:dyDescent="0.3">
      <c r="A104" s="89">
        <f>'Lista de Compra'!A103</f>
        <v>100</v>
      </c>
      <c r="B104" s="151">
        <f>'Lista de Compra'!I103</f>
        <v>30</v>
      </c>
      <c r="C104" s="152">
        <f>'Lista de Compra'!L103</f>
        <v>7.141700522274615E-3</v>
      </c>
      <c r="E104" s="153">
        <f t="shared" si="30"/>
        <v>689.31693440994582</v>
      </c>
      <c r="F104" s="153">
        <f t="shared" si="30"/>
        <v>2.4995951827961154</v>
      </c>
      <c r="G104" s="153">
        <f t="shared" si="30"/>
        <v>7.8558705745020765</v>
      </c>
      <c r="H104" s="153">
        <f t="shared" si="30"/>
        <v>10.712550783411922</v>
      </c>
      <c r="I104" s="153">
        <f t="shared" si="30"/>
        <v>0.71417005222746155</v>
      </c>
      <c r="J104" s="153">
        <f t="shared" si="30"/>
        <v>1.2855060940094307</v>
      </c>
      <c r="K104" s="153">
        <f t="shared" si="30"/>
        <v>3.4994332559145613</v>
      </c>
      <c r="L104" s="153">
        <f t="shared" si="30"/>
        <v>7.5702025536110922</v>
      </c>
      <c r="M104" s="153">
        <f t="shared" si="30"/>
        <v>2.6138623911525092</v>
      </c>
      <c r="N104" s="153">
        <f t="shared" si="33"/>
        <v>55.145354752795669</v>
      </c>
      <c r="O104" s="153">
        <f t="shared" si="31"/>
        <v>10.712550783411922</v>
      </c>
      <c r="P104" s="153">
        <f t="shared" si="31"/>
        <v>2.1425101566823845</v>
      </c>
      <c r="Q104" s="153">
        <f t="shared" si="31"/>
        <v>2.2877009283002274</v>
      </c>
      <c r="R104" s="153">
        <f t="shared" si="31"/>
        <v>1.4283401044549231</v>
      </c>
      <c r="S104" s="153">
        <f t="shared" si="31"/>
        <v>32.137652350235768</v>
      </c>
      <c r="T104" s="144">
        <f t="shared" si="34"/>
        <v>59.299681946602803</v>
      </c>
      <c r="U104" s="153">
        <f t="shared" si="35"/>
        <v>9.2842106789569989</v>
      </c>
      <c r="V104" s="22">
        <f t="shared" si="32"/>
        <v>209.18919258906587</v>
      </c>
    </row>
    <row r="105" spans="1:22" ht="14.4" x14ac:dyDescent="0.3">
      <c r="A105" s="89">
        <f>'Lista de Compra'!A104</f>
        <v>101</v>
      </c>
      <c r="B105" s="151">
        <f>'Lista de Compra'!I104</f>
        <v>15</v>
      </c>
      <c r="C105" s="152">
        <f>'Lista de Compra'!L104</f>
        <v>2.4991420292096761E-3</v>
      </c>
      <c r="E105" s="153">
        <f t="shared" ref="E105:M114" si="36">E$4*$C105</f>
        <v>241.21718865931794</v>
      </c>
      <c r="F105" s="153">
        <f t="shared" si="36"/>
        <v>0.87469971022338666</v>
      </c>
      <c r="G105" s="153">
        <f t="shared" si="36"/>
        <v>2.7490562321306435</v>
      </c>
      <c r="H105" s="153">
        <f t="shared" si="36"/>
        <v>3.7487130438145142</v>
      </c>
      <c r="I105" s="153">
        <f t="shared" si="36"/>
        <v>0.24991420292096761</v>
      </c>
      <c r="J105" s="153">
        <f t="shared" si="36"/>
        <v>0.44984556525774172</v>
      </c>
      <c r="K105" s="153">
        <f t="shared" si="36"/>
        <v>1.2245795943127413</v>
      </c>
      <c r="L105" s="153">
        <f t="shared" si="36"/>
        <v>2.6490905509622569</v>
      </c>
      <c r="M105" s="153">
        <f t="shared" si="36"/>
        <v>0.91468598269074142</v>
      </c>
      <c r="N105" s="153">
        <f t="shared" si="33"/>
        <v>19.297375092745437</v>
      </c>
      <c r="O105" s="153">
        <f t="shared" ref="O105:S114" si="37">O$4*$C105</f>
        <v>3.7487130438145142</v>
      </c>
      <c r="P105" s="153">
        <f t="shared" si="37"/>
        <v>0.74974260876290288</v>
      </c>
      <c r="Q105" s="153">
        <f t="shared" si="37"/>
        <v>0.80055016621673547</v>
      </c>
      <c r="R105" s="153">
        <f t="shared" si="37"/>
        <v>0.49982840584193522</v>
      </c>
      <c r="S105" s="153">
        <f t="shared" si="37"/>
        <v>11.246139131443542</v>
      </c>
      <c r="T105" s="144">
        <f t="shared" si="34"/>
        <v>20.751126011136702</v>
      </c>
      <c r="U105" s="153">
        <f t="shared" si="35"/>
        <v>3.2488846379725791</v>
      </c>
      <c r="V105" s="22">
        <f t="shared" si="32"/>
        <v>73.202943980247341</v>
      </c>
    </row>
    <row r="106" spans="1:22" ht="14.4" x14ac:dyDescent="0.3">
      <c r="A106" s="89">
        <f>'Lista de Compra'!A105</f>
        <v>102</v>
      </c>
      <c r="B106" s="151">
        <f>'Lista de Compra'!I105</f>
        <v>15</v>
      </c>
      <c r="C106" s="152">
        <f>'Lista de Compra'!L105</f>
        <v>1.9191054385680835E-3</v>
      </c>
      <c r="E106" s="153">
        <f t="shared" si="36"/>
        <v>185.23205693059143</v>
      </c>
      <c r="F106" s="153">
        <f t="shared" si="36"/>
        <v>0.6716869034988292</v>
      </c>
      <c r="G106" s="153">
        <f t="shared" si="36"/>
        <v>2.1110159824248917</v>
      </c>
      <c r="H106" s="153">
        <f t="shared" si="36"/>
        <v>2.8786581578521253</v>
      </c>
      <c r="I106" s="153">
        <f t="shared" si="36"/>
        <v>0.19191054385680834</v>
      </c>
      <c r="J106" s="153">
        <f t="shared" si="36"/>
        <v>0.345438978942255</v>
      </c>
      <c r="K106" s="153">
        <f t="shared" si="36"/>
        <v>0.94036166489836093</v>
      </c>
      <c r="L106" s="153">
        <f t="shared" si="36"/>
        <v>2.0342517648821685</v>
      </c>
      <c r="M106" s="153">
        <f t="shared" si="36"/>
        <v>0.70239259051591851</v>
      </c>
      <c r="N106" s="153">
        <f t="shared" si="33"/>
        <v>14.818564554447315</v>
      </c>
      <c r="O106" s="153">
        <f t="shared" si="37"/>
        <v>2.8786581578521253</v>
      </c>
      <c r="P106" s="153">
        <f t="shared" si="37"/>
        <v>0.57573163157042506</v>
      </c>
      <c r="Q106" s="153">
        <f t="shared" si="37"/>
        <v>0.61474704513651413</v>
      </c>
      <c r="R106" s="153">
        <f t="shared" si="37"/>
        <v>0.38382108771361667</v>
      </c>
      <c r="S106" s="153">
        <f t="shared" si="37"/>
        <v>8.6359744735563755</v>
      </c>
      <c r="T106" s="144">
        <f t="shared" si="34"/>
        <v>15.934908188062366</v>
      </c>
      <c r="U106" s="153">
        <f t="shared" si="35"/>
        <v>2.4948370701385088</v>
      </c>
      <c r="V106" s="22">
        <f t="shared" si="32"/>
        <v>56.212958795348605</v>
      </c>
    </row>
    <row r="107" spans="1:22" ht="14.4" x14ac:dyDescent="0.3">
      <c r="A107" s="89">
        <f>'Lista de Compra'!A106</f>
        <v>103</v>
      </c>
      <c r="B107" s="151">
        <f>'Lista de Compra'!I106</f>
        <v>100</v>
      </c>
      <c r="C107" s="152">
        <f>'Lista de Compra'!L106</f>
        <v>6.042047819183261E-4</v>
      </c>
      <c r="E107" s="153">
        <f t="shared" si="36"/>
        <v>58.317845550756836</v>
      </c>
      <c r="F107" s="153">
        <f t="shared" si="36"/>
        <v>0.21147167367141415</v>
      </c>
      <c r="G107" s="153">
        <f t="shared" si="36"/>
        <v>0.66462526011015866</v>
      </c>
      <c r="H107" s="153">
        <f t="shared" si="36"/>
        <v>0.90630717287748919</v>
      </c>
      <c r="I107" s="153">
        <f t="shared" si="36"/>
        <v>6.0420478191832612E-2</v>
      </c>
      <c r="J107" s="153">
        <f t="shared" si="36"/>
        <v>0.10875686074529869</v>
      </c>
      <c r="K107" s="153">
        <f t="shared" si="36"/>
        <v>0.29606034313997981</v>
      </c>
      <c r="L107" s="153">
        <f t="shared" si="36"/>
        <v>0.64045706883342568</v>
      </c>
      <c r="M107" s="153">
        <f t="shared" si="36"/>
        <v>0.22113895018210736</v>
      </c>
      <c r="N107" s="153">
        <f t="shared" si="33"/>
        <v>4.6654276440605473</v>
      </c>
      <c r="O107" s="153">
        <f t="shared" si="37"/>
        <v>0.90630717287748919</v>
      </c>
      <c r="P107" s="153">
        <f t="shared" si="37"/>
        <v>0.18126143457549784</v>
      </c>
      <c r="Q107" s="153">
        <f t="shared" si="37"/>
        <v>0.19354491779189739</v>
      </c>
      <c r="R107" s="153">
        <f t="shared" si="37"/>
        <v>0.12084095638366522</v>
      </c>
      <c r="S107" s="153">
        <f t="shared" si="37"/>
        <v>2.7189215186324676</v>
      </c>
      <c r="T107" s="144">
        <f t="shared" si="34"/>
        <v>5.0168935657024365</v>
      </c>
      <c r="U107" s="153">
        <f t="shared" si="35"/>
        <v>0.78546621649382398</v>
      </c>
      <c r="V107" s="22">
        <f t="shared" si="32"/>
        <v>17.69790123426953</v>
      </c>
    </row>
    <row r="108" spans="1:22" ht="14.4" x14ac:dyDescent="0.3">
      <c r="A108" s="89">
        <f>'Lista de Compra'!A107</f>
        <v>104</v>
      </c>
      <c r="B108" s="151">
        <f>'Lista de Compra'!I107</f>
        <v>200</v>
      </c>
      <c r="C108" s="152">
        <f>'Lista de Compra'!L107</f>
        <v>1.9032450630427273E-3</v>
      </c>
      <c r="E108" s="153">
        <f t="shared" si="36"/>
        <v>183.70121348488405</v>
      </c>
      <c r="F108" s="153">
        <f t="shared" si="36"/>
        <v>0.66613577206495456</v>
      </c>
      <c r="G108" s="153">
        <f t="shared" si="36"/>
        <v>2.0935695693470002</v>
      </c>
      <c r="H108" s="153">
        <f t="shared" si="36"/>
        <v>2.8548675945640909</v>
      </c>
      <c r="I108" s="153">
        <f t="shared" si="36"/>
        <v>0.19032450630427272</v>
      </c>
      <c r="J108" s="153">
        <f t="shared" si="36"/>
        <v>0.3425841113476909</v>
      </c>
      <c r="K108" s="153">
        <f t="shared" si="36"/>
        <v>0.93259008089093642</v>
      </c>
      <c r="L108" s="153">
        <f t="shared" si="36"/>
        <v>2.0174397668252908</v>
      </c>
      <c r="M108" s="153">
        <f t="shared" si="36"/>
        <v>0.69658769307363821</v>
      </c>
      <c r="N108" s="153">
        <f t="shared" si="33"/>
        <v>14.696097078790725</v>
      </c>
      <c r="O108" s="153">
        <f t="shared" si="37"/>
        <v>2.8548675945640909</v>
      </c>
      <c r="P108" s="153">
        <f t="shared" si="37"/>
        <v>0.57097351891281822</v>
      </c>
      <c r="Q108" s="153">
        <f t="shared" si="37"/>
        <v>0.60966649104447679</v>
      </c>
      <c r="R108" s="153">
        <f t="shared" si="37"/>
        <v>0.38064901260854545</v>
      </c>
      <c r="S108" s="153">
        <f t="shared" si="37"/>
        <v>8.5646027836922727</v>
      </c>
      <c r="T108" s="144">
        <f t="shared" si="34"/>
        <v>15.803214731962676</v>
      </c>
      <c r="U108" s="153">
        <f t="shared" si="35"/>
        <v>2.4742185819555456</v>
      </c>
      <c r="V108" s="22">
        <f t="shared" si="32"/>
        <v>55.748388887949034</v>
      </c>
    </row>
    <row r="109" spans="1:22" ht="14.4" x14ac:dyDescent="0.3">
      <c r="A109" s="89">
        <f>'Lista de Compra'!A108</f>
        <v>105</v>
      </c>
      <c r="B109" s="151">
        <f>'Lista de Compra'!I108</f>
        <v>30</v>
      </c>
      <c r="C109" s="152">
        <f>'Lista de Compra'!L108</f>
        <v>1.3730553669093961E-3</v>
      </c>
      <c r="E109" s="153">
        <f t="shared" si="36"/>
        <v>132.52730401409491</v>
      </c>
      <c r="F109" s="153">
        <f t="shared" si="36"/>
        <v>0.48056937841828862</v>
      </c>
      <c r="G109" s="153">
        <f t="shared" si="36"/>
        <v>1.5103609036003356</v>
      </c>
      <c r="H109" s="153">
        <f t="shared" si="36"/>
        <v>2.0595830503640942</v>
      </c>
      <c r="I109" s="153">
        <f t="shared" si="36"/>
        <v>0.13730553669093962</v>
      </c>
      <c r="J109" s="153">
        <f t="shared" si="36"/>
        <v>0.2471499660436913</v>
      </c>
      <c r="K109" s="153">
        <f t="shared" si="36"/>
        <v>0.67279712978560413</v>
      </c>
      <c r="L109" s="153">
        <f t="shared" si="36"/>
        <v>1.4554386889239599</v>
      </c>
      <c r="M109" s="153">
        <f t="shared" si="36"/>
        <v>0.50253826428883897</v>
      </c>
      <c r="N109" s="153">
        <f t="shared" si="33"/>
        <v>10.602184321127593</v>
      </c>
      <c r="O109" s="153">
        <f t="shared" si="37"/>
        <v>2.0595830503640942</v>
      </c>
      <c r="P109" s="153">
        <f t="shared" si="37"/>
        <v>0.41191661007281882</v>
      </c>
      <c r="Q109" s="153">
        <f t="shared" si="37"/>
        <v>0.43983082568208681</v>
      </c>
      <c r="R109" s="153">
        <f t="shared" si="37"/>
        <v>0.27461107338187923</v>
      </c>
      <c r="S109" s="153">
        <f t="shared" si="37"/>
        <v>6.1787491510922825</v>
      </c>
      <c r="T109" s="144">
        <f t="shared" si="34"/>
        <v>11.400890628058788</v>
      </c>
      <c r="U109" s="153">
        <f t="shared" si="35"/>
        <v>1.784971976982215</v>
      </c>
      <c r="V109" s="22">
        <f t="shared" si="32"/>
        <v>40.218480554877509</v>
      </c>
    </row>
    <row r="110" spans="1:22" ht="14.4" x14ac:dyDescent="0.3">
      <c r="A110" s="89">
        <f>'Lista de Compra'!A109</f>
        <v>106</v>
      </c>
      <c r="B110" s="151">
        <f>'Lista de Compra'!I109</f>
        <v>40</v>
      </c>
      <c r="C110" s="152">
        <f>'Lista de Compra'!L109</f>
        <v>2.9424772879422484E-3</v>
      </c>
      <c r="E110" s="153">
        <f t="shared" si="36"/>
        <v>284.00790783218582</v>
      </c>
      <c r="F110" s="153">
        <f t="shared" si="36"/>
        <v>1.0298670507797869</v>
      </c>
      <c r="G110" s="153">
        <f t="shared" si="36"/>
        <v>3.2367250167364734</v>
      </c>
      <c r="H110" s="153">
        <f t="shared" si="36"/>
        <v>4.413715931913373</v>
      </c>
      <c r="I110" s="153">
        <f t="shared" si="36"/>
        <v>0.29424772879422484</v>
      </c>
      <c r="J110" s="153">
        <f t="shared" si="36"/>
        <v>0.52964591182960474</v>
      </c>
      <c r="K110" s="153">
        <f t="shared" si="36"/>
        <v>1.4418138710917017</v>
      </c>
      <c r="L110" s="153">
        <f t="shared" si="36"/>
        <v>3.1190259252187831</v>
      </c>
      <c r="M110" s="153">
        <f t="shared" si="36"/>
        <v>1.0769466873868629</v>
      </c>
      <c r="N110" s="153">
        <f t="shared" si="33"/>
        <v>22.720632626574865</v>
      </c>
      <c r="O110" s="153">
        <f t="shared" si="37"/>
        <v>4.413715931913373</v>
      </c>
      <c r="P110" s="153">
        <f t="shared" si="37"/>
        <v>0.88274318638267446</v>
      </c>
      <c r="Q110" s="153">
        <f t="shared" si="37"/>
        <v>0.94256374964654033</v>
      </c>
      <c r="R110" s="153">
        <f t="shared" si="37"/>
        <v>0.58849545758844968</v>
      </c>
      <c r="S110" s="153">
        <f t="shared" si="37"/>
        <v>13.241147795740117</v>
      </c>
      <c r="T110" s="144">
        <f t="shared" si="34"/>
        <v>24.43227166497087</v>
      </c>
      <c r="U110" s="153">
        <f t="shared" si="35"/>
        <v>3.8252204743249227</v>
      </c>
      <c r="V110" s="22">
        <f t="shared" si="32"/>
        <v>86.188779010892617</v>
      </c>
    </row>
    <row r="111" spans="1:22" ht="14.4" x14ac:dyDescent="0.3">
      <c r="A111" s="89">
        <f>'Lista de Compra'!A110</f>
        <v>107</v>
      </c>
      <c r="B111" s="151">
        <f>'Lista de Compra'!I110</f>
        <v>50</v>
      </c>
      <c r="C111" s="152">
        <f>'Lista de Compra'!L110</f>
        <v>5.5284737545526841E-3</v>
      </c>
      <c r="E111" s="153">
        <f t="shared" si="36"/>
        <v>533.60828678942505</v>
      </c>
      <c r="F111" s="153">
        <f t="shared" si="36"/>
        <v>1.9349658140934394</v>
      </c>
      <c r="G111" s="153">
        <f t="shared" si="36"/>
        <v>6.0813211300079528</v>
      </c>
      <c r="H111" s="153">
        <f t="shared" si="36"/>
        <v>8.292710631829026</v>
      </c>
      <c r="I111" s="153">
        <f t="shared" si="36"/>
        <v>0.55284737545526841</v>
      </c>
      <c r="J111" s="153">
        <f t="shared" si="36"/>
        <v>0.99512527581948318</v>
      </c>
      <c r="K111" s="153">
        <f t="shared" si="36"/>
        <v>2.7089521397308154</v>
      </c>
      <c r="L111" s="153">
        <f t="shared" si="36"/>
        <v>5.8601821798258449</v>
      </c>
      <c r="M111" s="153">
        <f t="shared" si="36"/>
        <v>2.0234213941662822</v>
      </c>
      <c r="N111" s="153">
        <f t="shared" si="33"/>
        <v>42.688662943154007</v>
      </c>
      <c r="O111" s="153">
        <f t="shared" si="37"/>
        <v>8.292710631829026</v>
      </c>
      <c r="P111" s="153">
        <f t="shared" si="37"/>
        <v>1.6585421263658053</v>
      </c>
      <c r="Q111" s="153">
        <f t="shared" si="37"/>
        <v>1.7709359977958612</v>
      </c>
      <c r="R111" s="153">
        <f t="shared" si="37"/>
        <v>1.1056947509105368</v>
      </c>
      <c r="S111" s="153">
        <f t="shared" si="37"/>
        <v>24.87813189548708</v>
      </c>
      <c r="T111" s="144">
        <f t="shared" si="34"/>
        <v>45.904576126177297</v>
      </c>
      <c r="U111" s="153">
        <f t="shared" si="35"/>
        <v>7.187015880918489</v>
      </c>
      <c r="V111" s="22">
        <f t="shared" si="32"/>
        <v>161.9357962935662</v>
      </c>
    </row>
    <row r="112" spans="1:22" ht="14.4" x14ac:dyDescent="0.3">
      <c r="A112" s="89">
        <f>'Lista de Compra'!A111</f>
        <v>108</v>
      </c>
      <c r="B112" s="151">
        <f>'Lista de Compra'!I111</f>
        <v>200</v>
      </c>
      <c r="C112" s="152">
        <f>'Lista de Compra'!L111</f>
        <v>2.9908136704957142E-3</v>
      </c>
      <c r="E112" s="153">
        <f t="shared" si="36"/>
        <v>288.67333547624634</v>
      </c>
      <c r="F112" s="153">
        <f t="shared" si="36"/>
        <v>1.0467847846734999</v>
      </c>
      <c r="G112" s="153">
        <f t="shared" si="36"/>
        <v>3.2898950375452856</v>
      </c>
      <c r="H112" s="153">
        <f t="shared" si="36"/>
        <v>4.4862205057435709</v>
      </c>
      <c r="I112" s="153">
        <f t="shared" si="36"/>
        <v>0.29908136704957144</v>
      </c>
      <c r="J112" s="153">
        <f t="shared" si="36"/>
        <v>0.53834646068922853</v>
      </c>
      <c r="K112" s="153">
        <f t="shared" si="36"/>
        <v>1.4654986985428999</v>
      </c>
      <c r="L112" s="153">
        <f t="shared" si="36"/>
        <v>3.1702624907254573</v>
      </c>
      <c r="M112" s="153">
        <f t="shared" si="36"/>
        <v>1.0946378034014315</v>
      </c>
      <c r="N112" s="153">
        <f t="shared" si="33"/>
        <v>23.093866838099707</v>
      </c>
      <c r="O112" s="153">
        <f t="shared" si="37"/>
        <v>4.4862205057435709</v>
      </c>
      <c r="P112" s="153">
        <f t="shared" si="37"/>
        <v>0.89724410114871422</v>
      </c>
      <c r="Q112" s="153">
        <f t="shared" si="37"/>
        <v>0.95804734306989214</v>
      </c>
      <c r="R112" s="153">
        <f t="shared" si="37"/>
        <v>0.59816273409914289</v>
      </c>
      <c r="S112" s="153">
        <f t="shared" si="37"/>
        <v>13.458661517230714</v>
      </c>
      <c r="T112" s="144">
        <f t="shared" si="34"/>
        <v>24.833623150227062</v>
      </c>
      <c r="U112" s="153">
        <f t="shared" si="35"/>
        <v>3.8880577716444287</v>
      </c>
      <c r="V112" s="22">
        <f t="shared" si="32"/>
        <v>87.604611109634178</v>
      </c>
    </row>
    <row r="113" spans="1:22" ht="14.4" x14ac:dyDescent="0.3">
      <c r="A113" s="89">
        <f>'Lista de Compra'!A112</f>
        <v>109</v>
      </c>
      <c r="B113" s="151">
        <f>'Lista de Compra'!I112</f>
        <v>50</v>
      </c>
      <c r="C113" s="152">
        <f>'Lista de Compra'!L112</f>
        <v>1.1933044442886942E-3</v>
      </c>
      <c r="E113" s="153">
        <f t="shared" si="36"/>
        <v>115.17774496274477</v>
      </c>
      <c r="F113" s="153">
        <f t="shared" si="36"/>
        <v>0.41765655550104297</v>
      </c>
      <c r="G113" s="153">
        <f t="shared" si="36"/>
        <v>1.3126348887175636</v>
      </c>
      <c r="H113" s="153">
        <f t="shared" si="36"/>
        <v>1.7899566664330413</v>
      </c>
      <c r="I113" s="153">
        <f t="shared" si="36"/>
        <v>0.11933044442886942</v>
      </c>
      <c r="J113" s="153">
        <f t="shared" si="36"/>
        <v>0.21479479997196496</v>
      </c>
      <c r="K113" s="153">
        <f t="shared" si="36"/>
        <v>0.5847191777014602</v>
      </c>
      <c r="L113" s="153">
        <f t="shared" si="36"/>
        <v>1.2649027109460158</v>
      </c>
      <c r="M113" s="153">
        <f t="shared" si="36"/>
        <v>0.43674942660966209</v>
      </c>
      <c r="N113" s="153">
        <f t="shared" si="33"/>
        <v>9.2142195970195822</v>
      </c>
      <c r="O113" s="153">
        <f t="shared" si="37"/>
        <v>1.7899566664330413</v>
      </c>
      <c r="P113" s="153">
        <f t="shared" si="37"/>
        <v>0.35799133328660826</v>
      </c>
      <c r="Q113" s="153">
        <f t="shared" si="37"/>
        <v>0.38225121263899742</v>
      </c>
      <c r="R113" s="153">
        <f t="shared" si="37"/>
        <v>0.23866088885773884</v>
      </c>
      <c r="S113" s="153">
        <f t="shared" si="37"/>
        <v>5.3698699992991239</v>
      </c>
      <c r="T113" s="144">
        <f t="shared" si="34"/>
        <v>9.9083647922623133</v>
      </c>
      <c r="U113" s="153">
        <f t="shared" si="35"/>
        <v>1.5512957775753025</v>
      </c>
      <c r="V113" s="22">
        <f t="shared" si="32"/>
        <v>34.953354937682334</v>
      </c>
    </row>
    <row r="114" spans="1:22" ht="14.4" x14ac:dyDescent="0.3">
      <c r="A114" s="89">
        <f>'Lista de Compra'!A113</f>
        <v>110</v>
      </c>
      <c r="B114" s="151">
        <f>'Lista de Compra'!I113</f>
        <v>800</v>
      </c>
      <c r="C114" s="152">
        <f>'Lista de Compra'!L113</f>
        <v>1.7884461544782453E-2</v>
      </c>
      <c r="E114" s="153">
        <f t="shared" si="36"/>
        <v>1726.2082283024024</v>
      </c>
      <c r="F114" s="153">
        <f t="shared" si="36"/>
        <v>6.2595615406738583</v>
      </c>
      <c r="G114" s="153">
        <f t="shared" si="36"/>
        <v>19.672907699260698</v>
      </c>
      <c r="H114" s="153">
        <f t="shared" si="36"/>
        <v>26.826692317173681</v>
      </c>
      <c r="I114" s="153">
        <f t="shared" si="36"/>
        <v>1.7884461544782453</v>
      </c>
      <c r="J114" s="153">
        <f t="shared" si="36"/>
        <v>3.2192030780608416</v>
      </c>
      <c r="K114" s="153">
        <f t="shared" si="36"/>
        <v>8.7633861569434011</v>
      </c>
      <c r="L114" s="153">
        <f t="shared" si="36"/>
        <v>18.957529237469398</v>
      </c>
      <c r="M114" s="153">
        <f t="shared" si="36"/>
        <v>6.5457129253903776</v>
      </c>
      <c r="N114" s="153">
        <f t="shared" si="33"/>
        <v>138.0966582641922</v>
      </c>
      <c r="O114" s="153">
        <f t="shared" si="37"/>
        <v>26.826692317173681</v>
      </c>
      <c r="P114" s="153">
        <f t="shared" si="37"/>
        <v>5.3653384634347354</v>
      </c>
      <c r="Q114" s="153">
        <f t="shared" si="37"/>
        <v>5.7289295666401632</v>
      </c>
      <c r="R114" s="153">
        <f t="shared" si="37"/>
        <v>3.5768923089564906</v>
      </c>
      <c r="S114" s="153">
        <f t="shared" si="37"/>
        <v>80.480076951521042</v>
      </c>
      <c r="T114" s="144">
        <f t="shared" si="34"/>
        <v>148.50004954479212</v>
      </c>
      <c r="U114" s="153">
        <f t="shared" si="35"/>
        <v>23.249800008217189</v>
      </c>
      <c r="V114" s="22">
        <f t="shared" si="32"/>
        <v>523.85787653437808</v>
      </c>
    </row>
    <row r="115" spans="1:22" ht="14.4" x14ac:dyDescent="0.3">
      <c r="A115" s="89">
        <f>'Lista de Compra'!A114</f>
        <v>111</v>
      </c>
      <c r="B115" s="151">
        <f>'Lista de Compra'!I114</f>
        <v>50</v>
      </c>
      <c r="C115" s="152">
        <f>'Lista de Compra'!L114</f>
        <v>2.0845064976182251E-3</v>
      </c>
      <c r="E115" s="153">
        <f t="shared" ref="E115:M124" si="38">E$4*$C115</f>
        <v>201.19656715011109</v>
      </c>
      <c r="F115" s="153">
        <f t="shared" si="38"/>
        <v>0.72957727416637874</v>
      </c>
      <c r="G115" s="153">
        <f t="shared" si="38"/>
        <v>2.2929571473800476</v>
      </c>
      <c r="H115" s="153">
        <f t="shared" si="38"/>
        <v>3.1267597464273376</v>
      </c>
      <c r="I115" s="153">
        <f t="shared" si="38"/>
        <v>0.20845064976182251</v>
      </c>
      <c r="J115" s="153">
        <f t="shared" si="38"/>
        <v>0.37521116957128053</v>
      </c>
      <c r="K115" s="153">
        <f t="shared" si="38"/>
        <v>1.0214081838329303</v>
      </c>
      <c r="L115" s="153">
        <f t="shared" si="38"/>
        <v>2.2095768874753188</v>
      </c>
      <c r="M115" s="153">
        <f t="shared" si="38"/>
        <v>0.76292937812827044</v>
      </c>
      <c r="N115" s="153">
        <f t="shared" si="33"/>
        <v>16.095725372008889</v>
      </c>
      <c r="O115" s="153">
        <f t="shared" ref="O115:S124" si="39">O$4*$C115</f>
        <v>3.1267597464273376</v>
      </c>
      <c r="P115" s="153">
        <f t="shared" si="39"/>
        <v>0.62535194928546756</v>
      </c>
      <c r="Q115" s="153">
        <f t="shared" si="39"/>
        <v>0.66772996638204607</v>
      </c>
      <c r="R115" s="153">
        <f t="shared" si="39"/>
        <v>0.41690129952364502</v>
      </c>
      <c r="S115" s="153">
        <f t="shared" si="39"/>
        <v>9.3802792392820127</v>
      </c>
      <c r="T115" s="144">
        <f t="shared" si="34"/>
        <v>17.308282801673407</v>
      </c>
      <c r="U115" s="153">
        <f t="shared" si="35"/>
        <v>2.7098584469036928</v>
      </c>
      <c r="V115" s="22">
        <f t="shared" si="32"/>
        <v>61.057759258229886</v>
      </c>
    </row>
    <row r="116" spans="1:22" ht="14.4" x14ac:dyDescent="0.3">
      <c r="A116" s="89">
        <f>'Lista de Compra'!A115</f>
        <v>112</v>
      </c>
      <c r="B116" s="151">
        <f>'Lista de Compra'!I115</f>
        <v>30</v>
      </c>
      <c r="C116" s="152">
        <f>'Lista de Compra'!L115</f>
        <v>6.2535194928546752E-4</v>
      </c>
      <c r="E116" s="153">
        <f t="shared" si="38"/>
        <v>60.358970145033325</v>
      </c>
      <c r="F116" s="153">
        <f t="shared" si="38"/>
        <v>0.21887318224991364</v>
      </c>
      <c r="G116" s="153">
        <f t="shared" si="38"/>
        <v>0.68788714421401431</v>
      </c>
      <c r="H116" s="153">
        <f t="shared" si="38"/>
        <v>0.93802792392820122</v>
      </c>
      <c r="I116" s="153">
        <f t="shared" si="38"/>
        <v>6.2535194928546756E-2</v>
      </c>
      <c r="J116" s="153">
        <f t="shared" si="38"/>
        <v>0.11256335087138415</v>
      </c>
      <c r="K116" s="153">
        <f t="shared" si="38"/>
        <v>0.30642245514987909</v>
      </c>
      <c r="L116" s="153">
        <f t="shared" si="38"/>
        <v>0.66287306624259557</v>
      </c>
      <c r="M116" s="153">
        <f t="shared" si="38"/>
        <v>0.2288788134384811</v>
      </c>
      <c r="N116" s="153">
        <f t="shared" si="33"/>
        <v>4.8287176116026664</v>
      </c>
      <c r="O116" s="153">
        <f t="shared" si="39"/>
        <v>0.93802792392820122</v>
      </c>
      <c r="P116" s="153">
        <f t="shared" si="39"/>
        <v>0.18760558478564027</v>
      </c>
      <c r="Q116" s="153">
        <f t="shared" si="39"/>
        <v>0.2003189899146138</v>
      </c>
      <c r="R116" s="153">
        <f t="shared" si="39"/>
        <v>0.12507038985709351</v>
      </c>
      <c r="S116" s="153">
        <f t="shared" si="39"/>
        <v>2.8140837717846039</v>
      </c>
      <c r="T116" s="144">
        <f t="shared" si="34"/>
        <v>5.1924848405020221</v>
      </c>
      <c r="U116" s="153">
        <f t="shared" si="35"/>
        <v>0.81295753407110782</v>
      </c>
      <c r="V116" s="22">
        <f t="shared" si="32"/>
        <v>18.317327777468964</v>
      </c>
    </row>
    <row r="117" spans="1:22" ht="14.4" x14ac:dyDescent="0.3">
      <c r="A117" s="89">
        <f>'Lista de Compra'!A116</f>
        <v>113</v>
      </c>
      <c r="B117" s="151">
        <f>'Lista de Compra'!I116</f>
        <v>1500</v>
      </c>
      <c r="C117" s="152">
        <f>'Lista de Compra'!L116</f>
        <v>4.463562826421634E-2</v>
      </c>
      <c r="E117" s="153">
        <f t="shared" si="38"/>
        <v>4308.2308400621614</v>
      </c>
      <c r="F117" s="153">
        <f t="shared" si="38"/>
        <v>15.622469892475719</v>
      </c>
      <c r="G117" s="153">
        <f t="shared" si="38"/>
        <v>49.099191090637973</v>
      </c>
      <c r="H117" s="153">
        <f t="shared" si="38"/>
        <v>66.953442396324505</v>
      </c>
      <c r="I117" s="153">
        <f t="shared" si="38"/>
        <v>4.4635628264216338</v>
      </c>
      <c r="J117" s="153">
        <f t="shared" si="38"/>
        <v>8.0344130875589403</v>
      </c>
      <c r="K117" s="153">
        <f t="shared" si="38"/>
        <v>21.871457849466008</v>
      </c>
      <c r="L117" s="153">
        <f t="shared" si="38"/>
        <v>47.313765960069318</v>
      </c>
      <c r="M117" s="153">
        <f t="shared" si="38"/>
        <v>16.33663994470318</v>
      </c>
      <c r="N117" s="153">
        <f t="shared" si="33"/>
        <v>344.65846720497291</v>
      </c>
      <c r="O117" s="153">
        <f t="shared" si="39"/>
        <v>66.953442396324505</v>
      </c>
      <c r="P117" s="153">
        <f t="shared" si="39"/>
        <v>13.390688479264902</v>
      </c>
      <c r="Q117" s="153">
        <f t="shared" si="39"/>
        <v>14.29813080187642</v>
      </c>
      <c r="R117" s="153">
        <f t="shared" si="39"/>
        <v>8.9271256528432676</v>
      </c>
      <c r="S117" s="153">
        <f t="shared" si="39"/>
        <v>200.86032718897354</v>
      </c>
      <c r="T117" s="144">
        <f t="shared" si="34"/>
        <v>370.62301216626753</v>
      </c>
      <c r="U117" s="153">
        <f t="shared" si="35"/>
        <v>58.026316743481239</v>
      </c>
      <c r="V117" s="22">
        <f t="shared" si="32"/>
        <v>1307.4324536816614</v>
      </c>
    </row>
    <row r="118" spans="1:22" ht="14.4" x14ac:dyDescent="0.3">
      <c r="A118" s="89">
        <f>'Lista de Compra'!A117</f>
        <v>114</v>
      </c>
      <c r="B118" s="151">
        <f>'Lista de Compra'!I117</f>
        <v>400</v>
      </c>
      <c r="C118" s="152">
        <f>'Lista de Compra'!L117</f>
        <v>1.9032450630427272E-2</v>
      </c>
      <c r="E118" s="153">
        <f t="shared" si="38"/>
        <v>1837.0121348488403</v>
      </c>
      <c r="F118" s="153">
        <f t="shared" si="38"/>
        <v>6.6613577206495451</v>
      </c>
      <c r="G118" s="153">
        <f t="shared" si="38"/>
        <v>20.935695693469999</v>
      </c>
      <c r="H118" s="153">
        <f t="shared" si="38"/>
        <v>28.548675945640909</v>
      </c>
      <c r="I118" s="153">
        <f t="shared" si="38"/>
        <v>1.9032450630427271</v>
      </c>
      <c r="J118" s="153">
        <f t="shared" si="38"/>
        <v>3.4258411134769089</v>
      </c>
      <c r="K118" s="153">
        <f t="shared" si="38"/>
        <v>9.3259008089093633</v>
      </c>
      <c r="L118" s="153">
        <f t="shared" si="38"/>
        <v>20.174397668252908</v>
      </c>
      <c r="M118" s="153">
        <f t="shared" si="38"/>
        <v>6.9658769307363819</v>
      </c>
      <c r="N118" s="153">
        <f t="shared" si="33"/>
        <v>146.96097078790723</v>
      </c>
      <c r="O118" s="153">
        <f t="shared" si="39"/>
        <v>28.548675945640909</v>
      </c>
      <c r="P118" s="153">
        <f t="shared" si="39"/>
        <v>5.7097351891281818</v>
      </c>
      <c r="Q118" s="153">
        <f t="shared" si="39"/>
        <v>6.0966649104447681</v>
      </c>
      <c r="R118" s="153">
        <f t="shared" si="39"/>
        <v>3.8064901260854542</v>
      </c>
      <c r="S118" s="153">
        <f t="shared" si="39"/>
        <v>85.646027836922727</v>
      </c>
      <c r="T118" s="144">
        <f t="shared" si="34"/>
        <v>158.03214731962674</v>
      </c>
      <c r="U118" s="153">
        <f t="shared" si="35"/>
        <v>24.742185819555456</v>
      </c>
      <c r="V118" s="22">
        <f t="shared" si="32"/>
        <v>557.48388887949011</v>
      </c>
    </row>
    <row r="119" spans="1:22" ht="14.4" x14ac:dyDescent="0.3">
      <c r="A119" s="89">
        <f>'Lista de Compra'!A118</f>
        <v>115</v>
      </c>
      <c r="B119" s="151">
        <f>'Lista de Compra'!I118</f>
        <v>50</v>
      </c>
      <c r="C119" s="152">
        <f>'Lista de Compra'!L118</f>
        <v>2.379056328803409E-3</v>
      </c>
      <c r="E119" s="153">
        <f t="shared" si="38"/>
        <v>229.62651685610504</v>
      </c>
      <c r="F119" s="153">
        <f t="shared" si="38"/>
        <v>0.83266971508119314</v>
      </c>
      <c r="G119" s="153">
        <f t="shared" si="38"/>
        <v>2.6169619616837498</v>
      </c>
      <c r="H119" s="153">
        <f t="shared" si="38"/>
        <v>3.5685844932051136</v>
      </c>
      <c r="I119" s="153">
        <f t="shared" si="38"/>
        <v>0.23790563288034089</v>
      </c>
      <c r="J119" s="153">
        <f t="shared" si="38"/>
        <v>0.42823013918461361</v>
      </c>
      <c r="K119" s="153">
        <f t="shared" si="38"/>
        <v>1.1657376011136704</v>
      </c>
      <c r="L119" s="153">
        <f t="shared" si="38"/>
        <v>2.5217997085316135</v>
      </c>
      <c r="M119" s="153">
        <f t="shared" si="38"/>
        <v>0.87073461634204774</v>
      </c>
      <c r="N119" s="153">
        <f t="shared" si="33"/>
        <v>18.370121348488404</v>
      </c>
      <c r="O119" s="153">
        <f t="shared" si="39"/>
        <v>3.5685844932051136</v>
      </c>
      <c r="P119" s="153">
        <f t="shared" si="39"/>
        <v>0.71371689864102272</v>
      </c>
      <c r="Q119" s="153">
        <f t="shared" si="39"/>
        <v>0.76208311380559601</v>
      </c>
      <c r="R119" s="153">
        <f t="shared" si="39"/>
        <v>0.47581126576068178</v>
      </c>
      <c r="S119" s="153">
        <f t="shared" si="39"/>
        <v>10.705753479615341</v>
      </c>
      <c r="T119" s="144">
        <f t="shared" si="34"/>
        <v>19.754018414953343</v>
      </c>
      <c r="U119" s="153">
        <f t="shared" si="35"/>
        <v>3.0927732274444319</v>
      </c>
      <c r="V119" s="22">
        <f t="shared" si="32"/>
        <v>69.685486109936264</v>
      </c>
    </row>
    <row r="120" spans="1:22" ht="14.4" x14ac:dyDescent="0.3">
      <c r="A120" s="89">
        <f>'Lista de Compra'!A119</f>
        <v>116</v>
      </c>
      <c r="B120" s="151">
        <f>'Lista de Compra'!I119</f>
        <v>30</v>
      </c>
      <c r="C120" s="152">
        <f>'Lista de Compra'!L119</f>
        <v>1.8760558478564024E-3</v>
      </c>
      <c r="E120" s="153">
        <f t="shared" si="38"/>
        <v>181.07691043509996</v>
      </c>
      <c r="F120" s="153">
        <f t="shared" si="38"/>
        <v>0.65661954674974088</v>
      </c>
      <c r="G120" s="153">
        <f t="shared" si="38"/>
        <v>2.0636614326420428</v>
      </c>
      <c r="H120" s="153">
        <f t="shared" si="38"/>
        <v>2.8140837717846034</v>
      </c>
      <c r="I120" s="153">
        <f t="shared" si="38"/>
        <v>0.18760558478564024</v>
      </c>
      <c r="J120" s="153">
        <f t="shared" si="38"/>
        <v>0.33769005261415241</v>
      </c>
      <c r="K120" s="153">
        <f t="shared" si="38"/>
        <v>0.91926736544963716</v>
      </c>
      <c r="L120" s="153">
        <f t="shared" si="38"/>
        <v>1.9886191987277866</v>
      </c>
      <c r="M120" s="153">
        <f t="shared" si="38"/>
        <v>0.68663644031544324</v>
      </c>
      <c r="N120" s="153">
        <f t="shared" si="33"/>
        <v>14.486152834807998</v>
      </c>
      <c r="O120" s="153">
        <f t="shared" si="39"/>
        <v>2.8140837717846034</v>
      </c>
      <c r="P120" s="153">
        <f t="shared" si="39"/>
        <v>0.56281675435692069</v>
      </c>
      <c r="Q120" s="153">
        <f t="shared" si="39"/>
        <v>0.60095696974384138</v>
      </c>
      <c r="R120" s="153">
        <f t="shared" si="39"/>
        <v>0.37521116957128048</v>
      </c>
      <c r="S120" s="153">
        <f t="shared" si="39"/>
        <v>8.4422513153538112</v>
      </c>
      <c r="T120" s="144">
        <f t="shared" si="34"/>
        <v>15.577454521506064</v>
      </c>
      <c r="U120" s="153">
        <f t="shared" si="35"/>
        <v>2.4388726022133231</v>
      </c>
      <c r="V120" s="22">
        <f t="shared" si="32"/>
        <v>54.951983332406883</v>
      </c>
    </row>
    <row r="121" spans="1:22" ht="14.4" x14ac:dyDescent="0.3">
      <c r="A121" s="89">
        <f>'Lista de Compra'!A120</f>
        <v>117</v>
      </c>
      <c r="B121" s="151">
        <f>'Lista de Compra'!I120</f>
        <v>150</v>
      </c>
      <c r="C121" s="152">
        <f>'Lista de Compra'!L120</f>
        <v>8.0434761592877175E-3</v>
      </c>
      <c r="E121" s="153">
        <f t="shared" si="38"/>
        <v>776.35631889445051</v>
      </c>
      <c r="F121" s="153">
        <f t="shared" si="38"/>
        <v>2.8152166557507012</v>
      </c>
      <c r="G121" s="153">
        <f t="shared" si="38"/>
        <v>8.8478237752164901</v>
      </c>
      <c r="H121" s="153">
        <f t="shared" si="38"/>
        <v>12.065214238931576</v>
      </c>
      <c r="I121" s="153">
        <f t="shared" si="38"/>
        <v>0.8043476159287718</v>
      </c>
      <c r="J121" s="153">
        <f t="shared" si="38"/>
        <v>1.4478257086717892</v>
      </c>
      <c r="K121" s="153">
        <f t="shared" si="38"/>
        <v>3.9413033180509816</v>
      </c>
      <c r="L121" s="153">
        <f t="shared" si="38"/>
        <v>8.5260847288449799</v>
      </c>
      <c r="M121" s="153">
        <f t="shared" si="38"/>
        <v>2.9439122742993047</v>
      </c>
      <c r="N121" s="153">
        <f t="shared" si="33"/>
        <v>62.108505511556039</v>
      </c>
      <c r="O121" s="153">
        <f t="shared" si="39"/>
        <v>12.065214238931576</v>
      </c>
      <c r="P121" s="153">
        <f t="shared" si="39"/>
        <v>2.4130428477863153</v>
      </c>
      <c r="Q121" s="153">
        <f t="shared" si="39"/>
        <v>2.5765667181046346</v>
      </c>
      <c r="R121" s="153">
        <f t="shared" si="39"/>
        <v>1.6086952318575436</v>
      </c>
      <c r="S121" s="153">
        <f t="shared" si="39"/>
        <v>36.19564271679473</v>
      </c>
      <c r="T121" s="144">
        <f t="shared" si="34"/>
        <v>66.787395593413706</v>
      </c>
      <c r="U121" s="153">
        <f t="shared" si="35"/>
        <v>10.456519007074032</v>
      </c>
      <c r="V121" s="22">
        <f t="shared" si="32"/>
        <v>235.60331018121317</v>
      </c>
    </row>
    <row r="122" spans="1:22" ht="14.4" x14ac:dyDescent="0.3">
      <c r="A122" s="89">
        <f>'Lista de Compra'!A121</f>
        <v>118</v>
      </c>
      <c r="B122" s="151">
        <f>'Lista de Compra'!I121</f>
        <v>200</v>
      </c>
      <c r="C122" s="152">
        <f>'Lista de Compra'!L121</f>
        <v>1.489364787428674E-2</v>
      </c>
      <c r="E122" s="153">
        <f t="shared" si="38"/>
        <v>1437.534892826156</v>
      </c>
      <c r="F122" s="153">
        <f t="shared" si="38"/>
        <v>5.2127767560003591</v>
      </c>
      <c r="G122" s="153">
        <f t="shared" si="38"/>
        <v>16.383012661715412</v>
      </c>
      <c r="H122" s="153">
        <f t="shared" si="38"/>
        <v>22.34047181143011</v>
      </c>
      <c r="I122" s="153">
        <f t="shared" si="38"/>
        <v>1.489364787428674</v>
      </c>
      <c r="J122" s="153">
        <f t="shared" si="38"/>
        <v>2.6808566173716133</v>
      </c>
      <c r="K122" s="153">
        <f t="shared" si="38"/>
        <v>7.2978874584005027</v>
      </c>
      <c r="L122" s="153">
        <f t="shared" si="38"/>
        <v>15.787266746743944</v>
      </c>
      <c r="M122" s="153">
        <f t="shared" si="38"/>
        <v>5.4510751219889464</v>
      </c>
      <c r="N122" s="153">
        <f t="shared" si="33"/>
        <v>115.00279142609249</v>
      </c>
      <c r="O122" s="153">
        <f t="shared" si="39"/>
        <v>22.34047181143011</v>
      </c>
      <c r="P122" s="153">
        <f t="shared" si="39"/>
        <v>4.4680943622860223</v>
      </c>
      <c r="Q122" s="153">
        <f t="shared" si="39"/>
        <v>4.770882223570271</v>
      </c>
      <c r="R122" s="153">
        <f t="shared" si="39"/>
        <v>2.9787295748573479</v>
      </c>
      <c r="S122" s="153">
        <f t="shared" si="39"/>
        <v>67.021415434290333</v>
      </c>
      <c r="T122" s="144">
        <f t="shared" si="34"/>
        <v>123.66642639456508</v>
      </c>
      <c r="U122" s="153">
        <f t="shared" si="35"/>
        <v>19.361742236572763</v>
      </c>
      <c r="V122" s="22">
        <f t="shared" si="32"/>
        <v>436.25326542474397</v>
      </c>
    </row>
    <row r="123" spans="1:22" ht="14.4" x14ac:dyDescent="0.3">
      <c r="A123" s="89">
        <f>'Lista de Compra'!A122</f>
        <v>119</v>
      </c>
      <c r="B123" s="151">
        <f>'Lista de Compra'!I122</f>
        <v>60</v>
      </c>
      <c r="C123" s="152">
        <f>'Lista de Compra'!L122</f>
        <v>7.6764217542723339E-3</v>
      </c>
      <c r="E123" s="153">
        <f t="shared" si="38"/>
        <v>740.9282277223657</v>
      </c>
      <c r="F123" s="153">
        <f t="shared" si="38"/>
        <v>2.6867476139953168</v>
      </c>
      <c r="G123" s="153">
        <f t="shared" si="38"/>
        <v>8.444063929699567</v>
      </c>
      <c r="H123" s="153">
        <f t="shared" si="38"/>
        <v>11.514632631408501</v>
      </c>
      <c r="I123" s="153">
        <f t="shared" si="38"/>
        <v>0.76764217542723334</v>
      </c>
      <c r="J123" s="153">
        <f t="shared" si="38"/>
        <v>1.38175591576902</v>
      </c>
      <c r="K123" s="153">
        <f t="shared" si="38"/>
        <v>3.7614466595934437</v>
      </c>
      <c r="L123" s="153">
        <f t="shared" si="38"/>
        <v>8.1370070595286741</v>
      </c>
      <c r="M123" s="153">
        <f t="shared" si="38"/>
        <v>2.8095703620636741</v>
      </c>
      <c r="N123" s="153">
        <f t="shared" si="33"/>
        <v>59.27425821778926</v>
      </c>
      <c r="O123" s="153">
        <f t="shared" si="39"/>
        <v>11.514632631408501</v>
      </c>
      <c r="P123" s="153">
        <f t="shared" si="39"/>
        <v>2.3029265262817002</v>
      </c>
      <c r="Q123" s="153">
        <f t="shared" si="39"/>
        <v>2.4589881805460565</v>
      </c>
      <c r="R123" s="153">
        <f t="shared" si="39"/>
        <v>1.5352843508544667</v>
      </c>
      <c r="S123" s="153">
        <f t="shared" si="39"/>
        <v>34.543897894225502</v>
      </c>
      <c r="T123" s="144">
        <f t="shared" si="34"/>
        <v>63.739632752249463</v>
      </c>
      <c r="U123" s="153">
        <f t="shared" si="35"/>
        <v>9.979348280554035</v>
      </c>
      <c r="V123" s="22">
        <f t="shared" si="32"/>
        <v>224.85183518139442</v>
      </c>
    </row>
    <row r="124" spans="1:22" ht="14.4" x14ac:dyDescent="0.3">
      <c r="A124" s="89">
        <f>'Lista de Compra'!A123</f>
        <v>120</v>
      </c>
      <c r="B124" s="151">
        <f>'Lista de Compra'!I123</f>
        <v>1300</v>
      </c>
      <c r="C124" s="152">
        <f>'Lista de Compra'!L123</f>
        <v>7.8546621649382403E-3</v>
      </c>
      <c r="E124" s="153">
        <f t="shared" si="38"/>
        <v>758.131992159839</v>
      </c>
      <c r="F124" s="153">
        <f t="shared" si="38"/>
        <v>2.7491317577283843</v>
      </c>
      <c r="G124" s="153">
        <f t="shared" si="38"/>
        <v>8.6401283814320635</v>
      </c>
      <c r="H124" s="153">
        <f t="shared" si="38"/>
        <v>11.78199324740736</v>
      </c>
      <c r="I124" s="153">
        <f t="shared" si="38"/>
        <v>0.78546621649382398</v>
      </c>
      <c r="J124" s="153">
        <f t="shared" si="38"/>
        <v>1.4138391896888833</v>
      </c>
      <c r="K124" s="153">
        <f t="shared" si="38"/>
        <v>3.8487844608197377</v>
      </c>
      <c r="L124" s="153">
        <f t="shared" si="38"/>
        <v>8.3259418948345338</v>
      </c>
      <c r="M124" s="153">
        <f t="shared" si="38"/>
        <v>2.8748063523673961</v>
      </c>
      <c r="N124" s="153">
        <f t="shared" si="33"/>
        <v>60.650559372787122</v>
      </c>
      <c r="O124" s="153">
        <f t="shared" si="39"/>
        <v>11.78199324740736</v>
      </c>
      <c r="P124" s="153">
        <f t="shared" si="39"/>
        <v>2.3563986494814722</v>
      </c>
      <c r="Q124" s="153">
        <f t="shared" si="39"/>
        <v>2.5160839312946663</v>
      </c>
      <c r="R124" s="153">
        <f t="shared" si="39"/>
        <v>1.570932432987648</v>
      </c>
      <c r="S124" s="153">
        <f t="shared" si="39"/>
        <v>35.345979742222084</v>
      </c>
      <c r="T124" s="144">
        <f t="shared" si="34"/>
        <v>65.219616354131688</v>
      </c>
      <c r="U124" s="153">
        <f t="shared" si="35"/>
        <v>10.211060814419712</v>
      </c>
      <c r="V124" s="22">
        <f t="shared" si="32"/>
        <v>230.07271604550394</v>
      </c>
    </row>
    <row r="125" spans="1:22" ht="14.4" x14ac:dyDescent="0.3">
      <c r="A125" s="89">
        <f>'Lista de Compra'!A124</f>
        <v>121</v>
      </c>
      <c r="B125" s="151">
        <f>'Lista de Compra'!I124</f>
        <v>1700</v>
      </c>
      <c r="C125" s="152">
        <f>'Lista de Compra'!L124</f>
        <v>1.6177583035863183E-2</v>
      </c>
      <c r="E125" s="153">
        <f t="shared" ref="E125:M134" si="40">E$4*$C125</f>
        <v>1561.4603146215145</v>
      </c>
      <c r="F125" s="153">
        <f t="shared" si="40"/>
        <v>5.6621540625521138</v>
      </c>
      <c r="G125" s="153">
        <f t="shared" si="40"/>
        <v>17.7953413394495</v>
      </c>
      <c r="H125" s="153">
        <f t="shared" si="40"/>
        <v>24.266374553794773</v>
      </c>
      <c r="I125" s="153">
        <f t="shared" si="40"/>
        <v>1.6177583035863183</v>
      </c>
      <c r="J125" s="153">
        <f t="shared" si="40"/>
        <v>2.911964946455373</v>
      </c>
      <c r="K125" s="153">
        <f t="shared" si="40"/>
        <v>7.9270156875729594</v>
      </c>
      <c r="L125" s="153">
        <f t="shared" si="40"/>
        <v>17.148238018014975</v>
      </c>
      <c r="M125" s="153">
        <f t="shared" si="40"/>
        <v>5.920995391125925</v>
      </c>
      <c r="N125" s="153">
        <f t="shared" si="33"/>
        <v>124.91682516972116</v>
      </c>
      <c r="O125" s="153">
        <f t="shared" ref="O125:S134" si="41">O$4*$C125</f>
        <v>24.266374553794773</v>
      </c>
      <c r="P125" s="153">
        <f t="shared" si="41"/>
        <v>4.8532749107589552</v>
      </c>
      <c r="Q125" s="153">
        <f t="shared" si="41"/>
        <v>5.1821651738780528</v>
      </c>
      <c r="R125" s="153">
        <f t="shared" si="41"/>
        <v>3.2355166071726367</v>
      </c>
      <c r="S125" s="153">
        <f t="shared" si="41"/>
        <v>72.799123661384328</v>
      </c>
      <c r="T125" s="144">
        <f t="shared" si="34"/>
        <v>134.32732522168274</v>
      </c>
      <c r="U125" s="153">
        <f t="shared" si="35"/>
        <v>21.030857946622138</v>
      </c>
      <c r="V125" s="22">
        <f t="shared" si="32"/>
        <v>473.8613055475667</v>
      </c>
    </row>
    <row r="126" spans="1:22" ht="14.4" x14ac:dyDescent="0.3">
      <c r="A126" s="89">
        <f>'Lista de Compra'!A125</f>
        <v>122</v>
      </c>
      <c r="B126" s="151">
        <f>'Lista de Compra'!I125</f>
        <v>220</v>
      </c>
      <c r="C126" s="152">
        <f>'Lista de Compra'!L125</f>
        <v>1.0069072690668904E-2</v>
      </c>
      <c r="E126" s="153">
        <f t="shared" si="40"/>
        <v>971.86689610336259</v>
      </c>
      <c r="F126" s="153">
        <f t="shared" si="40"/>
        <v>3.5241754417341165</v>
      </c>
      <c r="G126" s="153">
        <f t="shared" si="40"/>
        <v>11.075979959735795</v>
      </c>
      <c r="H126" s="153">
        <f t="shared" si="40"/>
        <v>15.103609036003355</v>
      </c>
      <c r="I126" s="153">
        <f t="shared" si="40"/>
        <v>1.0069072690668903</v>
      </c>
      <c r="J126" s="153">
        <f t="shared" si="40"/>
        <v>1.8124330843204028</v>
      </c>
      <c r="K126" s="153">
        <f t="shared" si="40"/>
        <v>4.933845618427763</v>
      </c>
      <c r="L126" s="153">
        <f t="shared" si="40"/>
        <v>10.673217052109038</v>
      </c>
      <c r="M126" s="153">
        <f t="shared" si="40"/>
        <v>3.6852806047848188</v>
      </c>
      <c r="N126" s="153">
        <f t="shared" si="33"/>
        <v>77.749351688269016</v>
      </c>
      <c r="O126" s="153">
        <f t="shared" si="41"/>
        <v>15.103609036003355</v>
      </c>
      <c r="P126" s="153">
        <f t="shared" si="41"/>
        <v>3.0207218072006712</v>
      </c>
      <c r="Q126" s="153">
        <f t="shared" si="41"/>
        <v>3.2254260550019698</v>
      </c>
      <c r="R126" s="153">
        <f t="shared" si="41"/>
        <v>2.0138145381337806</v>
      </c>
      <c r="S126" s="153">
        <f t="shared" si="41"/>
        <v>45.310827108010066</v>
      </c>
      <c r="T126" s="144">
        <f t="shared" si="34"/>
        <v>83.606531272431099</v>
      </c>
      <c r="U126" s="153">
        <f t="shared" si="35"/>
        <v>13.089794497869576</v>
      </c>
      <c r="V126" s="22">
        <f t="shared" si="32"/>
        <v>294.93552406910169</v>
      </c>
    </row>
    <row r="127" spans="1:22" ht="14.4" x14ac:dyDescent="0.3">
      <c r="A127" s="89">
        <f>'Lista de Compra'!A126</f>
        <v>123</v>
      </c>
      <c r="B127" s="151">
        <f>'Lista de Compra'!I126</f>
        <v>210</v>
      </c>
      <c r="C127" s="152">
        <f>'Lista de Compra'!L126</f>
        <v>1.5448005761696804E-2</v>
      </c>
      <c r="E127" s="153">
        <f t="shared" si="40"/>
        <v>1491.0415161189756</v>
      </c>
      <c r="F127" s="153">
        <f t="shared" si="40"/>
        <v>5.4068020165938808</v>
      </c>
      <c r="G127" s="153">
        <f t="shared" si="40"/>
        <v>16.992806337866483</v>
      </c>
      <c r="H127" s="153">
        <f t="shared" si="40"/>
        <v>23.172008642545205</v>
      </c>
      <c r="I127" s="153">
        <f t="shared" si="40"/>
        <v>1.5448005761696804</v>
      </c>
      <c r="J127" s="153">
        <f t="shared" si="40"/>
        <v>2.7806410371054247</v>
      </c>
      <c r="K127" s="153">
        <f t="shared" si="40"/>
        <v>7.5695228232314342</v>
      </c>
      <c r="L127" s="153">
        <f t="shared" si="40"/>
        <v>16.374886107398613</v>
      </c>
      <c r="M127" s="153">
        <f t="shared" si="40"/>
        <v>5.6539701087810297</v>
      </c>
      <c r="N127" s="153">
        <f t="shared" si="33"/>
        <v>119.28332128951804</v>
      </c>
      <c r="O127" s="153">
        <f t="shared" si="41"/>
        <v>23.172008642545205</v>
      </c>
      <c r="P127" s="153">
        <f t="shared" si="41"/>
        <v>4.6344017285090411</v>
      </c>
      <c r="Q127" s="153">
        <f t="shared" si="41"/>
        <v>4.9484596856443366</v>
      </c>
      <c r="R127" s="153">
        <f t="shared" si="41"/>
        <v>3.0896011523393607</v>
      </c>
      <c r="S127" s="153">
        <f t="shared" si="41"/>
        <v>69.51602592763561</v>
      </c>
      <c r="T127" s="144">
        <f t="shared" si="34"/>
        <v>128.26942624109705</v>
      </c>
      <c r="U127" s="153">
        <f t="shared" si="35"/>
        <v>20.082407490205846</v>
      </c>
      <c r="V127" s="22">
        <f t="shared" si="32"/>
        <v>452.4910898071862</v>
      </c>
    </row>
    <row r="128" spans="1:22" ht="14.4" x14ac:dyDescent="0.3">
      <c r="A128" s="89">
        <f>'Lista de Compra'!A127</f>
        <v>124</v>
      </c>
      <c r="B128" s="151">
        <f>'Lista de Compra'!I127</f>
        <v>200</v>
      </c>
      <c r="C128" s="152">
        <f>'Lista de Compra'!L127</f>
        <v>2.2113895018210736E-2</v>
      </c>
      <c r="E128" s="153">
        <f t="shared" si="40"/>
        <v>2134.4331471577002</v>
      </c>
      <c r="F128" s="153">
        <f t="shared" si="40"/>
        <v>7.7398632563737575</v>
      </c>
      <c r="G128" s="153">
        <f t="shared" si="40"/>
        <v>24.325284520031811</v>
      </c>
      <c r="H128" s="153">
        <f t="shared" si="40"/>
        <v>33.170842527316104</v>
      </c>
      <c r="I128" s="153">
        <f t="shared" si="40"/>
        <v>2.2113895018210736</v>
      </c>
      <c r="J128" s="153">
        <f t="shared" si="40"/>
        <v>3.9805011032779327</v>
      </c>
      <c r="K128" s="153">
        <f t="shared" si="40"/>
        <v>10.835808558923262</v>
      </c>
      <c r="L128" s="153">
        <f t="shared" si="40"/>
        <v>23.44072871930338</v>
      </c>
      <c r="M128" s="153">
        <f t="shared" si="40"/>
        <v>8.0936855766651288</v>
      </c>
      <c r="N128" s="153">
        <f t="shared" si="33"/>
        <v>170.75465177261603</v>
      </c>
      <c r="O128" s="153">
        <f t="shared" si="41"/>
        <v>33.170842527316104</v>
      </c>
      <c r="P128" s="153">
        <f t="shared" si="41"/>
        <v>6.6341685054632213</v>
      </c>
      <c r="Q128" s="153">
        <f t="shared" si="41"/>
        <v>7.0837439911834448</v>
      </c>
      <c r="R128" s="153">
        <f t="shared" si="41"/>
        <v>4.4227790036421473</v>
      </c>
      <c r="S128" s="153">
        <f t="shared" si="41"/>
        <v>99.512527581948319</v>
      </c>
      <c r="T128" s="144">
        <f t="shared" si="34"/>
        <v>183.61830450470919</v>
      </c>
      <c r="U128" s="153">
        <f t="shared" si="35"/>
        <v>28.748063523673956</v>
      </c>
      <c r="V128" s="22">
        <f t="shared" si="32"/>
        <v>647.7431851742648</v>
      </c>
    </row>
    <row r="129" spans="1:22" ht="14.4" x14ac:dyDescent="0.3">
      <c r="A129" s="89">
        <f>'Lista de Compra'!A128</f>
        <v>125</v>
      </c>
      <c r="B129" s="151">
        <f>'Lista de Compra'!I128</f>
        <v>10</v>
      </c>
      <c r="C129" s="152">
        <f>'Lista de Compra'!L128</f>
        <v>8.9271256528432688E-4</v>
      </c>
      <c r="E129" s="153">
        <f t="shared" si="40"/>
        <v>86.164616801243227</v>
      </c>
      <c r="F129" s="153">
        <f t="shared" si="40"/>
        <v>0.31244939784951442</v>
      </c>
      <c r="G129" s="153">
        <f t="shared" si="40"/>
        <v>0.98198382181275956</v>
      </c>
      <c r="H129" s="153">
        <f t="shared" si="40"/>
        <v>1.3390688479264903</v>
      </c>
      <c r="I129" s="153">
        <f t="shared" si="40"/>
        <v>8.9271256528432694E-2</v>
      </c>
      <c r="J129" s="153">
        <f t="shared" si="40"/>
        <v>0.16068826175117884</v>
      </c>
      <c r="K129" s="153">
        <f t="shared" si="40"/>
        <v>0.43742915698932017</v>
      </c>
      <c r="L129" s="153">
        <f t="shared" si="40"/>
        <v>0.94627531920138652</v>
      </c>
      <c r="M129" s="153">
        <f t="shared" si="40"/>
        <v>0.32673279889406365</v>
      </c>
      <c r="N129" s="153">
        <f t="shared" si="33"/>
        <v>6.8931693440994586</v>
      </c>
      <c r="O129" s="153">
        <f t="shared" si="41"/>
        <v>1.3390688479264903</v>
      </c>
      <c r="P129" s="153">
        <f t="shared" si="41"/>
        <v>0.26781376958529807</v>
      </c>
      <c r="Q129" s="153">
        <f t="shared" si="41"/>
        <v>0.28596261603752843</v>
      </c>
      <c r="R129" s="153">
        <f t="shared" si="41"/>
        <v>0.17854251305686539</v>
      </c>
      <c r="S129" s="153">
        <f t="shared" si="41"/>
        <v>4.0172065437794711</v>
      </c>
      <c r="T129" s="144">
        <f t="shared" si="34"/>
        <v>7.4124602433253504</v>
      </c>
      <c r="U129" s="153">
        <f t="shared" si="35"/>
        <v>1.1605263348696249</v>
      </c>
      <c r="V129" s="22">
        <f t="shared" si="32"/>
        <v>26.148649073633234</v>
      </c>
    </row>
    <row r="130" spans="1:22" ht="14.4" x14ac:dyDescent="0.3">
      <c r="A130" s="89">
        <f>'Lista de Compra'!A129</f>
        <v>126</v>
      </c>
      <c r="B130" s="151">
        <f>'Lista de Compra'!I129</f>
        <v>20</v>
      </c>
      <c r="C130" s="152">
        <f>'Lista de Compra'!L129</f>
        <v>2.0845064976182251E-3</v>
      </c>
      <c r="E130" s="153">
        <f t="shared" si="40"/>
        <v>201.19656715011109</v>
      </c>
      <c r="F130" s="153">
        <f t="shared" si="40"/>
        <v>0.72957727416637874</v>
      </c>
      <c r="G130" s="153">
        <f t="shared" si="40"/>
        <v>2.2929571473800476</v>
      </c>
      <c r="H130" s="153">
        <f t="shared" si="40"/>
        <v>3.1267597464273376</v>
      </c>
      <c r="I130" s="153">
        <f t="shared" si="40"/>
        <v>0.20845064976182251</v>
      </c>
      <c r="J130" s="153">
        <f t="shared" si="40"/>
        <v>0.37521116957128053</v>
      </c>
      <c r="K130" s="153">
        <f t="shared" si="40"/>
        <v>1.0214081838329303</v>
      </c>
      <c r="L130" s="153">
        <f t="shared" si="40"/>
        <v>2.2095768874753188</v>
      </c>
      <c r="M130" s="153">
        <f t="shared" si="40"/>
        <v>0.76292937812827044</v>
      </c>
      <c r="N130" s="153">
        <f t="shared" si="33"/>
        <v>16.095725372008889</v>
      </c>
      <c r="O130" s="153">
        <f t="shared" si="41"/>
        <v>3.1267597464273376</v>
      </c>
      <c r="P130" s="153">
        <f t="shared" si="41"/>
        <v>0.62535194928546756</v>
      </c>
      <c r="Q130" s="153">
        <f t="shared" si="41"/>
        <v>0.66772996638204607</v>
      </c>
      <c r="R130" s="153">
        <f t="shared" si="41"/>
        <v>0.41690129952364502</v>
      </c>
      <c r="S130" s="153">
        <f t="shared" si="41"/>
        <v>9.3802792392820127</v>
      </c>
      <c r="T130" s="144">
        <f t="shared" si="34"/>
        <v>17.308282801673407</v>
      </c>
      <c r="U130" s="153">
        <f t="shared" si="35"/>
        <v>2.7098584469036928</v>
      </c>
      <c r="V130" s="22">
        <f t="shared" si="32"/>
        <v>61.057759258229886</v>
      </c>
    </row>
    <row r="131" spans="1:22" ht="14.4" x14ac:dyDescent="0.3">
      <c r="A131" s="89">
        <f>'Lista de Compra'!A130</f>
        <v>127</v>
      </c>
      <c r="B131" s="151">
        <f>'Lista de Compra'!I130</f>
        <v>8</v>
      </c>
      <c r="C131" s="152">
        <f>'Lista de Compra'!L130</f>
        <v>1.2615795846454649E-3</v>
      </c>
      <c r="E131" s="153">
        <f t="shared" si="40"/>
        <v>121.76766150998027</v>
      </c>
      <c r="F131" s="153">
        <f t="shared" si="40"/>
        <v>0.44155285462591271</v>
      </c>
      <c r="G131" s="153">
        <f t="shared" si="40"/>
        <v>1.3877375431100114</v>
      </c>
      <c r="H131" s="153">
        <f t="shared" si="40"/>
        <v>1.8923693769681975</v>
      </c>
      <c r="I131" s="153">
        <f t="shared" si="40"/>
        <v>0.1261579584645465</v>
      </c>
      <c r="J131" s="153">
        <f t="shared" si="40"/>
        <v>0.22708432523618369</v>
      </c>
      <c r="K131" s="153">
        <f t="shared" si="40"/>
        <v>0.6181739964762778</v>
      </c>
      <c r="L131" s="153">
        <f t="shared" si="40"/>
        <v>1.3372743597241927</v>
      </c>
      <c r="M131" s="153">
        <f t="shared" si="40"/>
        <v>0.46173812798024017</v>
      </c>
      <c r="N131" s="153">
        <f t="shared" si="33"/>
        <v>9.7414129207984228</v>
      </c>
      <c r="O131" s="153">
        <f t="shared" si="41"/>
        <v>1.8923693769681975</v>
      </c>
      <c r="P131" s="153">
        <f t="shared" si="41"/>
        <v>0.37847387539363947</v>
      </c>
      <c r="Q131" s="153">
        <f t="shared" si="41"/>
        <v>0.40412178834948176</v>
      </c>
      <c r="R131" s="153">
        <f t="shared" si="41"/>
        <v>0.252315916929093</v>
      </c>
      <c r="S131" s="153">
        <f t="shared" si="41"/>
        <v>5.6771081309045925</v>
      </c>
      <c r="T131" s="144">
        <f t="shared" si="34"/>
        <v>10.475273765186689</v>
      </c>
      <c r="U131" s="153">
        <f t="shared" si="35"/>
        <v>1.6400534600391043</v>
      </c>
      <c r="V131" s="22">
        <f t="shared" si="32"/>
        <v>36.953217777154784</v>
      </c>
    </row>
    <row r="132" spans="1:22" ht="14.4" x14ac:dyDescent="0.3">
      <c r="A132" s="89">
        <f>'Lista de Compra'!A131</f>
        <v>128</v>
      </c>
      <c r="B132" s="151">
        <f>'Lista de Compra'!I131</f>
        <v>5</v>
      </c>
      <c r="C132" s="152">
        <f>'Lista de Compra'!L131</f>
        <v>1.9342105581160417E-3</v>
      </c>
      <c r="E132" s="153">
        <f t="shared" si="40"/>
        <v>186.69000306936033</v>
      </c>
      <c r="F132" s="153">
        <f t="shared" si="40"/>
        <v>0.67697369534061458</v>
      </c>
      <c r="G132" s="153">
        <f t="shared" si="40"/>
        <v>2.1276316139276457</v>
      </c>
      <c r="H132" s="153">
        <f t="shared" si="40"/>
        <v>2.9013158371740624</v>
      </c>
      <c r="I132" s="153">
        <f t="shared" si="40"/>
        <v>0.19342105581160418</v>
      </c>
      <c r="J132" s="153">
        <f t="shared" si="40"/>
        <v>0.34815790046088751</v>
      </c>
      <c r="K132" s="153">
        <f t="shared" si="40"/>
        <v>0.94776317347686045</v>
      </c>
      <c r="L132" s="153">
        <f t="shared" si="40"/>
        <v>2.0502631916030043</v>
      </c>
      <c r="M132" s="153">
        <f t="shared" si="40"/>
        <v>0.7079210642704713</v>
      </c>
      <c r="N132" s="153">
        <f t="shared" si="33"/>
        <v>14.935200245548828</v>
      </c>
      <c r="O132" s="153">
        <f t="shared" si="41"/>
        <v>2.9013158371740624</v>
      </c>
      <c r="P132" s="153">
        <f t="shared" si="41"/>
        <v>0.58026316743481254</v>
      </c>
      <c r="Q132" s="153">
        <f t="shared" si="41"/>
        <v>0.61958566808131155</v>
      </c>
      <c r="R132" s="153">
        <f t="shared" si="41"/>
        <v>0.38684211162320836</v>
      </c>
      <c r="S132" s="153">
        <f t="shared" si="41"/>
        <v>8.7039475115221876</v>
      </c>
      <c r="T132" s="144">
        <f t="shared" si="34"/>
        <v>16.060330527204929</v>
      </c>
      <c r="U132" s="153">
        <f t="shared" si="35"/>
        <v>2.5144737255508542</v>
      </c>
      <c r="V132" s="22">
        <f t="shared" ref="V132:V163" si="42">SUM(F132:U132)</f>
        <v>56.655406326205338</v>
      </c>
    </row>
    <row r="133" spans="1:22" ht="14.4" x14ac:dyDescent="0.3">
      <c r="A133" s="89">
        <f>'Lista de Compra'!A132</f>
        <v>129</v>
      </c>
      <c r="B133" s="151">
        <f>'Lista de Compra'!I132</f>
        <v>10</v>
      </c>
      <c r="C133" s="152">
        <f>'Lista de Compra'!L132</f>
        <v>2.380566840758205E-3</v>
      </c>
      <c r="E133" s="153">
        <f t="shared" si="40"/>
        <v>229.77231146998196</v>
      </c>
      <c r="F133" s="153">
        <f t="shared" si="40"/>
        <v>0.83319839426537179</v>
      </c>
      <c r="G133" s="153">
        <f t="shared" si="40"/>
        <v>2.6186235248340255</v>
      </c>
      <c r="H133" s="153">
        <f t="shared" si="40"/>
        <v>3.5708502611373074</v>
      </c>
      <c r="I133" s="153">
        <f t="shared" si="40"/>
        <v>0.23805668407582051</v>
      </c>
      <c r="J133" s="153">
        <f t="shared" si="40"/>
        <v>0.42850203133647691</v>
      </c>
      <c r="K133" s="153">
        <f t="shared" si="40"/>
        <v>1.1664777519715204</v>
      </c>
      <c r="L133" s="153">
        <f t="shared" si="40"/>
        <v>2.5234008512036974</v>
      </c>
      <c r="M133" s="153">
        <f t="shared" si="40"/>
        <v>0.87128746371750299</v>
      </c>
      <c r="N133" s="153">
        <f t="shared" ref="N133:N166" si="43">$N$4*E133</f>
        <v>18.381784917598559</v>
      </c>
      <c r="O133" s="153">
        <f t="shared" si="41"/>
        <v>3.5708502611373074</v>
      </c>
      <c r="P133" s="153">
        <f t="shared" si="41"/>
        <v>0.71417005222746155</v>
      </c>
      <c r="Q133" s="153">
        <f t="shared" si="41"/>
        <v>0.76256697610007573</v>
      </c>
      <c r="R133" s="153">
        <f t="shared" si="41"/>
        <v>0.47611336815164101</v>
      </c>
      <c r="S133" s="153">
        <f t="shared" si="41"/>
        <v>10.712550783411922</v>
      </c>
      <c r="T133" s="144">
        <f t="shared" ref="T133:T166" si="44">T$4*C133</f>
        <v>19.766560648867603</v>
      </c>
      <c r="U133" s="153">
        <f t="shared" ref="U133:U166" si="45">U$4*$C133</f>
        <v>3.0947368929856665</v>
      </c>
      <c r="V133" s="22">
        <f t="shared" si="42"/>
        <v>69.729730863021956</v>
      </c>
    </row>
    <row r="134" spans="1:22" ht="14.4" x14ac:dyDescent="0.3">
      <c r="A134" s="89">
        <f>'Lista de Compra'!A133</f>
        <v>130</v>
      </c>
      <c r="B134" s="151">
        <f>'Lista de Compra'!I133</f>
        <v>5</v>
      </c>
      <c r="C134" s="152">
        <f>'Lista de Compra'!L133</f>
        <v>8.3304734306989211E-4</v>
      </c>
      <c r="E134" s="153">
        <f t="shared" si="40"/>
        <v>80.405729553105985</v>
      </c>
      <c r="F134" s="153">
        <f t="shared" si="40"/>
        <v>0.29156657007446224</v>
      </c>
      <c r="G134" s="153">
        <f t="shared" si="40"/>
        <v>0.91635207737688129</v>
      </c>
      <c r="H134" s="153">
        <f t="shared" si="40"/>
        <v>1.2495710146048382</v>
      </c>
      <c r="I134" s="153">
        <f t="shared" si="40"/>
        <v>8.3304734306989217E-2</v>
      </c>
      <c r="J134" s="153">
        <f t="shared" si="40"/>
        <v>0.14994852175258058</v>
      </c>
      <c r="K134" s="153">
        <f t="shared" si="40"/>
        <v>0.40819319810424715</v>
      </c>
      <c r="L134" s="153">
        <f t="shared" si="40"/>
        <v>0.88303018365408559</v>
      </c>
      <c r="M134" s="153">
        <f t="shared" si="40"/>
        <v>0.30489532756358051</v>
      </c>
      <c r="N134" s="153">
        <f t="shared" si="43"/>
        <v>6.4324583642484789</v>
      </c>
      <c r="O134" s="153">
        <f t="shared" si="41"/>
        <v>1.2495710146048382</v>
      </c>
      <c r="P134" s="153">
        <f t="shared" si="41"/>
        <v>0.24991420292096764</v>
      </c>
      <c r="Q134" s="153">
        <f t="shared" si="41"/>
        <v>0.26685005540557855</v>
      </c>
      <c r="R134" s="153">
        <f t="shared" si="41"/>
        <v>0.16660946861397843</v>
      </c>
      <c r="S134" s="153">
        <f t="shared" si="41"/>
        <v>3.7487130438145146</v>
      </c>
      <c r="T134" s="144">
        <f t="shared" si="44"/>
        <v>6.9170420037122344</v>
      </c>
      <c r="U134" s="153">
        <f t="shared" si="45"/>
        <v>1.0829615459908597</v>
      </c>
      <c r="V134" s="22">
        <f t="shared" si="42"/>
        <v>24.400981326749115</v>
      </c>
    </row>
    <row r="135" spans="1:22" ht="14.4" x14ac:dyDescent="0.3">
      <c r="A135" s="89">
        <f>'Lista de Compra'!A134</f>
        <v>131</v>
      </c>
      <c r="B135" s="151">
        <f>'Lista de Compra'!I134</f>
        <v>150</v>
      </c>
      <c r="C135" s="152">
        <f>'Lista de Compra'!L134</f>
        <v>2.1434164638552623E-2</v>
      </c>
      <c r="E135" s="153">
        <f t="shared" ref="E135:M144" si="46">E$4*$C135</f>
        <v>2068.825570913099</v>
      </c>
      <c r="F135" s="153">
        <f t="shared" si="46"/>
        <v>7.5019576234934178</v>
      </c>
      <c r="G135" s="153">
        <f t="shared" si="46"/>
        <v>23.577581102407883</v>
      </c>
      <c r="H135" s="153">
        <f t="shared" si="46"/>
        <v>32.151246957828931</v>
      </c>
      <c r="I135" s="153">
        <f t="shared" si="46"/>
        <v>2.1434164638552624</v>
      </c>
      <c r="J135" s="153">
        <f t="shared" si="46"/>
        <v>3.8581496349394722</v>
      </c>
      <c r="K135" s="153">
        <f t="shared" si="46"/>
        <v>10.502740672890786</v>
      </c>
      <c r="L135" s="153">
        <f t="shared" si="46"/>
        <v>22.720214516865781</v>
      </c>
      <c r="M135" s="153">
        <f t="shared" si="46"/>
        <v>7.8449042577102599</v>
      </c>
      <c r="N135" s="153">
        <f t="shared" si="43"/>
        <v>165.50604567304794</v>
      </c>
      <c r="O135" s="153">
        <f t="shared" ref="O135:S144" si="47">O$4*$C135</f>
        <v>32.151246957828931</v>
      </c>
      <c r="P135" s="153">
        <f t="shared" si="47"/>
        <v>6.4302493915657868</v>
      </c>
      <c r="Q135" s="153">
        <f t="shared" si="47"/>
        <v>6.8660059586675617</v>
      </c>
      <c r="R135" s="153">
        <f t="shared" si="47"/>
        <v>4.2868329277105248</v>
      </c>
      <c r="S135" s="153">
        <f t="shared" si="47"/>
        <v>96.453740873486808</v>
      </c>
      <c r="T135" s="144">
        <f t="shared" si="44"/>
        <v>177.97429924329398</v>
      </c>
      <c r="U135" s="153">
        <f t="shared" si="45"/>
        <v>27.864414030118411</v>
      </c>
      <c r="V135" s="22">
        <f t="shared" si="42"/>
        <v>627.8330462857117</v>
      </c>
    </row>
    <row r="136" spans="1:22" ht="14.4" x14ac:dyDescent="0.3">
      <c r="A136" s="89">
        <f>'Lista de Compra'!A135</f>
        <v>132</v>
      </c>
      <c r="B136" s="151">
        <f>'Lista de Compra'!I135</f>
        <v>250</v>
      </c>
      <c r="C136" s="152">
        <f>'Lista de Compra'!L135</f>
        <v>4.3464981499249586E-2</v>
      </c>
      <c r="E136" s="153">
        <f t="shared" si="46"/>
        <v>4195.2400143075702</v>
      </c>
      <c r="F136" s="153">
        <f t="shared" si="46"/>
        <v>15.212743524737355</v>
      </c>
      <c r="G136" s="153">
        <f t="shared" si="46"/>
        <v>47.811479649174544</v>
      </c>
      <c r="H136" s="153">
        <f t="shared" si="46"/>
        <v>65.197472248874377</v>
      </c>
      <c r="I136" s="153">
        <f t="shared" si="46"/>
        <v>4.3464981499249582</v>
      </c>
      <c r="J136" s="153">
        <f t="shared" si="46"/>
        <v>7.8236966698649253</v>
      </c>
      <c r="K136" s="153">
        <f t="shared" si="46"/>
        <v>21.297840934632298</v>
      </c>
      <c r="L136" s="153">
        <f t="shared" si="46"/>
        <v>46.072880389204563</v>
      </c>
      <c r="M136" s="153">
        <f t="shared" si="46"/>
        <v>15.908183228725349</v>
      </c>
      <c r="N136" s="153">
        <f t="shared" si="43"/>
        <v>335.6192011446056</v>
      </c>
      <c r="O136" s="153">
        <f t="shared" si="47"/>
        <v>65.197472248874377</v>
      </c>
      <c r="P136" s="153">
        <f t="shared" si="47"/>
        <v>13.039494449774876</v>
      </c>
      <c r="Q136" s="153">
        <f t="shared" si="47"/>
        <v>13.923137523654619</v>
      </c>
      <c r="R136" s="153">
        <f t="shared" si="47"/>
        <v>8.6929962998499164</v>
      </c>
      <c r="S136" s="153">
        <f t="shared" si="47"/>
        <v>195.59241674662314</v>
      </c>
      <c r="T136" s="144">
        <f t="shared" si="44"/>
        <v>360.90278088271907</v>
      </c>
      <c r="U136" s="153">
        <f t="shared" si="45"/>
        <v>56.50447594902446</v>
      </c>
      <c r="V136" s="22">
        <f t="shared" si="42"/>
        <v>1273.1427700402644</v>
      </c>
    </row>
    <row r="137" spans="1:22" ht="14.4" x14ac:dyDescent="0.3">
      <c r="A137" s="89">
        <f>'Lista de Compra'!A136</f>
        <v>133</v>
      </c>
      <c r="B137" s="151">
        <f>'Lista de Compra'!I136</f>
        <v>50</v>
      </c>
      <c r="C137" s="152">
        <f>'Lista de Compra'!L136</f>
        <v>1.3987340701409249E-2</v>
      </c>
      <c r="E137" s="153">
        <f t="shared" si="46"/>
        <v>1350.0581245000208</v>
      </c>
      <c r="F137" s="153">
        <f t="shared" si="46"/>
        <v>4.8955692454932374</v>
      </c>
      <c r="G137" s="153">
        <f t="shared" si="46"/>
        <v>15.386074771550174</v>
      </c>
      <c r="H137" s="153">
        <f t="shared" si="46"/>
        <v>20.981011052113875</v>
      </c>
      <c r="I137" s="153">
        <f t="shared" si="46"/>
        <v>1.398734070140925</v>
      </c>
      <c r="J137" s="153">
        <f t="shared" si="46"/>
        <v>2.5177213262536648</v>
      </c>
      <c r="K137" s="153">
        <f t="shared" si="46"/>
        <v>6.8537969436905319</v>
      </c>
      <c r="L137" s="153">
        <f t="shared" si="46"/>
        <v>14.826581143493804</v>
      </c>
      <c r="M137" s="153">
        <f t="shared" si="46"/>
        <v>5.1193666967157849</v>
      </c>
      <c r="N137" s="153">
        <f t="shared" si="43"/>
        <v>108.00464996000166</v>
      </c>
      <c r="O137" s="153">
        <f t="shared" si="47"/>
        <v>20.981011052113875</v>
      </c>
      <c r="P137" s="153">
        <f t="shared" si="47"/>
        <v>4.1962022104227747</v>
      </c>
      <c r="Q137" s="153">
        <f t="shared" si="47"/>
        <v>4.4805648468824248</v>
      </c>
      <c r="R137" s="153">
        <f t="shared" si="47"/>
        <v>2.79746814028185</v>
      </c>
      <c r="S137" s="153">
        <f t="shared" si="47"/>
        <v>62.94303315634162</v>
      </c>
      <c r="T137" s="144">
        <f t="shared" si="44"/>
        <v>116.14108604601141</v>
      </c>
      <c r="U137" s="153">
        <f t="shared" si="45"/>
        <v>18.183542911832024</v>
      </c>
      <c r="V137" s="22">
        <f t="shared" si="42"/>
        <v>409.70641357333966</v>
      </c>
    </row>
    <row r="138" spans="1:22" ht="14.4" x14ac:dyDescent="0.3">
      <c r="A138" s="89">
        <f>'Lista de Compra'!A137</f>
        <v>134</v>
      </c>
      <c r="B138" s="151">
        <f>'Lista de Compra'!I137</f>
        <v>40</v>
      </c>
      <c r="C138" s="152">
        <f>'Lista de Compra'!L137</f>
        <v>2.3213547721302092E-2</v>
      </c>
      <c r="E138" s="153">
        <f t="shared" si="46"/>
        <v>2240.571626060078</v>
      </c>
      <c r="F138" s="153">
        <f t="shared" si="46"/>
        <v>8.1247417024557329</v>
      </c>
      <c r="G138" s="153">
        <f t="shared" si="46"/>
        <v>25.534902493432302</v>
      </c>
      <c r="H138" s="153">
        <f t="shared" si="46"/>
        <v>34.820321581953138</v>
      </c>
      <c r="I138" s="153">
        <f t="shared" si="46"/>
        <v>2.321354772130209</v>
      </c>
      <c r="J138" s="153">
        <f t="shared" si="46"/>
        <v>4.1784385898343768</v>
      </c>
      <c r="K138" s="153">
        <f t="shared" si="46"/>
        <v>11.374638383438025</v>
      </c>
      <c r="L138" s="153">
        <f t="shared" si="46"/>
        <v>24.606360584580216</v>
      </c>
      <c r="M138" s="153">
        <f t="shared" si="46"/>
        <v>8.4961584659965652</v>
      </c>
      <c r="N138" s="153">
        <f t="shared" si="43"/>
        <v>179.24573008480624</v>
      </c>
      <c r="O138" s="153">
        <f t="shared" si="47"/>
        <v>34.820321581953138</v>
      </c>
      <c r="P138" s="153">
        <f t="shared" si="47"/>
        <v>6.964064316390628</v>
      </c>
      <c r="Q138" s="153">
        <f t="shared" si="47"/>
        <v>7.4359957415646987</v>
      </c>
      <c r="R138" s="153">
        <f t="shared" si="47"/>
        <v>4.642709544260418</v>
      </c>
      <c r="S138" s="153">
        <f t="shared" si="47"/>
        <v>104.46096474585941</v>
      </c>
      <c r="T138" s="144">
        <f t="shared" si="44"/>
        <v>192.74905079428765</v>
      </c>
      <c r="U138" s="153">
        <f t="shared" si="45"/>
        <v>30.177612037692718</v>
      </c>
      <c r="V138" s="22">
        <f t="shared" si="42"/>
        <v>679.95336542063546</v>
      </c>
    </row>
    <row r="139" spans="1:22" ht="14.4" x14ac:dyDescent="0.3">
      <c r="A139" s="89">
        <f>'Lista de Compra'!A138</f>
        <v>135</v>
      </c>
      <c r="B139" s="151">
        <f>'Lista de Compra'!I138</f>
        <v>50</v>
      </c>
      <c r="C139" s="152">
        <f>'Lista de Compra'!L138</f>
        <v>1.6071847199027475E-2</v>
      </c>
      <c r="E139" s="153">
        <f t="shared" si="46"/>
        <v>1551.2546916501319</v>
      </c>
      <c r="F139" s="153">
        <f t="shared" si="46"/>
        <v>5.6251465196596167</v>
      </c>
      <c r="G139" s="153">
        <f t="shared" si="46"/>
        <v>17.679031918930225</v>
      </c>
      <c r="H139" s="153">
        <f t="shared" si="46"/>
        <v>24.107770798541214</v>
      </c>
      <c r="I139" s="153">
        <f t="shared" si="46"/>
        <v>1.6071847199027476</v>
      </c>
      <c r="J139" s="153">
        <f t="shared" si="46"/>
        <v>2.8929324958249456</v>
      </c>
      <c r="K139" s="153">
        <f t="shared" si="46"/>
        <v>7.8752051275234631</v>
      </c>
      <c r="L139" s="153">
        <f t="shared" si="46"/>
        <v>17.036158030969123</v>
      </c>
      <c r="M139" s="153">
        <f t="shared" si="46"/>
        <v>5.8822960748440556</v>
      </c>
      <c r="N139" s="153">
        <f t="shared" si="43"/>
        <v>124.10037533201056</v>
      </c>
      <c r="O139" s="153">
        <f t="shared" si="47"/>
        <v>24.107770798541214</v>
      </c>
      <c r="P139" s="153">
        <f t="shared" si="47"/>
        <v>4.821554159708243</v>
      </c>
      <c r="Q139" s="153">
        <f t="shared" si="47"/>
        <v>5.1482948132644708</v>
      </c>
      <c r="R139" s="153">
        <f t="shared" si="47"/>
        <v>3.2143694398054952</v>
      </c>
      <c r="S139" s="153">
        <f t="shared" si="47"/>
        <v>72.323312395623645</v>
      </c>
      <c r="T139" s="144">
        <f t="shared" si="44"/>
        <v>133.44936884768484</v>
      </c>
      <c r="U139" s="153">
        <f t="shared" si="45"/>
        <v>20.893401358735719</v>
      </c>
      <c r="V139" s="22">
        <f t="shared" si="42"/>
        <v>470.76417283156962</v>
      </c>
    </row>
    <row r="140" spans="1:22" ht="14.4" x14ac:dyDescent="0.3">
      <c r="A140" s="89">
        <f>'Lista de Compra'!A139</f>
        <v>136</v>
      </c>
      <c r="B140" s="151">
        <f>'Lista de Compra'!I139</f>
        <v>15</v>
      </c>
      <c r="C140" s="152">
        <f>'Lista de Compra'!L139</f>
        <v>4.5541935437093829E-3</v>
      </c>
      <c r="E140" s="153">
        <f t="shared" si="46"/>
        <v>439.57076083882964</v>
      </c>
      <c r="F140" s="153">
        <f t="shared" si="46"/>
        <v>1.5939677402982839</v>
      </c>
      <c r="G140" s="153">
        <f t="shared" si="46"/>
        <v>5.009612898080321</v>
      </c>
      <c r="H140" s="153">
        <f t="shared" si="46"/>
        <v>6.8312903155640745</v>
      </c>
      <c r="I140" s="153">
        <f t="shared" si="46"/>
        <v>0.45541935437093828</v>
      </c>
      <c r="J140" s="153">
        <f t="shared" si="46"/>
        <v>0.81975483786768888</v>
      </c>
      <c r="K140" s="153">
        <f t="shared" si="46"/>
        <v>2.2315548364175974</v>
      </c>
      <c r="L140" s="153">
        <f t="shared" si="46"/>
        <v>4.8274451563319456</v>
      </c>
      <c r="M140" s="153">
        <f t="shared" si="46"/>
        <v>1.666834836997634</v>
      </c>
      <c r="N140" s="153">
        <f t="shared" si="43"/>
        <v>35.165660867106375</v>
      </c>
      <c r="O140" s="153">
        <f t="shared" si="47"/>
        <v>6.8312903155640745</v>
      </c>
      <c r="P140" s="153">
        <f t="shared" si="47"/>
        <v>1.3662580631128149</v>
      </c>
      <c r="Q140" s="153">
        <f t="shared" si="47"/>
        <v>1.4588448178564266</v>
      </c>
      <c r="R140" s="153">
        <f t="shared" si="47"/>
        <v>0.91083870874187656</v>
      </c>
      <c r="S140" s="153">
        <f t="shared" si="47"/>
        <v>20.493870946692223</v>
      </c>
      <c r="T140" s="144">
        <f t="shared" si="44"/>
        <v>37.814835251482116</v>
      </c>
      <c r="U140" s="153">
        <f t="shared" si="45"/>
        <v>5.9204516068221977</v>
      </c>
      <c r="V140" s="22">
        <f t="shared" si="42"/>
        <v>133.39793055330659</v>
      </c>
    </row>
    <row r="141" spans="1:22" ht="14.4" x14ac:dyDescent="0.3">
      <c r="A141" s="89">
        <f>'Lista de Compra'!A140</f>
        <v>137</v>
      </c>
      <c r="B141" s="151">
        <f>'Lista de Compra'!I140</f>
        <v>1600</v>
      </c>
      <c r="C141" s="152">
        <f>'Lista de Compra'!L140</f>
        <v>2.0784644497990418E-2</v>
      </c>
      <c r="E141" s="153">
        <f t="shared" si="46"/>
        <v>2006.1338869460351</v>
      </c>
      <c r="F141" s="153">
        <f t="shared" si="46"/>
        <v>7.2746255742966461</v>
      </c>
      <c r="G141" s="153">
        <f t="shared" si="46"/>
        <v>22.86310894778946</v>
      </c>
      <c r="H141" s="153">
        <f t="shared" si="46"/>
        <v>31.176966746985627</v>
      </c>
      <c r="I141" s="153">
        <f t="shared" si="46"/>
        <v>2.0784644497990419</v>
      </c>
      <c r="J141" s="153">
        <f t="shared" si="46"/>
        <v>3.7412360096382753</v>
      </c>
      <c r="K141" s="153">
        <f t="shared" si="46"/>
        <v>10.184475804015305</v>
      </c>
      <c r="L141" s="153">
        <f t="shared" si="46"/>
        <v>22.031723167869842</v>
      </c>
      <c r="M141" s="153">
        <f t="shared" si="46"/>
        <v>7.6071798862644933</v>
      </c>
      <c r="N141" s="153">
        <f t="shared" si="43"/>
        <v>160.4907109556828</v>
      </c>
      <c r="O141" s="153">
        <f t="shared" si="47"/>
        <v>31.176966746985627</v>
      </c>
      <c r="P141" s="153">
        <f t="shared" si="47"/>
        <v>6.2353933493971256</v>
      </c>
      <c r="Q141" s="153">
        <f t="shared" si="47"/>
        <v>6.6579451720412699</v>
      </c>
      <c r="R141" s="153">
        <f t="shared" si="47"/>
        <v>4.1569288995980838</v>
      </c>
      <c r="S141" s="153">
        <f t="shared" si="47"/>
        <v>93.530900240956882</v>
      </c>
      <c r="T141" s="144">
        <f t="shared" si="44"/>
        <v>172.58113866016382</v>
      </c>
      <c r="U141" s="153">
        <f t="shared" si="45"/>
        <v>27.020037847387542</v>
      </c>
      <c r="V141" s="22">
        <f t="shared" si="42"/>
        <v>608.80780245887183</v>
      </c>
    </row>
    <row r="142" spans="1:22" ht="14.4" x14ac:dyDescent="0.3">
      <c r="A142" s="89">
        <f>'Lista de Compra'!A141</f>
        <v>138</v>
      </c>
      <c r="B142" s="151">
        <f>'Lista de Compra'!I141</f>
        <v>70</v>
      </c>
      <c r="C142" s="152">
        <f>'Lista de Compra'!L141</f>
        <v>1.3185258853412674E-2</v>
      </c>
      <c r="E142" s="153">
        <f t="shared" si="46"/>
        <v>1272.6411845313912</v>
      </c>
      <c r="F142" s="153">
        <f t="shared" si="46"/>
        <v>4.6148405986944363</v>
      </c>
      <c r="G142" s="153">
        <f t="shared" si="46"/>
        <v>14.503784738753941</v>
      </c>
      <c r="H142" s="153">
        <f t="shared" si="46"/>
        <v>19.777888280119011</v>
      </c>
      <c r="I142" s="153">
        <f t="shared" si="46"/>
        <v>1.3185258853412674</v>
      </c>
      <c r="J142" s="153">
        <f t="shared" si="46"/>
        <v>2.3733465936142815</v>
      </c>
      <c r="K142" s="153">
        <f t="shared" si="46"/>
        <v>6.4607768381722099</v>
      </c>
      <c r="L142" s="153">
        <f t="shared" si="46"/>
        <v>13.976374384617435</v>
      </c>
      <c r="M142" s="153">
        <f t="shared" si="46"/>
        <v>4.8258047403490387</v>
      </c>
      <c r="N142" s="153">
        <f t="shared" si="43"/>
        <v>101.8112947625113</v>
      </c>
      <c r="O142" s="153">
        <f t="shared" si="47"/>
        <v>19.777888280119011</v>
      </c>
      <c r="P142" s="153">
        <f t="shared" si="47"/>
        <v>3.9555776560238023</v>
      </c>
      <c r="Q142" s="153">
        <f t="shared" si="47"/>
        <v>4.2236339685136812</v>
      </c>
      <c r="R142" s="153">
        <f t="shared" si="47"/>
        <v>2.6370517706825347</v>
      </c>
      <c r="S142" s="153">
        <f t="shared" si="47"/>
        <v>59.333664840357031</v>
      </c>
      <c r="T142" s="144">
        <f t="shared" si="44"/>
        <v>109.48115983754144</v>
      </c>
      <c r="U142" s="153">
        <f t="shared" si="45"/>
        <v>17.140836509436475</v>
      </c>
      <c r="V142" s="22">
        <f t="shared" si="42"/>
        <v>386.21244968484689</v>
      </c>
    </row>
    <row r="143" spans="1:22" ht="14.4" x14ac:dyDescent="0.3">
      <c r="A143" s="89">
        <f>'Lista de Compra'!A142</f>
        <v>139</v>
      </c>
      <c r="B143" s="151">
        <f>'Lista de Compra'!I142</f>
        <v>10</v>
      </c>
      <c r="C143" s="152">
        <f>'Lista de Compra'!L142</f>
        <v>1.9455393977770104E-3</v>
      </c>
      <c r="E143" s="153">
        <f t="shared" si="46"/>
        <v>187.78346267343704</v>
      </c>
      <c r="F143" s="153">
        <f t="shared" si="46"/>
        <v>0.68093878922195361</v>
      </c>
      <c r="G143" s="153">
        <f t="shared" si="46"/>
        <v>2.1400933375547115</v>
      </c>
      <c r="H143" s="153">
        <f t="shared" si="46"/>
        <v>2.9183090966655154</v>
      </c>
      <c r="I143" s="153">
        <f t="shared" si="46"/>
        <v>0.19455393977770102</v>
      </c>
      <c r="J143" s="153">
        <f t="shared" si="46"/>
        <v>0.35019709159986184</v>
      </c>
      <c r="K143" s="153">
        <f t="shared" si="46"/>
        <v>0.9533143049107351</v>
      </c>
      <c r="L143" s="153">
        <f t="shared" si="46"/>
        <v>2.0622717616436308</v>
      </c>
      <c r="M143" s="153">
        <f t="shared" si="46"/>
        <v>0.71206741958638575</v>
      </c>
      <c r="N143" s="153">
        <f t="shared" si="43"/>
        <v>15.022677013874963</v>
      </c>
      <c r="O143" s="153">
        <f t="shared" si="47"/>
        <v>2.9183090966655154</v>
      </c>
      <c r="P143" s="153">
        <f t="shared" si="47"/>
        <v>0.58366181933310313</v>
      </c>
      <c r="Q143" s="153">
        <f t="shared" si="47"/>
        <v>0.62321463528990972</v>
      </c>
      <c r="R143" s="153">
        <f t="shared" si="47"/>
        <v>0.38910787955540205</v>
      </c>
      <c r="S143" s="153">
        <f t="shared" si="47"/>
        <v>8.7549272899965462</v>
      </c>
      <c r="T143" s="144">
        <f t="shared" si="44"/>
        <v>16.154397281561849</v>
      </c>
      <c r="U143" s="153">
        <f t="shared" si="45"/>
        <v>2.5292012171101135</v>
      </c>
      <c r="V143" s="22">
        <f t="shared" si="42"/>
        <v>56.987241974347903</v>
      </c>
    </row>
    <row r="144" spans="1:22" ht="14.4" x14ac:dyDescent="0.3">
      <c r="A144" s="89">
        <f>'Lista de Compra'!A143</f>
        <v>140</v>
      </c>
      <c r="B144" s="151">
        <f>'Lista de Compra'!I143</f>
        <v>30</v>
      </c>
      <c r="C144" s="152">
        <f>'Lista de Compra'!L143</f>
        <v>3.3895888265618097E-3</v>
      </c>
      <c r="E144" s="153">
        <f t="shared" si="46"/>
        <v>327.16311353974589</v>
      </c>
      <c r="F144" s="153">
        <f t="shared" si="46"/>
        <v>1.1863560892966334</v>
      </c>
      <c r="G144" s="153">
        <f t="shared" si="46"/>
        <v>3.7285477092179908</v>
      </c>
      <c r="H144" s="153">
        <f t="shared" si="46"/>
        <v>5.0843832398427145</v>
      </c>
      <c r="I144" s="153">
        <f t="shared" si="46"/>
        <v>0.33895888265618096</v>
      </c>
      <c r="J144" s="153">
        <f t="shared" si="46"/>
        <v>0.61012598878112578</v>
      </c>
      <c r="K144" s="153">
        <f t="shared" si="46"/>
        <v>1.6608985250152868</v>
      </c>
      <c r="L144" s="153">
        <f t="shared" si="46"/>
        <v>3.5929641561555181</v>
      </c>
      <c r="M144" s="153">
        <f t="shared" si="46"/>
        <v>1.2405895105216223</v>
      </c>
      <c r="N144" s="153">
        <f t="shared" si="43"/>
        <v>26.173049083179674</v>
      </c>
      <c r="O144" s="153">
        <f t="shared" si="47"/>
        <v>5.0843832398427145</v>
      </c>
      <c r="P144" s="153">
        <f t="shared" si="47"/>
        <v>1.0168766479685429</v>
      </c>
      <c r="Q144" s="153">
        <f t="shared" si="47"/>
        <v>1.0857869888125444</v>
      </c>
      <c r="R144" s="153">
        <f t="shared" si="47"/>
        <v>0.67791776531236192</v>
      </c>
      <c r="S144" s="153">
        <f t="shared" si="47"/>
        <v>15.253149719528144</v>
      </c>
      <c r="T144" s="144">
        <f t="shared" si="44"/>
        <v>28.14477290359067</v>
      </c>
      <c r="U144" s="153">
        <f t="shared" si="45"/>
        <v>4.4064654745303526</v>
      </c>
      <c r="V144" s="22">
        <f t="shared" si="42"/>
        <v>99.285225924252089</v>
      </c>
    </row>
    <row r="145" spans="1:22" ht="14.4" x14ac:dyDescent="0.3">
      <c r="A145" s="89">
        <f>'Lista de Compra'!A144</f>
        <v>141</v>
      </c>
      <c r="B145" s="151">
        <f>'Lista de Compra'!I144</f>
        <v>70</v>
      </c>
      <c r="C145" s="152">
        <f>'Lista de Compra'!L144</f>
        <v>8.0042028484630257E-3</v>
      </c>
      <c r="E145" s="153">
        <f t="shared" ref="E145:M154" si="48">E$4*$C145</f>
        <v>772.56565893365121</v>
      </c>
      <c r="F145" s="153">
        <f t="shared" si="48"/>
        <v>2.8014709969620588</v>
      </c>
      <c r="G145" s="153">
        <f t="shared" si="48"/>
        <v>8.8046231333093274</v>
      </c>
      <c r="H145" s="153">
        <f t="shared" si="48"/>
        <v>12.006304272694539</v>
      </c>
      <c r="I145" s="153">
        <f t="shared" si="48"/>
        <v>0.80042028484630257</v>
      </c>
      <c r="J145" s="153">
        <f t="shared" si="48"/>
        <v>1.4407565127233446</v>
      </c>
      <c r="K145" s="153">
        <f t="shared" si="48"/>
        <v>3.9220593957468828</v>
      </c>
      <c r="L145" s="153">
        <f t="shared" si="48"/>
        <v>8.4844550193708077</v>
      </c>
      <c r="M145" s="153">
        <f t="shared" si="48"/>
        <v>2.9295382425374674</v>
      </c>
      <c r="N145" s="153">
        <f t="shared" si="43"/>
        <v>61.805252714692095</v>
      </c>
      <c r="O145" s="153">
        <f t="shared" ref="O145:S154" si="49">O$4*$C145</f>
        <v>12.006304272694539</v>
      </c>
      <c r="P145" s="153">
        <f t="shared" si="49"/>
        <v>2.4012608545389078</v>
      </c>
      <c r="Q145" s="153">
        <f t="shared" si="49"/>
        <v>2.5639862984481607</v>
      </c>
      <c r="R145" s="153">
        <f t="shared" si="49"/>
        <v>1.6008405696926051</v>
      </c>
      <c r="S145" s="153">
        <f t="shared" si="49"/>
        <v>36.018912818083614</v>
      </c>
      <c r="T145" s="144">
        <f t="shared" si="44"/>
        <v>66.461297511643039</v>
      </c>
      <c r="U145" s="153">
        <f t="shared" si="45"/>
        <v>10.405463703001933</v>
      </c>
      <c r="V145" s="22">
        <f t="shared" si="42"/>
        <v>234.45294660098563</v>
      </c>
    </row>
    <row r="146" spans="1:22" ht="14.4" x14ac:dyDescent="0.3">
      <c r="A146" s="89">
        <f>'Lista de Compra'!A145</f>
        <v>142</v>
      </c>
      <c r="B146" s="151">
        <f>'Lista de Compra'!I145</f>
        <v>80</v>
      </c>
      <c r="C146" s="152">
        <f>'Lista de Compra'!L145</f>
        <v>5.3170020808812699E-3</v>
      </c>
      <c r="E146" s="153">
        <f t="shared" si="48"/>
        <v>513.19704084666023</v>
      </c>
      <c r="F146" s="153">
        <f t="shared" si="48"/>
        <v>1.8609507283084445</v>
      </c>
      <c r="G146" s="153">
        <f t="shared" si="48"/>
        <v>5.8487022889693971</v>
      </c>
      <c r="H146" s="153">
        <f t="shared" si="48"/>
        <v>7.9755031213219052</v>
      </c>
      <c r="I146" s="153">
        <f t="shared" si="48"/>
        <v>0.53170020808812701</v>
      </c>
      <c r="J146" s="153">
        <f t="shared" si="48"/>
        <v>0.95706037455862858</v>
      </c>
      <c r="K146" s="153">
        <f t="shared" si="48"/>
        <v>2.6053310196318225</v>
      </c>
      <c r="L146" s="153">
        <f t="shared" si="48"/>
        <v>5.6360222057341458</v>
      </c>
      <c r="M146" s="153">
        <f t="shared" si="48"/>
        <v>1.9460227616025447</v>
      </c>
      <c r="N146" s="153">
        <f t="shared" si="43"/>
        <v>41.055763267732821</v>
      </c>
      <c r="O146" s="153">
        <f t="shared" si="49"/>
        <v>7.9755031213219052</v>
      </c>
      <c r="P146" s="153">
        <f t="shared" si="49"/>
        <v>1.595100624264381</v>
      </c>
      <c r="Q146" s="153">
        <f t="shared" si="49"/>
        <v>1.7031952765686971</v>
      </c>
      <c r="R146" s="153">
        <f t="shared" si="49"/>
        <v>1.063400416176254</v>
      </c>
      <c r="S146" s="153">
        <f t="shared" si="49"/>
        <v>23.926509363965714</v>
      </c>
      <c r="T146" s="144">
        <f t="shared" si="44"/>
        <v>44.148663378181446</v>
      </c>
      <c r="U146" s="153">
        <f t="shared" si="45"/>
        <v>6.9121027051456512</v>
      </c>
      <c r="V146" s="22">
        <f t="shared" si="42"/>
        <v>155.7415308615719</v>
      </c>
    </row>
    <row r="147" spans="1:22" ht="14.4" x14ac:dyDescent="0.3">
      <c r="A147" s="89">
        <f>'Lista de Compra'!A146</f>
        <v>143</v>
      </c>
      <c r="B147" s="151">
        <f>'Lista de Compra'!I146</f>
        <v>90</v>
      </c>
      <c r="C147" s="152">
        <f>'Lista de Compra'!L146</f>
        <v>5.9816273409914293E-3</v>
      </c>
      <c r="E147" s="153">
        <f t="shared" si="48"/>
        <v>577.34667095249279</v>
      </c>
      <c r="F147" s="153">
        <f t="shared" si="48"/>
        <v>2.0935695693470002</v>
      </c>
      <c r="G147" s="153">
        <f t="shared" si="48"/>
        <v>6.579790075090572</v>
      </c>
      <c r="H147" s="153">
        <f t="shared" si="48"/>
        <v>8.9724410114871436</v>
      </c>
      <c r="I147" s="153">
        <f t="shared" si="48"/>
        <v>0.59816273409914289</v>
      </c>
      <c r="J147" s="153">
        <f t="shared" si="48"/>
        <v>1.0766929213784573</v>
      </c>
      <c r="K147" s="153">
        <f t="shared" si="48"/>
        <v>2.9309973970858003</v>
      </c>
      <c r="L147" s="153">
        <f t="shared" si="48"/>
        <v>6.3405249814509155</v>
      </c>
      <c r="M147" s="153">
        <f t="shared" si="48"/>
        <v>2.1892756068028629</v>
      </c>
      <c r="N147" s="153">
        <f t="shared" si="43"/>
        <v>46.187733676199421</v>
      </c>
      <c r="O147" s="153">
        <f t="shared" si="49"/>
        <v>8.9724410114871436</v>
      </c>
      <c r="P147" s="153">
        <f t="shared" si="49"/>
        <v>1.7944882022974289</v>
      </c>
      <c r="Q147" s="153">
        <f t="shared" si="49"/>
        <v>1.9160946861397845</v>
      </c>
      <c r="R147" s="153">
        <f t="shared" si="49"/>
        <v>1.1963254681982858</v>
      </c>
      <c r="S147" s="153">
        <f t="shared" si="49"/>
        <v>26.917323034461432</v>
      </c>
      <c r="T147" s="144">
        <f t="shared" si="44"/>
        <v>49.667246300454131</v>
      </c>
      <c r="U147" s="153">
        <f t="shared" si="45"/>
        <v>7.7761155432888582</v>
      </c>
      <c r="V147" s="22">
        <f t="shared" si="42"/>
        <v>175.20922221926838</v>
      </c>
    </row>
    <row r="148" spans="1:22" ht="14.4" x14ac:dyDescent="0.3">
      <c r="A148" s="89">
        <f>'Lista de Compra'!A147</f>
        <v>144</v>
      </c>
      <c r="B148" s="151">
        <f>'Lista de Compra'!I147</f>
        <v>110</v>
      </c>
      <c r="C148" s="152">
        <f>'Lista de Compra'!L147</f>
        <v>6.9785652311566662E-4</v>
      </c>
      <c r="E148" s="153">
        <f t="shared" si="48"/>
        <v>67.357111611124139</v>
      </c>
      <c r="F148" s="153">
        <f t="shared" si="48"/>
        <v>0.24424978309048331</v>
      </c>
      <c r="G148" s="153">
        <f t="shared" si="48"/>
        <v>0.76764217542723323</v>
      </c>
      <c r="H148" s="153">
        <f t="shared" si="48"/>
        <v>1.0467847846734999</v>
      </c>
      <c r="I148" s="153">
        <f t="shared" si="48"/>
        <v>6.9785652311566665E-2</v>
      </c>
      <c r="J148" s="153">
        <f t="shared" si="48"/>
        <v>0.12561417416081999</v>
      </c>
      <c r="K148" s="153">
        <f t="shared" si="48"/>
        <v>0.34194969632667666</v>
      </c>
      <c r="L148" s="153">
        <f t="shared" si="48"/>
        <v>0.73972791450260666</v>
      </c>
      <c r="M148" s="153">
        <f t="shared" si="48"/>
        <v>0.25541548746033399</v>
      </c>
      <c r="N148" s="153">
        <f t="shared" si="43"/>
        <v>5.3885689288899314</v>
      </c>
      <c r="O148" s="153">
        <f t="shared" si="49"/>
        <v>1.0467847846734999</v>
      </c>
      <c r="P148" s="153">
        <f t="shared" si="49"/>
        <v>0.20935695693469999</v>
      </c>
      <c r="Q148" s="153">
        <f t="shared" si="49"/>
        <v>0.22354438004964147</v>
      </c>
      <c r="R148" s="153">
        <f t="shared" si="49"/>
        <v>0.13957130462313333</v>
      </c>
      <c r="S148" s="153">
        <f t="shared" si="49"/>
        <v>3.1403543540204999</v>
      </c>
      <c r="T148" s="144">
        <f t="shared" si="44"/>
        <v>5.7945120683863145</v>
      </c>
      <c r="U148" s="153">
        <f t="shared" si="45"/>
        <v>0.90721348005036662</v>
      </c>
      <c r="V148" s="22">
        <f t="shared" si="42"/>
        <v>20.441075925581309</v>
      </c>
    </row>
    <row r="149" spans="1:22" ht="14.4" x14ac:dyDescent="0.3">
      <c r="A149" s="89">
        <f>'Lista de Compra'!A148</f>
        <v>145</v>
      </c>
      <c r="B149" s="151">
        <f>'Lista de Compra'!I148</f>
        <v>60</v>
      </c>
      <c r="C149" s="152">
        <f>'Lista de Compra'!L148</f>
        <v>4.54059893611622E-3</v>
      </c>
      <c r="E149" s="153">
        <f t="shared" si="48"/>
        <v>438.25860931393754</v>
      </c>
      <c r="F149" s="153">
        <f t="shared" si="48"/>
        <v>1.5892096276406771</v>
      </c>
      <c r="G149" s="153">
        <f t="shared" si="48"/>
        <v>4.9946588297278423</v>
      </c>
      <c r="H149" s="153">
        <f t="shared" si="48"/>
        <v>6.8108984041743303</v>
      </c>
      <c r="I149" s="153">
        <f t="shared" si="48"/>
        <v>0.45405989361162202</v>
      </c>
      <c r="J149" s="153">
        <f t="shared" si="48"/>
        <v>0.81730780850091955</v>
      </c>
      <c r="K149" s="153">
        <f t="shared" si="48"/>
        <v>2.2248934786969476</v>
      </c>
      <c r="L149" s="153">
        <f t="shared" si="48"/>
        <v>4.8130348722831933</v>
      </c>
      <c r="M149" s="153">
        <f t="shared" si="48"/>
        <v>1.6618592106185366</v>
      </c>
      <c r="N149" s="153">
        <f t="shared" si="43"/>
        <v>35.060688745115002</v>
      </c>
      <c r="O149" s="153">
        <f t="shared" si="49"/>
        <v>6.8108984041743303</v>
      </c>
      <c r="P149" s="153">
        <f t="shared" si="49"/>
        <v>1.3621796808348661</v>
      </c>
      <c r="Q149" s="153">
        <f t="shared" si="49"/>
        <v>1.4544900572061086</v>
      </c>
      <c r="R149" s="153">
        <f t="shared" si="49"/>
        <v>0.90811978722324405</v>
      </c>
      <c r="S149" s="153">
        <f t="shared" si="49"/>
        <v>20.43269521252299</v>
      </c>
      <c r="T149" s="144">
        <f t="shared" si="44"/>
        <v>37.701955146253809</v>
      </c>
      <c r="U149" s="153">
        <f t="shared" si="45"/>
        <v>5.9027786169510863</v>
      </c>
      <c r="V149" s="22">
        <f t="shared" si="42"/>
        <v>132.99972777553552</v>
      </c>
    </row>
    <row r="150" spans="1:22" ht="14.4" x14ac:dyDescent="0.3">
      <c r="A150" s="89">
        <f>'Lista de Compra'!A149</f>
        <v>146</v>
      </c>
      <c r="B150" s="151">
        <f>'Lista de Compra'!I149</f>
        <v>20</v>
      </c>
      <c r="C150" s="152">
        <f>'Lista de Compra'!L149</f>
        <v>2.5316180362377869E-3</v>
      </c>
      <c r="E150" s="153">
        <f t="shared" si="48"/>
        <v>244.35177285767119</v>
      </c>
      <c r="F150" s="153">
        <f t="shared" si="48"/>
        <v>0.88606631268322544</v>
      </c>
      <c r="G150" s="153">
        <f t="shared" si="48"/>
        <v>2.7847798398615655</v>
      </c>
      <c r="H150" s="153">
        <f t="shared" si="48"/>
        <v>3.7974270543566804</v>
      </c>
      <c r="I150" s="153">
        <f t="shared" si="48"/>
        <v>0.25316180362377871</v>
      </c>
      <c r="J150" s="153">
        <f t="shared" si="48"/>
        <v>0.45569124652280163</v>
      </c>
      <c r="K150" s="153">
        <f t="shared" si="48"/>
        <v>1.2404928377565156</v>
      </c>
      <c r="L150" s="153">
        <f t="shared" si="48"/>
        <v>2.6835151184120543</v>
      </c>
      <c r="M150" s="153">
        <f t="shared" si="48"/>
        <v>0.92657220126302997</v>
      </c>
      <c r="N150" s="153">
        <f t="shared" si="43"/>
        <v>19.548141828613694</v>
      </c>
      <c r="O150" s="153">
        <f t="shared" si="49"/>
        <v>3.7974270543566804</v>
      </c>
      <c r="P150" s="153">
        <f t="shared" si="49"/>
        <v>0.75948541087133603</v>
      </c>
      <c r="Q150" s="153">
        <f t="shared" si="49"/>
        <v>0.81095320554805028</v>
      </c>
      <c r="R150" s="153">
        <f t="shared" si="49"/>
        <v>0.50632360724755743</v>
      </c>
      <c r="S150" s="153">
        <f t="shared" si="49"/>
        <v>11.392281163070042</v>
      </c>
      <c r="T150" s="144">
        <f t="shared" si="44"/>
        <v>21.020784040293215</v>
      </c>
      <c r="U150" s="153">
        <f t="shared" si="45"/>
        <v>3.2911034471091227</v>
      </c>
      <c r="V150" s="22">
        <f t="shared" si="42"/>
        <v>74.154206171589351</v>
      </c>
    </row>
    <row r="151" spans="1:22" ht="14.4" x14ac:dyDescent="0.3">
      <c r="A151" s="89">
        <f>'Lista de Compra'!A150</f>
        <v>147</v>
      </c>
      <c r="B151" s="151">
        <f>'Lista de Compra'!I150</f>
        <v>120</v>
      </c>
      <c r="C151" s="152">
        <f>'Lista de Compra'!L150</f>
        <v>8.5192874250483979E-4</v>
      </c>
      <c r="E151" s="153">
        <f t="shared" si="48"/>
        <v>82.228162226567136</v>
      </c>
      <c r="F151" s="153">
        <f t="shared" si="48"/>
        <v>0.2981750598766939</v>
      </c>
      <c r="G151" s="153">
        <f t="shared" si="48"/>
        <v>0.93712161675532379</v>
      </c>
      <c r="H151" s="153">
        <f t="shared" si="48"/>
        <v>1.2778931137572598</v>
      </c>
      <c r="I151" s="153">
        <f t="shared" si="48"/>
        <v>8.5192874250483983E-2</v>
      </c>
      <c r="J151" s="153">
        <f t="shared" si="48"/>
        <v>0.15334717365087117</v>
      </c>
      <c r="K151" s="153">
        <f t="shared" si="48"/>
        <v>0.4174450838273715</v>
      </c>
      <c r="L151" s="153">
        <f t="shared" si="48"/>
        <v>0.9030444670551302</v>
      </c>
      <c r="M151" s="153">
        <f t="shared" si="48"/>
        <v>0.31180591975677135</v>
      </c>
      <c r="N151" s="153">
        <f t="shared" si="43"/>
        <v>6.5782529781253709</v>
      </c>
      <c r="O151" s="153">
        <f t="shared" si="49"/>
        <v>1.2778931137572598</v>
      </c>
      <c r="P151" s="153">
        <f t="shared" si="49"/>
        <v>0.25557862275145193</v>
      </c>
      <c r="Q151" s="153">
        <f t="shared" si="49"/>
        <v>0.27289833408657532</v>
      </c>
      <c r="R151" s="153">
        <f t="shared" si="49"/>
        <v>0.17038574850096797</v>
      </c>
      <c r="S151" s="153">
        <f t="shared" si="49"/>
        <v>3.8336793412717789</v>
      </c>
      <c r="T151" s="144">
        <f t="shared" si="44"/>
        <v>7.0738199276404359</v>
      </c>
      <c r="U151" s="153">
        <f t="shared" si="45"/>
        <v>1.1075073652562917</v>
      </c>
      <c r="V151" s="22">
        <f t="shared" si="42"/>
        <v>24.954040740320039</v>
      </c>
    </row>
    <row r="152" spans="1:22" ht="14.4" x14ac:dyDescent="0.3">
      <c r="A152" s="89">
        <f>'Lista de Compra'!A151</f>
        <v>148</v>
      </c>
      <c r="B152" s="151">
        <f>'Lista de Compra'!I151</f>
        <v>30</v>
      </c>
      <c r="C152" s="152">
        <f>'Lista de Compra'!L151</f>
        <v>3.983220024796565E-3</v>
      </c>
      <c r="E152" s="153">
        <f t="shared" si="48"/>
        <v>384.46039679336445</v>
      </c>
      <c r="F152" s="153">
        <f t="shared" si="48"/>
        <v>1.3941270086787978</v>
      </c>
      <c r="G152" s="153">
        <f t="shared" si="48"/>
        <v>4.3815420272762218</v>
      </c>
      <c r="H152" s="153">
        <f t="shared" si="48"/>
        <v>5.9748300371948471</v>
      </c>
      <c r="I152" s="153">
        <f t="shared" si="48"/>
        <v>0.39832200247965649</v>
      </c>
      <c r="J152" s="153">
        <f t="shared" si="48"/>
        <v>0.71697960446338171</v>
      </c>
      <c r="K152" s="153">
        <f t="shared" si="48"/>
        <v>1.9517778121503169</v>
      </c>
      <c r="L152" s="153">
        <f t="shared" si="48"/>
        <v>4.2222132262843592</v>
      </c>
      <c r="M152" s="153">
        <f t="shared" si="48"/>
        <v>1.4578585290755428</v>
      </c>
      <c r="N152" s="153">
        <f t="shared" si="43"/>
        <v>30.756831743469156</v>
      </c>
      <c r="O152" s="153">
        <f t="shared" si="49"/>
        <v>5.9748300371948471</v>
      </c>
      <c r="P152" s="153">
        <f t="shared" si="49"/>
        <v>1.1949660074389694</v>
      </c>
      <c r="Q152" s="153">
        <f t="shared" si="49"/>
        <v>1.2759448705430836</v>
      </c>
      <c r="R152" s="153">
        <f t="shared" si="49"/>
        <v>0.79664400495931298</v>
      </c>
      <c r="S152" s="153">
        <f t="shared" si="49"/>
        <v>17.924490111584543</v>
      </c>
      <c r="T152" s="144">
        <f t="shared" si="44"/>
        <v>33.073870831893316</v>
      </c>
      <c r="U152" s="153">
        <f t="shared" si="45"/>
        <v>5.1781860322355344</v>
      </c>
      <c r="V152" s="22">
        <f t="shared" si="42"/>
        <v>116.67341388692189</v>
      </c>
    </row>
    <row r="153" spans="1:22" ht="14.4" x14ac:dyDescent="0.3">
      <c r="A153" s="89">
        <f>'Lista de Compra'!A152</f>
        <v>149</v>
      </c>
      <c r="B153" s="151">
        <f>'Lista de Compra'!I152</f>
        <v>30</v>
      </c>
      <c r="C153" s="152">
        <f>'Lista de Compra'!L152</f>
        <v>1.178199324740736E-3</v>
      </c>
      <c r="E153" s="153">
        <f t="shared" si="48"/>
        <v>113.71979882397584</v>
      </c>
      <c r="F153" s="153">
        <f t="shared" si="48"/>
        <v>0.41236976365925759</v>
      </c>
      <c r="G153" s="153">
        <f t="shared" si="48"/>
        <v>1.2960192572148097</v>
      </c>
      <c r="H153" s="153">
        <f t="shared" si="48"/>
        <v>1.767298987111104</v>
      </c>
      <c r="I153" s="153">
        <f t="shared" si="48"/>
        <v>0.1178199324740736</v>
      </c>
      <c r="J153" s="153">
        <f t="shared" si="48"/>
        <v>0.21207587845333248</v>
      </c>
      <c r="K153" s="153">
        <f t="shared" si="48"/>
        <v>0.57731766912296067</v>
      </c>
      <c r="L153" s="153">
        <f t="shared" si="48"/>
        <v>1.2488912842251803</v>
      </c>
      <c r="M153" s="153">
        <f t="shared" si="48"/>
        <v>0.43122095285510936</v>
      </c>
      <c r="N153" s="153">
        <f t="shared" si="43"/>
        <v>9.0975839059180679</v>
      </c>
      <c r="O153" s="153">
        <f t="shared" si="49"/>
        <v>1.767298987111104</v>
      </c>
      <c r="P153" s="153">
        <f t="shared" si="49"/>
        <v>0.35345979742222083</v>
      </c>
      <c r="Q153" s="153">
        <f t="shared" si="49"/>
        <v>0.37741258969419994</v>
      </c>
      <c r="R153" s="153">
        <f t="shared" si="49"/>
        <v>0.2356398649481472</v>
      </c>
      <c r="S153" s="153">
        <f t="shared" si="49"/>
        <v>5.3018969613333118</v>
      </c>
      <c r="T153" s="144">
        <f t="shared" si="44"/>
        <v>9.7829424531197535</v>
      </c>
      <c r="U153" s="153">
        <f t="shared" si="45"/>
        <v>1.5316591221629567</v>
      </c>
      <c r="V153" s="22">
        <f t="shared" si="42"/>
        <v>34.510907406825588</v>
      </c>
    </row>
    <row r="154" spans="1:22" ht="14.4" x14ac:dyDescent="0.3">
      <c r="A154" s="89">
        <f>'Lista de Compra'!A153</f>
        <v>150</v>
      </c>
      <c r="B154" s="151">
        <f>'Lista de Compra'!I153</f>
        <v>50</v>
      </c>
      <c r="C154" s="152">
        <f>'Lista de Compra'!L153</f>
        <v>8.4588669468565667E-4</v>
      </c>
      <c r="E154" s="153">
        <f t="shared" si="48"/>
        <v>81.644983771059586</v>
      </c>
      <c r="F154" s="153">
        <f t="shared" si="48"/>
        <v>0.29606034313997981</v>
      </c>
      <c r="G154" s="153">
        <f t="shared" si="48"/>
        <v>0.93047536415422238</v>
      </c>
      <c r="H154" s="153">
        <f t="shared" si="48"/>
        <v>1.268830042028485</v>
      </c>
      <c r="I154" s="153">
        <f t="shared" si="48"/>
        <v>8.4588669468565664E-2</v>
      </c>
      <c r="J154" s="153">
        <f t="shared" si="48"/>
        <v>0.15225960504341821</v>
      </c>
      <c r="K154" s="153">
        <f t="shared" si="48"/>
        <v>0.41448448039597174</v>
      </c>
      <c r="L154" s="153">
        <f t="shared" si="48"/>
        <v>0.89663989636679609</v>
      </c>
      <c r="M154" s="153">
        <f t="shared" si="48"/>
        <v>0.30959453025495032</v>
      </c>
      <c r="N154" s="153">
        <f t="shared" si="43"/>
        <v>6.531598701684767</v>
      </c>
      <c r="O154" s="153">
        <f t="shared" si="49"/>
        <v>1.268830042028485</v>
      </c>
      <c r="P154" s="153">
        <f t="shared" si="49"/>
        <v>0.25376600840569702</v>
      </c>
      <c r="Q154" s="153">
        <f t="shared" si="49"/>
        <v>0.27096288490865639</v>
      </c>
      <c r="R154" s="153">
        <f t="shared" si="49"/>
        <v>0.16917733893713133</v>
      </c>
      <c r="S154" s="153">
        <f t="shared" si="49"/>
        <v>3.8064901260854551</v>
      </c>
      <c r="T154" s="144">
        <f t="shared" si="44"/>
        <v>7.0236509919834127</v>
      </c>
      <c r="U154" s="153">
        <f t="shared" si="45"/>
        <v>1.0996527030913537</v>
      </c>
      <c r="V154" s="22">
        <f t="shared" si="42"/>
        <v>24.777061727977348</v>
      </c>
    </row>
    <row r="155" spans="1:22" ht="14.4" x14ac:dyDescent="0.3">
      <c r="A155" s="89">
        <f>'Lista de Compra'!A154</f>
        <v>151</v>
      </c>
      <c r="B155" s="151">
        <f>'Lista de Compra'!I154</f>
        <v>60</v>
      </c>
      <c r="C155" s="152">
        <f>'Lista de Compra'!L154</f>
        <v>8.338025990472901E-4</v>
      </c>
      <c r="E155" s="153">
        <f t="shared" ref="E155:M166" si="50">E$4*$C155</f>
        <v>80.478626860044443</v>
      </c>
      <c r="F155" s="153">
        <f t="shared" si="50"/>
        <v>0.29183090966655151</v>
      </c>
      <c r="G155" s="153">
        <f t="shared" si="50"/>
        <v>0.91718285895201912</v>
      </c>
      <c r="H155" s="153">
        <f t="shared" si="50"/>
        <v>1.2507038985709351</v>
      </c>
      <c r="I155" s="153">
        <f t="shared" si="50"/>
        <v>8.3380259904729012E-2</v>
      </c>
      <c r="J155" s="153">
        <f t="shared" si="50"/>
        <v>0.15008446782851223</v>
      </c>
      <c r="K155" s="153">
        <f t="shared" si="50"/>
        <v>0.40856327353317212</v>
      </c>
      <c r="L155" s="153">
        <f t="shared" si="50"/>
        <v>0.88383075499012753</v>
      </c>
      <c r="M155" s="153">
        <f t="shared" si="50"/>
        <v>0.30517175125130819</v>
      </c>
      <c r="N155" s="153">
        <f t="shared" si="43"/>
        <v>6.4382901488035555</v>
      </c>
      <c r="O155" s="153">
        <f t="shared" ref="O155:S166" si="51">O$4*$C155</f>
        <v>1.2507038985709351</v>
      </c>
      <c r="P155" s="153">
        <f t="shared" si="51"/>
        <v>0.25014077971418702</v>
      </c>
      <c r="Q155" s="153">
        <f t="shared" si="51"/>
        <v>0.26709198655281841</v>
      </c>
      <c r="R155" s="153">
        <f t="shared" si="51"/>
        <v>0.16676051980945802</v>
      </c>
      <c r="S155" s="153">
        <f t="shared" si="51"/>
        <v>3.7521116957128053</v>
      </c>
      <c r="T155" s="144">
        <f t="shared" si="44"/>
        <v>6.9233131206693637</v>
      </c>
      <c r="U155" s="153">
        <f t="shared" si="45"/>
        <v>1.0839433787614772</v>
      </c>
      <c r="V155" s="22">
        <f t="shared" si="42"/>
        <v>24.423103703291954</v>
      </c>
    </row>
    <row r="156" spans="1:22" ht="14.4" x14ac:dyDescent="0.3">
      <c r="A156" s="89">
        <f>'Lista de Compra'!A155</f>
        <v>152</v>
      </c>
      <c r="B156" s="151">
        <f>'Lista de Compra'!I155</f>
        <v>145</v>
      </c>
      <c r="C156" s="152">
        <f>'Lista de Compra'!L155</f>
        <v>1.5550720574622919E-2</v>
      </c>
      <c r="E156" s="153">
        <f t="shared" si="50"/>
        <v>1500.9555498626041</v>
      </c>
      <c r="F156" s="153">
        <f t="shared" si="50"/>
        <v>5.4427522011180214</v>
      </c>
      <c r="G156" s="153">
        <f t="shared" si="50"/>
        <v>17.105792632085212</v>
      </c>
      <c r="H156" s="153">
        <f t="shared" si="50"/>
        <v>23.326080861934379</v>
      </c>
      <c r="I156" s="153">
        <f t="shared" si="50"/>
        <v>1.5550720574622918</v>
      </c>
      <c r="J156" s="153">
        <f t="shared" si="50"/>
        <v>2.7991297034321256</v>
      </c>
      <c r="K156" s="153">
        <f t="shared" si="50"/>
        <v>7.6198530815652301</v>
      </c>
      <c r="L156" s="153">
        <f t="shared" si="50"/>
        <v>16.483763809100296</v>
      </c>
      <c r="M156" s="153">
        <f t="shared" si="50"/>
        <v>5.6915637303119881</v>
      </c>
      <c r="N156" s="153">
        <f t="shared" si="43"/>
        <v>120.07644398900834</v>
      </c>
      <c r="O156" s="153">
        <f t="shared" si="51"/>
        <v>23.326080861934379</v>
      </c>
      <c r="P156" s="153">
        <f t="shared" si="51"/>
        <v>4.6652161723868755</v>
      </c>
      <c r="Q156" s="153">
        <f t="shared" si="51"/>
        <v>4.9813623216689598</v>
      </c>
      <c r="R156" s="153">
        <f t="shared" si="51"/>
        <v>3.1101441149245836</v>
      </c>
      <c r="S156" s="153">
        <f t="shared" si="51"/>
        <v>69.97824258580313</v>
      </c>
      <c r="T156" s="144">
        <f t="shared" si="44"/>
        <v>129.12229814726646</v>
      </c>
      <c r="U156" s="153">
        <f t="shared" si="45"/>
        <v>20.215936747009795</v>
      </c>
      <c r="V156" s="22">
        <f t="shared" si="42"/>
        <v>455.49973301701203</v>
      </c>
    </row>
    <row r="157" spans="1:22" ht="14.4" x14ac:dyDescent="0.3">
      <c r="A157" s="89">
        <f>'Lista de Compra'!A156</f>
        <v>153</v>
      </c>
      <c r="B157" s="151">
        <f>'Lista de Compra'!I156</f>
        <v>260</v>
      </c>
      <c r="C157" s="152">
        <f>'Lista de Compra'!L156</f>
        <v>3.7466738526755396E-2</v>
      </c>
      <c r="E157" s="153">
        <f t="shared" si="50"/>
        <v>3616.2896026024309</v>
      </c>
      <c r="F157" s="153">
        <f t="shared" si="50"/>
        <v>13.113358484364388</v>
      </c>
      <c r="G157" s="153">
        <f t="shared" si="50"/>
        <v>41.213412379430935</v>
      </c>
      <c r="H157" s="153">
        <f t="shared" si="50"/>
        <v>56.200107790133096</v>
      </c>
      <c r="I157" s="153">
        <f t="shared" si="50"/>
        <v>3.7466738526755394</v>
      </c>
      <c r="J157" s="153">
        <f t="shared" si="50"/>
        <v>6.744012934815971</v>
      </c>
      <c r="K157" s="153">
        <f t="shared" si="50"/>
        <v>18.358701878110143</v>
      </c>
      <c r="L157" s="153">
        <f t="shared" si="50"/>
        <v>39.714742838360721</v>
      </c>
      <c r="M157" s="153">
        <f t="shared" si="50"/>
        <v>13.712826300792475</v>
      </c>
      <c r="N157" s="153">
        <f t="shared" si="43"/>
        <v>289.30316820819451</v>
      </c>
      <c r="O157" s="153">
        <f t="shared" si="51"/>
        <v>56.200107790133096</v>
      </c>
      <c r="P157" s="153">
        <f t="shared" si="51"/>
        <v>11.240021558026619</v>
      </c>
      <c r="Q157" s="153">
        <f t="shared" si="51"/>
        <v>12.001720352275555</v>
      </c>
      <c r="R157" s="153">
        <f t="shared" si="51"/>
        <v>7.4933477053510789</v>
      </c>
      <c r="S157" s="153">
        <f t="shared" si="51"/>
        <v>168.60032337039928</v>
      </c>
      <c r="T157" s="144">
        <f t="shared" si="44"/>
        <v>311.09757000920803</v>
      </c>
      <c r="U157" s="153">
        <f t="shared" si="45"/>
        <v>48.706760084782012</v>
      </c>
      <c r="V157" s="22">
        <f t="shared" si="42"/>
        <v>1097.4468555370536</v>
      </c>
    </row>
    <row r="158" spans="1:22" ht="14.4" x14ac:dyDescent="0.3">
      <c r="A158" s="89">
        <f>'Lista de Compra'!A157</f>
        <v>154</v>
      </c>
      <c r="B158" s="151">
        <f>'Lista de Compra'!I157</f>
        <v>50</v>
      </c>
      <c r="C158" s="152">
        <f>'Lista de Compra'!L157</f>
        <v>1.1804650926729297E-2</v>
      </c>
      <c r="E158" s="153">
        <f t="shared" si="50"/>
        <v>1139.3849074479117</v>
      </c>
      <c r="F158" s="153">
        <f t="shared" si="50"/>
        <v>4.1316278243552542</v>
      </c>
      <c r="G158" s="153">
        <f t="shared" si="50"/>
        <v>12.985116019402227</v>
      </c>
      <c r="H158" s="153">
        <f t="shared" si="50"/>
        <v>17.706976390093946</v>
      </c>
      <c r="I158" s="153">
        <f t="shared" si="50"/>
        <v>1.1804650926729297</v>
      </c>
      <c r="J158" s="153">
        <f t="shared" si="50"/>
        <v>2.1248371668112735</v>
      </c>
      <c r="K158" s="153">
        <f t="shared" si="50"/>
        <v>5.7842789540973554</v>
      </c>
      <c r="L158" s="153">
        <f t="shared" si="50"/>
        <v>12.512929982333056</v>
      </c>
      <c r="M158" s="153">
        <f t="shared" si="50"/>
        <v>4.3205022391829226</v>
      </c>
      <c r="N158" s="153">
        <f t="shared" si="43"/>
        <v>91.150792595832939</v>
      </c>
      <c r="O158" s="153">
        <f t="shared" si="51"/>
        <v>17.706976390093946</v>
      </c>
      <c r="P158" s="153">
        <f t="shared" si="51"/>
        <v>3.5413952780187894</v>
      </c>
      <c r="Q158" s="153">
        <f t="shared" si="51"/>
        <v>3.7813838313591956</v>
      </c>
      <c r="R158" s="153">
        <f t="shared" si="51"/>
        <v>2.3609301853458593</v>
      </c>
      <c r="S158" s="153">
        <f t="shared" si="51"/>
        <v>53.12092917028184</v>
      </c>
      <c r="T158" s="144">
        <f t="shared" si="44"/>
        <v>98.017558039911364</v>
      </c>
      <c r="U158" s="153">
        <f t="shared" si="45"/>
        <v>15.346046204748086</v>
      </c>
      <c r="V158" s="22">
        <f t="shared" si="42"/>
        <v>345.77274536454098</v>
      </c>
    </row>
    <row r="159" spans="1:22" ht="14.4" x14ac:dyDescent="0.3">
      <c r="A159" s="89">
        <f>'Lista de Compra'!A158</f>
        <v>155</v>
      </c>
      <c r="B159" s="151">
        <f>'Lista de Compra'!I158</f>
        <v>550</v>
      </c>
      <c r="C159" s="152">
        <f>'Lista de Compra'!L158</f>
        <v>1.661563150275397E-3</v>
      </c>
      <c r="E159" s="153">
        <f t="shared" si="50"/>
        <v>160.37407526458131</v>
      </c>
      <c r="F159" s="153">
        <f t="shared" si="50"/>
        <v>0.58154710259638898</v>
      </c>
      <c r="G159" s="153">
        <f t="shared" si="50"/>
        <v>1.8277194653029367</v>
      </c>
      <c r="H159" s="153">
        <f t="shared" si="50"/>
        <v>2.4923447254130955</v>
      </c>
      <c r="I159" s="153">
        <f t="shared" si="50"/>
        <v>0.16615631502753969</v>
      </c>
      <c r="J159" s="153">
        <f t="shared" si="50"/>
        <v>0.29908136704957144</v>
      </c>
      <c r="K159" s="153">
        <f t="shared" si="50"/>
        <v>0.81416594363494454</v>
      </c>
      <c r="L159" s="153">
        <f t="shared" si="50"/>
        <v>1.7612569392919208</v>
      </c>
      <c r="M159" s="153">
        <f t="shared" si="50"/>
        <v>0.60813211300079528</v>
      </c>
      <c r="N159" s="153">
        <f t="shared" si="43"/>
        <v>12.829926021166505</v>
      </c>
      <c r="O159" s="153">
        <f t="shared" si="51"/>
        <v>2.4923447254130955</v>
      </c>
      <c r="P159" s="153">
        <f t="shared" si="51"/>
        <v>0.49846894508261907</v>
      </c>
      <c r="Q159" s="153">
        <f t="shared" si="51"/>
        <v>0.53224852392771793</v>
      </c>
      <c r="R159" s="153">
        <f t="shared" si="51"/>
        <v>0.33231263005507938</v>
      </c>
      <c r="S159" s="153">
        <f t="shared" si="51"/>
        <v>7.477034176239286</v>
      </c>
      <c r="T159" s="144">
        <f t="shared" si="44"/>
        <v>13.796457305681702</v>
      </c>
      <c r="U159" s="153">
        <f t="shared" si="45"/>
        <v>2.1600320953580159</v>
      </c>
      <c r="V159" s="22">
        <f t="shared" si="42"/>
        <v>48.669228394241216</v>
      </c>
    </row>
    <row r="160" spans="1:22" ht="14.4" x14ac:dyDescent="0.3">
      <c r="A160" s="89">
        <f>'Lista de Compra'!A159</f>
        <v>156</v>
      </c>
      <c r="B160" s="151">
        <f>'Lista de Compra'!I159</f>
        <v>55</v>
      </c>
      <c r="C160" s="152">
        <f>'Lista de Compra'!L159</f>
        <v>3.2068168800315159E-3</v>
      </c>
      <c r="E160" s="153">
        <f t="shared" si="50"/>
        <v>309.52196526064193</v>
      </c>
      <c r="F160" s="153">
        <f t="shared" si="50"/>
        <v>1.1223859080110306</v>
      </c>
      <c r="G160" s="153">
        <f t="shared" si="50"/>
        <v>3.5274985680346673</v>
      </c>
      <c r="H160" s="153">
        <f t="shared" si="50"/>
        <v>4.810225320047274</v>
      </c>
      <c r="I160" s="153">
        <f t="shared" si="50"/>
        <v>0.32068168800315161</v>
      </c>
      <c r="J160" s="153">
        <f t="shared" si="50"/>
        <v>0.57722703840567291</v>
      </c>
      <c r="K160" s="153">
        <f t="shared" si="50"/>
        <v>1.5713402712154427</v>
      </c>
      <c r="L160" s="153">
        <f t="shared" si="50"/>
        <v>3.3992258928334067</v>
      </c>
      <c r="M160" s="153">
        <f t="shared" si="50"/>
        <v>1.1736949780915349</v>
      </c>
      <c r="N160" s="153">
        <f t="shared" si="43"/>
        <v>24.761757220851354</v>
      </c>
      <c r="O160" s="153">
        <f t="shared" si="51"/>
        <v>4.810225320047274</v>
      </c>
      <c r="P160" s="153">
        <f t="shared" si="51"/>
        <v>0.96204506400945478</v>
      </c>
      <c r="Q160" s="153">
        <f t="shared" si="51"/>
        <v>1.0272396511804955</v>
      </c>
      <c r="R160" s="153">
        <f t="shared" si="51"/>
        <v>0.64136337600630322</v>
      </c>
      <c r="S160" s="153">
        <f t="shared" si="51"/>
        <v>14.430675960141821</v>
      </c>
      <c r="T160" s="144">
        <f t="shared" si="44"/>
        <v>26.627162599965683</v>
      </c>
      <c r="U160" s="153">
        <f t="shared" si="45"/>
        <v>4.1688619440409704</v>
      </c>
      <c r="V160" s="22">
        <f t="shared" si="42"/>
        <v>93.931610800885537</v>
      </c>
    </row>
    <row r="161" spans="1:22" ht="14.4" x14ac:dyDescent="0.3">
      <c r="A161" s="89">
        <f>'Lista de Compra'!A160</f>
        <v>157</v>
      </c>
      <c r="B161" s="151">
        <f>'Lista de Compra'!I160</f>
        <v>140</v>
      </c>
      <c r="C161" s="152">
        <f>'Lista de Compra'!L160</f>
        <v>3.0028977661340807E-3</v>
      </c>
      <c r="E161" s="153">
        <f t="shared" si="50"/>
        <v>289.83969238726149</v>
      </c>
      <c r="F161" s="153">
        <f t="shared" si="50"/>
        <v>1.0510142181469282</v>
      </c>
      <c r="G161" s="153">
        <f t="shared" si="50"/>
        <v>3.3031875427474886</v>
      </c>
      <c r="H161" s="153">
        <f t="shared" si="50"/>
        <v>4.5043466492011213</v>
      </c>
      <c r="I161" s="153">
        <f t="shared" si="50"/>
        <v>0.30028977661340805</v>
      </c>
      <c r="J161" s="153">
        <f t="shared" si="50"/>
        <v>0.54052159790413457</v>
      </c>
      <c r="K161" s="153">
        <f t="shared" si="50"/>
        <v>1.4714199054056996</v>
      </c>
      <c r="L161" s="153">
        <f t="shared" si="50"/>
        <v>3.1830716321021257</v>
      </c>
      <c r="M161" s="153">
        <f t="shared" si="50"/>
        <v>1.0990605824050734</v>
      </c>
      <c r="N161" s="153">
        <f t="shared" si="43"/>
        <v>23.187175390980919</v>
      </c>
      <c r="O161" s="153">
        <f t="shared" si="51"/>
        <v>4.5043466492011213</v>
      </c>
      <c r="P161" s="153">
        <f t="shared" si="51"/>
        <v>0.90086932984022416</v>
      </c>
      <c r="Q161" s="153">
        <f t="shared" si="51"/>
        <v>0.96191824142573001</v>
      </c>
      <c r="R161" s="153">
        <f t="shared" si="51"/>
        <v>0.60057955322681611</v>
      </c>
      <c r="S161" s="153">
        <f t="shared" si="51"/>
        <v>13.513039947603364</v>
      </c>
      <c r="T161" s="144">
        <f t="shared" si="44"/>
        <v>24.933961021541108</v>
      </c>
      <c r="U161" s="153">
        <f t="shared" si="45"/>
        <v>3.9037670959743047</v>
      </c>
      <c r="V161" s="22">
        <f t="shared" si="42"/>
        <v>87.958569134319561</v>
      </c>
    </row>
    <row r="162" spans="1:22" ht="14.4" x14ac:dyDescent="0.3">
      <c r="A162" s="89">
        <f>'Lista de Compra'!A161</f>
        <v>158</v>
      </c>
      <c r="B162" s="151">
        <f>'Lista de Compra'!I161</f>
        <v>40</v>
      </c>
      <c r="C162" s="152">
        <f>'Lista de Compra'!L161</f>
        <v>6.0057955322681614E-3</v>
      </c>
      <c r="E162" s="153">
        <f t="shared" si="50"/>
        <v>579.67938477452299</v>
      </c>
      <c r="F162" s="153">
        <f t="shared" si="50"/>
        <v>2.1020284362938564</v>
      </c>
      <c r="G162" s="153">
        <f t="shared" si="50"/>
        <v>6.6063750854949772</v>
      </c>
      <c r="H162" s="153">
        <f t="shared" si="50"/>
        <v>9.0086932984022425</v>
      </c>
      <c r="I162" s="153">
        <f t="shared" si="50"/>
        <v>0.60057955322681611</v>
      </c>
      <c r="J162" s="153">
        <f t="shared" si="50"/>
        <v>1.0810431958082691</v>
      </c>
      <c r="K162" s="153">
        <f t="shared" si="50"/>
        <v>2.9428398108113991</v>
      </c>
      <c r="L162" s="153">
        <f t="shared" si="50"/>
        <v>6.3661432642042515</v>
      </c>
      <c r="M162" s="153">
        <f t="shared" si="50"/>
        <v>2.1981211648101469</v>
      </c>
      <c r="N162" s="153">
        <f t="shared" si="43"/>
        <v>46.374350781961837</v>
      </c>
      <c r="O162" s="153">
        <f t="shared" si="51"/>
        <v>9.0086932984022425</v>
      </c>
      <c r="P162" s="153">
        <f t="shared" si="51"/>
        <v>1.8017386596804483</v>
      </c>
      <c r="Q162" s="153">
        <f t="shared" si="51"/>
        <v>1.92383648285146</v>
      </c>
      <c r="R162" s="153">
        <f t="shared" si="51"/>
        <v>1.2011591064536322</v>
      </c>
      <c r="S162" s="153">
        <f t="shared" si="51"/>
        <v>27.026079895206728</v>
      </c>
      <c r="T162" s="144">
        <f t="shared" si="44"/>
        <v>49.867922043082217</v>
      </c>
      <c r="U162" s="153">
        <f t="shared" si="45"/>
        <v>7.8075341919486094</v>
      </c>
      <c r="V162" s="22">
        <f t="shared" si="42"/>
        <v>175.91713826863912</v>
      </c>
    </row>
    <row r="163" spans="1:22" ht="14.4" x14ac:dyDescent="0.3">
      <c r="A163" s="89">
        <f>'Lista de Compra'!A162</f>
        <v>159</v>
      </c>
      <c r="B163" s="151">
        <f>'Lista de Compra'!I162</f>
        <v>60</v>
      </c>
      <c r="C163" s="152">
        <f>'Lista de Compra'!L162</f>
        <v>1.6186646107591955E-2</v>
      </c>
      <c r="E163" s="153">
        <f t="shared" si="50"/>
        <v>1562.3350823047756</v>
      </c>
      <c r="F163" s="153">
        <f t="shared" si="50"/>
        <v>5.6653261376571846</v>
      </c>
      <c r="G163" s="153">
        <f t="shared" si="50"/>
        <v>17.805310718351151</v>
      </c>
      <c r="H163" s="153">
        <f t="shared" si="50"/>
        <v>24.279969161387932</v>
      </c>
      <c r="I163" s="153">
        <f t="shared" si="50"/>
        <v>1.6186646107591955</v>
      </c>
      <c r="J163" s="153">
        <f t="shared" si="50"/>
        <v>2.9135962993665521</v>
      </c>
      <c r="K163" s="153">
        <f t="shared" si="50"/>
        <v>7.9314565927200578</v>
      </c>
      <c r="L163" s="153">
        <f t="shared" si="50"/>
        <v>17.157844874047473</v>
      </c>
      <c r="M163" s="153">
        <f t="shared" si="50"/>
        <v>5.924312475378656</v>
      </c>
      <c r="N163" s="153">
        <f t="shared" si="43"/>
        <v>124.98680658438205</v>
      </c>
      <c r="O163" s="153">
        <f t="shared" si="51"/>
        <v>24.279969161387932</v>
      </c>
      <c r="P163" s="153">
        <f t="shared" si="51"/>
        <v>4.8559938322775862</v>
      </c>
      <c r="Q163" s="153">
        <f t="shared" si="51"/>
        <v>5.1850683476449309</v>
      </c>
      <c r="R163" s="153">
        <f t="shared" si="51"/>
        <v>3.2373292215183911</v>
      </c>
      <c r="S163" s="153">
        <f t="shared" si="51"/>
        <v>72.839907484163803</v>
      </c>
      <c r="T163" s="144">
        <f t="shared" si="44"/>
        <v>134.40257862516827</v>
      </c>
      <c r="U163" s="153">
        <f t="shared" si="45"/>
        <v>21.042639939869542</v>
      </c>
      <c r="V163" s="22">
        <f t="shared" si="42"/>
        <v>474.12677406608077</v>
      </c>
    </row>
    <row r="164" spans="1:22" ht="14.4" x14ac:dyDescent="0.3">
      <c r="A164" s="89">
        <f>'Lista de Compra'!A163</f>
        <v>160</v>
      </c>
      <c r="B164" s="151">
        <f>'Lista de Compra'!I163</f>
        <v>30</v>
      </c>
      <c r="C164" s="152">
        <f>'Lista de Compra'!L163</f>
        <v>1.3331778513027866E-2</v>
      </c>
      <c r="E164" s="153">
        <f t="shared" si="50"/>
        <v>1286.7832620774495</v>
      </c>
      <c r="F164" s="153">
        <f t="shared" si="50"/>
        <v>4.6661224795597533</v>
      </c>
      <c r="G164" s="153">
        <f t="shared" si="50"/>
        <v>14.664956364330653</v>
      </c>
      <c r="H164" s="153">
        <f t="shared" si="50"/>
        <v>19.997667769541799</v>
      </c>
      <c r="I164" s="153">
        <f t="shared" si="50"/>
        <v>1.3331778513027865</v>
      </c>
      <c r="J164" s="153">
        <f t="shared" si="50"/>
        <v>2.3997201323450157</v>
      </c>
      <c r="K164" s="153">
        <f t="shared" si="50"/>
        <v>6.5325714713836538</v>
      </c>
      <c r="L164" s="153">
        <f t="shared" si="50"/>
        <v>14.131685223809537</v>
      </c>
      <c r="M164" s="153">
        <f t="shared" si="50"/>
        <v>4.8794309357681991</v>
      </c>
      <c r="N164" s="153">
        <f t="shared" si="43"/>
        <v>102.94266096619596</v>
      </c>
      <c r="O164" s="153">
        <f t="shared" si="51"/>
        <v>19.997667769541799</v>
      </c>
      <c r="P164" s="153">
        <f t="shared" si="51"/>
        <v>3.9995335539083596</v>
      </c>
      <c r="Q164" s="153">
        <f t="shared" si="51"/>
        <v>4.2705686110782164</v>
      </c>
      <c r="R164" s="153">
        <f t="shared" si="51"/>
        <v>2.6663557026055731</v>
      </c>
      <c r="S164" s="153">
        <f t="shared" si="51"/>
        <v>59.993003308625397</v>
      </c>
      <c r="T164" s="144">
        <f t="shared" si="44"/>
        <v>110.69775652722427</v>
      </c>
      <c r="U164" s="153">
        <f t="shared" si="45"/>
        <v>17.331312066936224</v>
      </c>
      <c r="V164" s="22">
        <f t="shared" ref="V164:V166" si="52">SUM(F164:U164)</f>
        <v>390.50419073415719</v>
      </c>
    </row>
    <row r="165" spans="1:22" ht="14.4" x14ac:dyDescent="0.3">
      <c r="A165" s="89">
        <f>'Lista de Compra'!A164</f>
        <v>161</v>
      </c>
      <c r="B165" s="151">
        <f>'Lista de Compra'!I164</f>
        <v>50</v>
      </c>
      <c r="C165" s="152">
        <f>'Lista de Compra'!L164</f>
        <v>1.1177788465489033E-3</v>
      </c>
      <c r="E165" s="153">
        <f t="shared" si="50"/>
        <v>107.88801426890015</v>
      </c>
      <c r="F165" s="153">
        <f t="shared" si="50"/>
        <v>0.39122259629211614</v>
      </c>
      <c r="G165" s="153">
        <f t="shared" si="50"/>
        <v>1.2295567312037936</v>
      </c>
      <c r="H165" s="153">
        <f t="shared" si="50"/>
        <v>1.676668269823355</v>
      </c>
      <c r="I165" s="153">
        <f t="shared" si="50"/>
        <v>0.11177788465489033</v>
      </c>
      <c r="J165" s="153">
        <f t="shared" si="50"/>
        <v>0.2012001923788026</v>
      </c>
      <c r="K165" s="153">
        <f t="shared" si="50"/>
        <v>0.54771163480896257</v>
      </c>
      <c r="L165" s="153">
        <f t="shared" si="50"/>
        <v>1.1848455773418374</v>
      </c>
      <c r="M165" s="153">
        <f t="shared" si="50"/>
        <v>0.4091070578368986</v>
      </c>
      <c r="N165" s="153">
        <f t="shared" si="43"/>
        <v>8.6310411415120125</v>
      </c>
      <c r="O165" s="153">
        <f t="shared" si="51"/>
        <v>1.676668269823355</v>
      </c>
      <c r="P165" s="153">
        <f t="shared" si="51"/>
        <v>0.33533365396467096</v>
      </c>
      <c r="Q165" s="153">
        <f t="shared" si="51"/>
        <v>0.3580580979150102</v>
      </c>
      <c r="R165" s="153">
        <f t="shared" si="51"/>
        <v>0.22355576930978066</v>
      </c>
      <c r="S165" s="153">
        <f t="shared" si="51"/>
        <v>5.0300048094700651</v>
      </c>
      <c r="T165" s="144">
        <f t="shared" si="44"/>
        <v>9.2812530965495075</v>
      </c>
      <c r="U165" s="153">
        <f t="shared" si="45"/>
        <v>1.4531125005135743</v>
      </c>
      <c r="V165" s="22">
        <f t="shared" si="52"/>
        <v>32.74111728339863</v>
      </c>
    </row>
    <row r="166" spans="1:22" ht="15" customHeight="1" x14ac:dyDescent="0.3">
      <c r="A166" s="89">
        <f>'Lista de Compra'!A165</f>
        <v>162</v>
      </c>
      <c r="B166" s="151">
        <f>'Lista de Compra'!I165</f>
        <v>300</v>
      </c>
      <c r="C166" s="152">
        <f>'Lista de Compra'!L165</f>
        <v>4.8940587335384415E-3</v>
      </c>
      <c r="E166" s="153">
        <f t="shared" si="50"/>
        <v>472.37454896113036</v>
      </c>
      <c r="F166" s="153">
        <f t="shared" si="50"/>
        <v>1.7129205567384544</v>
      </c>
      <c r="G166" s="153">
        <f t="shared" si="50"/>
        <v>5.3834646068922858</v>
      </c>
      <c r="H166" s="153">
        <f t="shared" si="50"/>
        <v>7.3410881003076627</v>
      </c>
      <c r="I166" s="153">
        <f t="shared" si="50"/>
        <v>0.48940587335384417</v>
      </c>
      <c r="J166" s="153">
        <f t="shared" si="50"/>
        <v>0.88093057203691949</v>
      </c>
      <c r="K166" s="153">
        <f t="shared" si="50"/>
        <v>2.3980887794338361</v>
      </c>
      <c r="L166" s="153">
        <f t="shared" si="50"/>
        <v>5.1877022575507477</v>
      </c>
      <c r="M166" s="153">
        <f t="shared" si="50"/>
        <v>1.7912254964750696</v>
      </c>
      <c r="N166" s="153">
        <f t="shared" si="43"/>
        <v>37.789963916890429</v>
      </c>
      <c r="O166" s="153">
        <f t="shared" si="51"/>
        <v>7.3410881003076627</v>
      </c>
      <c r="P166" s="153">
        <f t="shared" si="51"/>
        <v>1.4682176200615324</v>
      </c>
      <c r="Q166" s="153">
        <f t="shared" si="51"/>
        <v>1.5677138341143688</v>
      </c>
      <c r="R166" s="153">
        <f t="shared" si="51"/>
        <v>0.97881174670768833</v>
      </c>
      <c r="S166" s="153">
        <f t="shared" si="51"/>
        <v>22.023264300922985</v>
      </c>
      <c r="T166" s="144">
        <f t="shared" si="44"/>
        <v>40.636837882189738</v>
      </c>
      <c r="U166" s="153">
        <f t="shared" si="45"/>
        <v>6.3622763535999738</v>
      </c>
      <c r="V166" s="22">
        <f t="shared" si="52"/>
        <v>143.35299999758323</v>
      </c>
    </row>
    <row r="167" spans="1:22" ht="14.4" x14ac:dyDescent="0.3">
      <c r="A167" t="s">
        <v>207</v>
      </c>
      <c r="F167" t="s">
        <v>20</v>
      </c>
      <c r="G167" s="89" t="s">
        <v>16</v>
      </c>
    </row>
    <row r="168" spans="1:22" ht="14.4" x14ac:dyDescent="0.3">
      <c r="F168" s="139">
        <v>18000</v>
      </c>
      <c r="G168" s="139">
        <f>F168*B169</f>
        <v>92520</v>
      </c>
    </row>
    <row r="169" spans="1:22" ht="14.4" x14ac:dyDescent="0.3">
      <c r="A169" t="s">
        <v>208</v>
      </c>
      <c r="B169" s="22">
        <v>5.14</v>
      </c>
      <c r="F169" s="22">
        <v>4000</v>
      </c>
      <c r="G169" s="22">
        <f>F169</f>
        <v>4000</v>
      </c>
    </row>
    <row r="170" spans="1:22" ht="14.4" x14ac:dyDescent="0.3">
      <c r="B170" s="22"/>
      <c r="F170" t="s">
        <v>36</v>
      </c>
      <c r="G170" s="22">
        <f>SUM(G168:G169)</f>
        <v>96520</v>
      </c>
    </row>
    <row r="171" spans="1:22" ht="14.4" x14ac:dyDescent="0.3">
      <c r="G171" s="139">
        <f>G170/B169</f>
        <v>18778.21011673152</v>
      </c>
    </row>
  </sheetData>
  <autoFilter ref="A3:V5" xr:uid="{00000000-0009-0000-0000-000003000000}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"/>
  <sheetViews>
    <sheetView showGridLines="0" topLeftCell="B34" zoomScale="90" zoomScaleNormal="90" workbookViewId="0">
      <selection activeCell="F18" sqref="F18"/>
    </sheetView>
  </sheetViews>
  <sheetFormatPr defaultColWidth="8.6640625" defaultRowHeight="14.25" customHeight="1" x14ac:dyDescent="0.3"/>
  <cols>
    <col min="1" max="1" width="20.109375" hidden="1" customWidth="1"/>
    <col min="2" max="2" width="29.88671875" customWidth="1"/>
    <col min="3" max="6" width="10.6640625" customWidth="1"/>
    <col min="14" max="14" width="11.109375" customWidth="1"/>
  </cols>
  <sheetData>
    <row r="1" spans="2:14" ht="15" hidden="1" customHeight="1" x14ac:dyDescent="0.3"/>
    <row r="2" spans="2:14" ht="15" hidden="1" customHeight="1" x14ac:dyDescent="0.3"/>
    <row r="3" spans="2:14" ht="15" hidden="1" customHeight="1" x14ac:dyDescent="0.3"/>
    <row r="4" spans="2:14" ht="15" hidden="1" customHeight="1" x14ac:dyDescent="0.3"/>
    <row r="5" spans="2:14" ht="15" hidden="1" customHeight="1" x14ac:dyDescent="0.3"/>
    <row r="6" spans="2:14" ht="15" hidden="1" customHeight="1" x14ac:dyDescent="0.3">
      <c r="B6" s="154"/>
      <c r="C6" s="154"/>
      <c r="D6" s="154"/>
    </row>
    <row r="7" spans="2:14" ht="15" hidden="1" customHeight="1" x14ac:dyDescent="0.3">
      <c r="B7" s="154"/>
      <c r="C7" s="154"/>
      <c r="D7" s="154"/>
    </row>
    <row r="8" spans="2:14" ht="45.75" customHeight="1" x14ac:dyDescent="0.3">
      <c r="B8" s="179" t="s">
        <v>209</v>
      </c>
      <c r="C8" s="179"/>
      <c r="D8" s="179"/>
      <c r="E8" s="179"/>
      <c r="F8" s="179"/>
      <c r="G8" s="179"/>
      <c r="H8" s="179"/>
      <c r="I8" s="179"/>
      <c r="J8" s="179"/>
    </row>
    <row r="9" spans="2:14" ht="34.5" customHeight="1" x14ac:dyDescent="0.3">
      <c r="B9" s="155" t="s">
        <v>210</v>
      </c>
      <c r="C9" s="176" t="s">
        <v>211</v>
      </c>
      <c r="D9" s="176"/>
      <c r="E9" s="176"/>
      <c r="F9" s="176"/>
      <c r="G9" s="176"/>
      <c r="H9" s="176"/>
      <c r="I9" s="176"/>
      <c r="J9" s="176"/>
      <c r="K9" s="156"/>
    </row>
    <row r="10" spans="2:14" ht="34.5" customHeight="1" x14ac:dyDescent="0.3">
      <c r="B10" s="155" t="s">
        <v>212</v>
      </c>
      <c r="C10" s="176" t="s">
        <v>213</v>
      </c>
      <c r="D10" s="176"/>
      <c r="E10" s="176"/>
      <c r="F10" s="176"/>
      <c r="G10" s="176"/>
      <c r="H10" s="176"/>
      <c r="I10" s="176"/>
      <c r="J10" s="176"/>
      <c r="K10" s="156"/>
    </row>
    <row r="11" spans="2:14" ht="34.5" customHeight="1" x14ac:dyDescent="0.3">
      <c r="B11" s="155" t="s">
        <v>214</v>
      </c>
      <c r="C11" s="176" t="s">
        <v>215</v>
      </c>
      <c r="D11" s="176"/>
      <c r="E11" s="176"/>
      <c r="F11" s="176"/>
      <c r="G11" s="176"/>
      <c r="H11" s="176"/>
      <c r="I11" s="176"/>
      <c r="J11" s="176"/>
      <c r="K11" s="156"/>
    </row>
    <row r="12" spans="2:14" ht="34.5" customHeight="1" x14ac:dyDescent="0.3">
      <c r="B12" s="155" t="s">
        <v>216</v>
      </c>
      <c r="C12" s="176" t="s">
        <v>217</v>
      </c>
      <c r="D12" s="176"/>
      <c r="E12" s="176"/>
      <c r="F12" s="176"/>
      <c r="G12" s="176"/>
      <c r="H12" s="176"/>
      <c r="I12" s="176"/>
      <c r="J12" s="176"/>
      <c r="K12" s="156"/>
    </row>
    <row r="13" spans="2:14" ht="34.5" customHeight="1" x14ac:dyDescent="0.3">
      <c r="B13" s="155" t="s">
        <v>20</v>
      </c>
      <c r="C13" s="176" t="s">
        <v>218</v>
      </c>
      <c r="D13" s="176"/>
      <c r="E13" s="176"/>
      <c r="F13" s="176"/>
      <c r="G13" s="176"/>
      <c r="H13" s="176"/>
      <c r="I13" s="176"/>
      <c r="J13" s="176"/>
    </row>
    <row r="14" spans="2:14" ht="34.5" customHeight="1" x14ac:dyDescent="0.3">
      <c r="B14" s="155" t="s">
        <v>219</v>
      </c>
      <c r="C14" s="176" t="s">
        <v>220</v>
      </c>
      <c r="D14" s="176"/>
      <c r="E14" s="176"/>
      <c r="F14" s="176"/>
      <c r="G14" s="176"/>
      <c r="H14" s="176"/>
      <c r="I14" s="176"/>
      <c r="J14" s="176"/>
    </row>
    <row r="15" spans="2:14" ht="34.5" customHeight="1" x14ac:dyDescent="0.3">
      <c r="B15" s="155" t="s">
        <v>221</v>
      </c>
      <c r="C15" s="176" t="s">
        <v>222</v>
      </c>
      <c r="D15" s="176"/>
      <c r="E15" s="176"/>
      <c r="F15" s="176"/>
      <c r="G15" s="176"/>
      <c r="H15" s="176"/>
      <c r="I15" s="176"/>
      <c r="J15" s="176"/>
      <c r="N15" s="157"/>
    </row>
    <row r="16" spans="2:14" ht="34.5" customHeight="1" x14ac:dyDescent="0.3">
      <c r="B16" s="158" t="s">
        <v>223</v>
      </c>
      <c r="C16" s="176">
        <v>2</v>
      </c>
      <c r="D16" s="176"/>
      <c r="E16" s="176"/>
      <c r="F16" s="176"/>
      <c r="G16" s="176"/>
      <c r="H16" s="176"/>
      <c r="I16" s="176"/>
      <c r="J16" s="176"/>
      <c r="M16" s="159"/>
    </row>
    <row r="17" spans="2:12" ht="34.5" customHeight="1" x14ac:dyDescent="0.3">
      <c r="B17" s="160" t="s">
        <v>224</v>
      </c>
      <c r="C17" s="2" t="s">
        <v>173</v>
      </c>
      <c r="D17" s="161" t="s">
        <v>225</v>
      </c>
      <c r="E17" s="162" t="s">
        <v>42</v>
      </c>
      <c r="F17" s="162" t="s">
        <v>43</v>
      </c>
      <c r="G17" s="162" t="s">
        <v>44</v>
      </c>
      <c r="H17" s="162" t="s">
        <v>45</v>
      </c>
      <c r="I17" s="162" t="s">
        <v>27</v>
      </c>
      <c r="J17" s="1" t="s">
        <v>29</v>
      </c>
    </row>
    <row r="18" spans="2:12" ht="34.5" customHeight="1" x14ac:dyDescent="0.3">
      <c r="B18" s="160">
        <v>1</v>
      </c>
      <c r="C18" s="2"/>
      <c r="D18" s="2"/>
      <c r="E18" s="2" t="s">
        <v>226</v>
      </c>
      <c r="F18" s="2">
        <v>11.2</v>
      </c>
      <c r="G18" s="2">
        <v>3.25</v>
      </c>
      <c r="H18" s="2">
        <v>2.1</v>
      </c>
      <c r="I18" s="2">
        <v>9.65</v>
      </c>
      <c r="J18" s="2">
        <v>6</v>
      </c>
      <c r="L18" s="159"/>
    </row>
    <row r="19" spans="2:12" ht="34.5" customHeight="1" x14ac:dyDescent="0.3">
      <c r="B19" s="160">
        <v>2</v>
      </c>
      <c r="C19" s="2"/>
      <c r="D19" s="2"/>
      <c r="E19" s="163" t="s">
        <v>227</v>
      </c>
      <c r="F19" s="2">
        <v>11.2</v>
      </c>
      <c r="G19" s="2">
        <v>3.25</v>
      </c>
      <c r="H19" s="2">
        <v>2.1</v>
      </c>
      <c r="I19" s="2">
        <v>9.65</v>
      </c>
      <c r="J19" s="2">
        <v>6</v>
      </c>
    </row>
    <row r="20" spans="2:12" ht="34.5" customHeight="1" x14ac:dyDescent="0.3">
      <c r="B20" s="155" t="s">
        <v>228</v>
      </c>
      <c r="C20" s="176" t="s">
        <v>229</v>
      </c>
      <c r="D20" s="176"/>
      <c r="E20" s="176"/>
      <c r="F20" s="176"/>
      <c r="G20" s="176"/>
      <c r="H20" s="176"/>
      <c r="I20" s="176"/>
      <c r="J20" s="176"/>
    </row>
    <row r="21" spans="2:12" ht="34.5" customHeight="1" x14ac:dyDescent="0.3">
      <c r="B21" s="155" t="s">
        <v>230</v>
      </c>
      <c r="C21" s="176" t="s">
        <v>231</v>
      </c>
      <c r="D21" s="176"/>
      <c r="E21" s="176"/>
      <c r="F21" s="176"/>
      <c r="G21" s="176"/>
      <c r="H21" s="176"/>
      <c r="I21" s="176"/>
      <c r="J21" s="176"/>
    </row>
    <row r="22" spans="2:12" ht="34.5" customHeight="1" x14ac:dyDescent="0.3">
      <c r="B22" s="155" t="s">
        <v>232</v>
      </c>
      <c r="C22" s="176" t="s">
        <v>233</v>
      </c>
      <c r="D22" s="176"/>
      <c r="E22" s="176"/>
      <c r="F22" s="176"/>
      <c r="G22" s="176"/>
      <c r="H22" s="176"/>
      <c r="I22" s="176"/>
      <c r="J22" s="176"/>
    </row>
    <row r="23" spans="2:12" ht="34.5" customHeight="1" x14ac:dyDescent="0.3">
      <c r="B23" s="155" t="s">
        <v>234</v>
      </c>
      <c r="C23" s="178" t="s">
        <v>235</v>
      </c>
      <c r="D23" s="178"/>
      <c r="E23" s="178"/>
      <c r="F23" s="178"/>
      <c r="G23" s="178"/>
      <c r="H23" s="178"/>
      <c r="I23" s="178"/>
      <c r="J23" s="178"/>
    </row>
    <row r="24" spans="2:12" ht="34.5" customHeight="1" x14ac:dyDescent="0.3">
      <c r="B24" s="155" t="s">
        <v>236</v>
      </c>
      <c r="C24" s="178">
        <v>45025</v>
      </c>
      <c r="D24" s="178"/>
      <c r="E24" s="178"/>
      <c r="F24" s="178"/>
      <c r="G24" s="178"/>
      <c r="H24" s="178"/>
      <c r="I24" s="178"/>
      <c r="J24" s="178"/>
    </row>
    <row r="25" spans="2:12" ht="34.5" customHeight="1" x14ac:dyDescent="0.3">
      <c r="B25" s="155" t="s">
        <v>237</v>
      </c>
      <c r="C25" s="176" t="s">
        <v>238</v>
      </c>
      <c r="D25" s="176"/>
      <c r="E25" s="176"/>
      <c r="F25" s="176"/>
      <c r="G25" s="176"/>
      <c r="H25" s="176"/>
      <c r="I25" s="176"/>
      <c r="J25" s="176"/>
    </row>
    <row r="26" spans="2:12" ht="34.5" customHeight="1" x14ac:dyDescent="0.3">
      <c r="B26" s="155" t="s">
        <v>239</v>
      </c>
      <c r="C26" s="174" t="s">
        <v>240</v>
      </c>
      <c r="D26" s="174"/>
      <c r="E26" s="174"/>
      <c r="F26" s="174"/>
      <c r="G26" s="175" t="s">
        <v>241</v>
      </c>
      <c r="H26" s="175"/>
      <c r="I26" s="175"/>
      <c r="J26" s="175"/>
    </row>
    <row r="27" spans="2:12" ht="34.5" customHeight="1" x14ac:dyDescent="0.3">
      <c r="B27" s="158" t="s">
        <v>242</v>
      </c>
      <c r="C27" s="176"/>
      <c r="D27" s="176"/>
      <c r="E27" s="176"/>
      <c r="F27" s="176"/>
      <c r="G27" s="176"/>
      <c r="H27" s="176"/>
      <c r="I27" s="176"/>
      <c r="J27" s="176"/>
    </row>
    <row r="28" spans="2:12" ht="34.5" customHeight="1" x14ac:dyDescent="0.3">
      <c r="B28" s="155" t="s">
        <v>243</v>
      </c>
      <c r="C28" s="177"/>
      <c r="D28" s="177"/>
      <c r="E28" s="177"/>
      <c r="F28" s="177"/>
      <c r="G28" s="177"/>
      <c r="H28" s="177"/>
      <c r="I28" s="177"/>
      <c r="J28" s="177"/>
    </row>
    <row r="29" spans="2:12" ht="60" customHeight="1" x14ac:dyDescent="0.3">
      <c r="B29" s="158" t="s">
        <v>244</v>
      </c>
      <c r="C29" s="176"/>
      <c r="D29" s="176"/>
      <c r="E29" s="176"/>
      <c r="F29" s="176"/>
      <c r="G29" s="176"/>
      <c r="H29" s="176"/>
      <c r="I29" s="176"/>
      <c r="J29" s="176"/>
    </row>
    <row r="30" spans="2:12" ht="60" customHeight="1" x14ac:dyDescent="0.3">
      <c r="B30" s="164" t="s">
        <v>245</v>
      </c>
      <c r="C30" s="173"/>
      <c r="D30" s="173"/>
      <c r="E30" s="173"/>
      <c r="F30" s="173"/>
      <c r="G30" s="173"/>
      <c r="H30" s="173"/>
      <c r="I30" s="173"/>
      <c r="J30" s="173"/>
    </row>
  </sheetData>
  <mergeCells count="21">
    <mergeCell ref="B8:J8"/>
    <mergeCell ref="C9:J9"/>
    <mergeCell ref="C10:J10"/>
    <mergeCell ref="C11:J11"/>
    <mergeCell ref="C12:J12"/>
    <mergeCell ref="C13:J13"/>
    <mergeCell ref="C14:J14"/>
    <mergeCell ref="C15:J15"/>
    <mergeCell ref="C16:J16"/>
    <mergeCell ref="C20:J20"/>
    <mergeCell ref="C21:J21"/>
    <mergeCell ref="C22:J22"/>
    <mergeCell ref="C23:J23"/>
    <mergeCell ref="C24:J24"/>
    <mergeCell ref="C25:J25"/>
    <mergeCell ref="C30:J30"/>
    <mergeCell ref="C26:F26"/>
    <mergeCell ref="G26:J26"/>
    <mergeCell ref="C27:J27"/>
    <mergeCell ref="C28:J28"/>
    <mergeCell ref="C29:J29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 100%</vt:lpstr>
      <vt:lpstr>Lista de Compra</vt:lpstr>
      <vt:lpstr>Est. Cust. Naci. 100%</vt:lpstr>
      <vt:lpstr>Rateio Custos Fixos</vt:lpstr>
      <vt:lpstr>Formulário EDC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Operacional 1</cp:lastModifiedBy>
  <dcterms:modified xsi:type="dcterms:W3CDTF">2026-07-30T17:39:00Z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2020-09-11T13:51:26Z</dcterms:created>
  <dc:creator>Maury</dc:creator>
  <dc:description/>
  <dc:language>en-US</dc:language>
  <cp:lastModifiedBy>Operacional 1</cp:lastModifiedBy>
  <cp:lastPrinted>2026-07-29T15:01:33Z</cp:lastPrinted>
  <dcterms:modified xsi:type="dcterms:W3CDTF">2026-07-30T15:04:21Z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0x010100640AEF83AE2E4C43860508BD3F45EFF1</vt:lpwstr>
  </property>
  <property fmtid="{D5CDD505-2E9C-101B-9397-08002B2CF9AE}" pid="3" name="MediaServiceImageTags">
    <vt:lpwstr/>
  </property>
</Properties>
</file>