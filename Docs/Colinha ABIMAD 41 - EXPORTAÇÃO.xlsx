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MS\Desktop\FEIRAS\4 - ABIMAD 41\COLINHA ABIMAD 41\"/>
    </mc:Choice>
  </mc:AlternateContent>
  <xr:revisionPtr revIDLastSave="0" documentId="13_ncr:1_{ACD4F48F-44AC-40CE-974B-7EA23BA4A84D}" xr6:coauthVersionLast="47" xr6:coauthVersionMax="47" xr10:uidLastSave="{00000000-0000-0000-0000-000000000000}"/>
  <bookViews>
    <workbookView xWindow="-108" yWindow="-108" windowWidth="23256" windowHeight="12576" tabRatio="786" activeTab="4" xr2:uid="{2FC73436-76C9-4593-BADC-6F0F331C81A9}"/>
  </bookViews>
  <sheets>
    <sheet name="Estofados KARAMS" sheetId="1" r:id="rId1"/>
    <sheet name="POLTRONA KARAMS" sheetId="14" r:id="rId2"/>
    <sheet name="COMPLEMENTOS" sheetId="13" r:id="rId3"/>
    <sheet name="ESTOFADOS KOYO" sheetId="11" r:id="rId4"/>
    <sheet name="POLTRONAS KOYO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9" i="1"/>
  <c r="G22" i="11"/>
  <c r="F22" i="11"/>
  <c r="G9" i="1"/>
  <c r="G59" i="1" l="1"/>
  <c r="F59" i="1"/>
  <c r="G11" i="11" l="1"/>
  <c r="F11" i="11"/>
  <c r="G111" i="1" l="1"/>
  <c r="F111" i="1"/>
  <c r="G71" i="1"/>
  <c r="F71" i="1"/>
  <c r="G35" i="11"/>
  <c r="F35" i="11"/>
  <c r="G99" i="1"/>
  <c r="F99" i="1"/>
  <c r="G84" i="1"/>
  <c r="F84" i="1"/>
  <c r="G47" i="1"/>
  <c r="F47" i="1"/>
  <c r="G34" i="1"/>
  <c r="F34" i="1"/>
  <c r="G21" i="1"/>
  <c r="G46" i="11" l="1"/>
  <c r="F46" i="11"/>
</calcChain>
</file>

<file path=xl/sharedStrings.xml><?xml version="1.0" encoding="utf-8"?>
<sst xmlns="http://schemas.openxmlformats.org/spreadsheetml/2006/main" count="604" uniqueCount="175">
  <si>
    <t>Descrição</t>
  </si>
  <si>
    <t>Larg</t>
  </si>
  <si>
    <t>Prof</t>
  </si>
  <si>
    <t>Altura</t>
  </si>
  <si>
    <t>G5</t>
  </si>
  <si>
    <t>G0</t>
  </si>
  <si>
    <t>G4</t>
  </si>
  <si>
    <t>G8</t>
  </si>
  <si>
    <t/>
  </si>
  <si>
    <t>PEÇA ASSINADA DESIGN:</t>
  </si>
  <si>
    <t>JOÃO V. DEMELE</t>
  </si>
  <si>
    <t>POLTRONA ALVORADA</t>
  </si>
  <si>
    <t>POLTRONA FUJI</t>
  </si>
  <si>
    <t>G9</t>
  </si>
  <si>
    <t>ESTOFADO PONCHO</t>
  </si>
  <si>
    <t>ESTOFADO GORDON</t>
  </si>
  <si>
    <t>CADEIRA MIZUKI</t>
  </si>
  <si>
    <t>ESTUDIO KARAMS</t>
  </si>
  <si>
    <t>FÁBIO KATO</t>
  </si>
  <si>
    <t>JOÃO DEMELE</t>
  </si>
  <si>
    <t>LUCIANO SANTELLI</t>
  </si>
  <si>
    <t>POLTRONA NAMI</t>
  </si>
  <si>
    <t>BANCO FLUX</t>
  </si>
  <si>
    <t>POLTRONA</t>
  </si>
  <si>
    <t>PUFF</t>
  </si>
  <si>
    <t>ESTUDIO AMBOS</t>
  </si>
  <si>
    <t>POLTRONA VINCO</t>
  </si>
  <si>
    <t>ESTUDIO KOYO</t>
  </si>
  <si>
    <t>POLTRONA TAIKO</t>
  </si>
  <si>
    <t>CARLOS ARRALDE</t>
  </si>
  <si>
    <t>OBS:</t>
  </si>
  <si>
    <t>BASE - CAFÉ FOSCO</t>
  </si>
  <si>
    <t>BASE: NOGUEIRA</t>
  </si>
  <si>
    <t>BASE - NOGUEIRA</t>
  </si>
  <si>
    <t>ACABAMENTO: NOGUEIRA</t>
  </si>
  <si>
    <t>G1</t>
  </si>
  <si>
    <t xml:space="preserve">BANCO </t>
  </si>
  <si>
    <t>POLTRONA TÓQUIO</t>
  </si>
  <si>
    <t>ASS/ENC INT: SK 4185</t>
  </si>
  <si>
    <t>ENC EXT: SK 4164</t>
  </si>
  <si>
    <t>PES: ROSE</t>
  </si>
  <si>
    <t>SK4182</t>
  </si>
  <si>
    <t>G2</t>
  </si>
  <si>
    <t>TOTAL CONJUNTO:</t>
  </si>
  <si>
    <t>POLTRONA GIRATORIA</t>
  </si>
  <si>
    <t>POLTRONA MUSH</t>
  </si>
  <si>
    <t>SK4184</t>
  </si>
  <si>
    <t>CADEIRA GIRATÓRIA</t>
  </si>
  <si>
    <t>MEDIDA TOTAL: 3,10X2,10</t>
  </si>
  <si>
    <t>1 MOD S/BR</t>
  </si>
  <si>
    <t>1 MOD C/BR</t>
  </si>
  <si>
    <t>ESTUDIO GALHO</t>
  </si>
  <si>
    <t>A PARTIR DE: G0</t>
  </si>
  <si>
    <t>ESTOFADO AKIRA</t>
  </si>
  <si>
    <t>OBS: BASE EM LÂMINA NATURAL</t>
  </si>
  <si>
    <t>GO</t>
  </si>
  <si>
    <t>TECIDO: SK0612 / ACAB: NOGUEIRA</t>
  </si>
  <si>
    <t>ESTOFADO ALOHA</t>
  </si>
  <si>
    <t>OBS: BASE TAPEÇADA E  EM LÂMINA NATURAL</t>
  </si>
  <si>
    <t>MODULO (1ASS:090 - 1BR:030)</t>
  </si>
  <si>
    <t>MODULO(1ASS:090 - S/BR)</t>
  </si>
  <si>
    <r>
      <t>MEDIDA TOTAL:</t>
    </r>
    <r>
      <rPr>
        <b/>
        <sz val="12"/>
        <color rgb="FF333333"/>
        <rFont val="Calibri"/>
        <family val="2"/>
        <scheme val="minor"/>
      </rPr>
      <t xml:space="preserve"> 250</t>
    </r>
  </si>
  <si>
    <t>ESTOFADO CAMPINA</t>
  </si>
  <si>
    <t>TECIDO: SK5134 / ACAB: MEL</t>
  </si>
  <si>
    <t>ESTOFADO CINTIA</t>
  </si>
  <si>
    <t>TECIDO: SK844</t>
  </si>
  <si>
    <t>MODULO (1ASS:200 - S/BR)</t>
  </si>
  <si>
    <t>CHAISE (1ASS:100 - 1 BR:025)</t>
  </si>
  <si>
    <t xml:space="preserve">SUMIE CURVA </t>
  </si>
  <si>
    <t xml:space="preserve">MODULO CURVO </t>
  </si>
  <si>
    <t>MEDIDA TOTAL: 330</t>
  </si>
  <si>
    <t>ESTOFADO EQUILIBRIO</t>
  </si>
  <si>
    <t>G6</t>
  </si>
  <si>
    <t>TECIDO: SK6056 / ACAB: CASTANHO</t>
  </si>
  <si>
    <t>TECIDO: SK2379 /  ACAB: NOGUEIRA</t>
  </si>
  <si>
    <t>SUMIE SEM CANTO</t>
  </si>
  <si>
    <t>MODULO (1ASS:118 - S/BR)</t>
  </si>
  <si>
    <t>PUFF COM TAMPO (TAMPO LAMINADO)</t>
  </si>
  <si>
    <t>ESTOFADO LASSO</t>
  </si>
  <si>
    <t>MODULO (1ASS:110 - S/BR)</t>
  </si>
  <si>
    <t>MODULO CURVO</t>
  </si>
  <si>
    <t>MODULO (1ASS: 110 - 1ME:030)</t>
  </si>
  <si>
    <t>ESTOFADO MÔA</t>
  </si>
  <si>
    <t>MEDIDA TOTAL: 235 X 265</t>
  </si>
  <si>
    <t>MEDIDA TOTAL: 4,84 X 2,66</t>
  </si>
  <si>
    <t>ESTOFADO TOUGE</t>
  </si>
  <si>
    <t>TECIDO: SK1397 / ACAB: NOGUEIRA</t>
  </si>
  <si>
    <t>ESTOFADO ZENITH</t>
  </si>
  <si>
    <t>MODULO (1ASS:110 - 1BR:012)</t>
  </si>
  <si>
    <t>MEDIDA TOTAL: 354</t>
  </si>
  <si>
    <t>TECIDO: SK0623 / ACAB: IMBUIA</t>
  </si>
  <si>
    <t>SK4165</t>
  </si>
  <si>
    <t>ACAB: NOGUEIRA</t>
  </si>
  <si>
    <t>ESTANDE TREES</t>
  </si>
  <si>
    <t>POLTRONA ALENTO</t>
  </si>
  <si>
    <t>SK857</t>
  </si>
  <si>
    <t>SK0617</t>
  </si>
  <si>
    <t>BASE: CAFÉ FOSCO</t>
  </si>
  <si>
    <t>POLTRONA LEGNO</t>
  </si>
  <si>
    <t>BASE: CHAMPAGNE</t>
  </si>
  <si>
    <t>ACAB: CASTANHO</t>
  </si>
  <si>
    <t>SK5134</t>
  </si>
  <si>
    <t>POLTRONA ÓRBITA</t>
  </si>
  <si>
    <t>TECIDO: SK0628 / ACAB: CASTANHO</t>
  </si>
  <si>
    <t>ACAB: CAFÉ FOSCO</t>
  </si>
  <si>
    <t>SK6057</t>
  </si>
  <si>
    <t>SALA VIP</t>
  </si>
  <si>
    <t>SK1390</t>
  </si>
  <si>
    <t>SK6055</t>
  </si>
  <si>
    <t>CAMA TORINO</t>
  </si>
  <si>
    <t>KING SIZE</t>
  </si>
  <si>
    <t>SK6058</t>
  </si>
  <si>
    <t>POLTRONA BOUZA</t>
  </si>
  <si>
    <t>ESTUDIO K</t>
  </si>
  <si>
    <t>SK778</t>
  </si>
  <si>
    <t>PUFF BREVE</t>
  </si>
  <si>
    <t>SK 0612 / SK 834</t>
  </si>
  <si>
    <t>ACAB: NOGUEIRA / FREIJO</t>
  </si>
  <si>
    <t>ESTOFADO APERJO</t>
  </si>
  <si>
    <t>TECIDO: SK925</t>
  </si>
  <si>
    <t>TECIDO: SK908</t>
  </si>
  <si>
    <t>OBS: PÉ BOLA - CASTANHO</t>
  </si>
  <si>
    <t>ESTOFADO MOVE</t>
  </si>
  <si>
    <t>TECIDO: SK834</t>
  </si>
  <si>
    <t>MEDIDA TOTAL: 3,82</t>
  </si>
  <si>
    <t>TEC: ASS:867 / DETALHE BR: COURO CAFÉ</t>
  </si>
  <si>
    <t>TRIPARTIDO (3ass122 - 2br008)</t>
  </si>
  <si>
    <t>POLTRONA ATHOS</t>
  </si>
  <si>
    <t>POLTRONA BALAIO</t>
  </si>
  <si>
    <t>POLTRONA PERALTA</t>
  </si>
  <si>
    <t>POLTRONA PIPOCA</t>
  </si>
  <si>
    <t>POLTRONA VEU</t>
  </si>
  <si>
    <t>SK852 / SK 4184</t>
  </si>
  <si>
    <t>G7</t>
  </si>
  <si>
    <t>PIETRO LUIGI</t>
  </si>
  <si>
    <t>ATENÇÃO: EM TECIDO SINTETICO</t>
  </si>
  <si>
    <t>O ACABAMENTO FICA PREJUDICADO.</t>
  </si>
  <si>
    <t>DIMITRI LOCIKS</t>
  </si>
  <si>
    <t>SK908</t>
  </si>
  <si>
    <t>SK926</t>
  </si>
  <si>
    <t>BASE - OFF WHITE</t>
  </si>
  <si>
    <t>SK856</t>
  </si>
  <si>
    <t>Chaise (1Ass:100 - 1Br:025)</t>
  </si>
  <si>
    <t>Módulo (1Ass:125 - S/Br)</t>
  </si>
  <si>
    <t>Módulo (1Ass:150 - 1Br:025)</t>
  </si>
  <si>
    <t>ESTÚDIO KOYO</t>
  </si>
  <si>
    <t>BASE: PRETO FOSCO</t>
  </si>
  <si>
    <t>MEDIDA TOTAL: 425</t>
  </si>
  <si>
    <t>Canto Curvo</t>
  </si>
  <si>
    <t>Modulo (1Ass:135 - S/Br)</t>
  </si>
  <si>
    <t>Sumie (Esquerdo)</t>
  </si>
  <si>
    <t>Sumie (Direito)</t>
  </si>
  <si>
    <t>MODULO (2ASS:090 - 1BR:015)</t>
  </si>
  <si>
    <t>TECIDO: SK862 / ACAB: MEL</t>
  </si>
  <si>
    <t>MEDIDA TOTAL: 485</t>
  </si>
  <si>
    <t>Módulo (1Ass:100 - S/br - 1Me:050)</t>
  </si>
  <si>
    <t>Módulo (2Ass:100 - S/br)</t>
  </si>
  <si>
    <t>Chaise Giratória</t>
  </si>
  <si>
    <t xml:space="preserve">OBS: BASE E SUPORTE DA MESA GIRATÓRIA </t>
  </si>
  <si>
    <t>SÃO LAMINADOS, A MESA GIRATÓRIA E OS PÉS</t>
  </si>
  <si>
    <t>SÃO MADEIRA MACIÇA</t>
  </si>
  <si>
    <t>OBS: DISPONÍVEL APENAS COM AUTOMAÇÃO</t>
  </si>
  <si>
    <t>OBS: PROFUNDIDADE ABERTA: 1,56M</t>
  </si>
  <si>
    <t>MECANISMO 3 ASSENTOS (NÃO HÁ DESCONTO NO MECANISMO)</t>
  </si>
  <si>
    <t>Módulo (1Ass:090 - 1br:020)</t>
  </si>
  <si>
    <t>Módulo (1Ass:180 - S/br)</t>
  </si>
  <si>
    <t>Canto 085x085</t>
  </si>
  <si>
    <t>Chaise (1Ass:100 - 1br:020)</t>
  </si>
  <si>
    <t>MEDIDA TOTAL: 455 X 375</t>
  </si>
  <si>
    <t>INTEIRO</t>
  </si>
  <si>
    <t>SK859</t>
  </si>
  <si>
    <t>SK858</t>
  </si>
  <si>
    <t>MEDIDA TOTAL: 3,45</t>
  </si>
  <si>
    <t>MEDIDA TOTAL: 510 X 645</t>
  </si>
  <si>
    <t>MEDIDA TOTAL: 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</si>
</sst>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63"/>
      <name val="Calibri"/>
      <family val="2"/>
      <scheme val="minor"/>
    </font>
    <font>
      <sz val="12"/>
      <color indexed="6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6"/>
      <color indexed="63"/>
      <name val="Calibri"/>
      <family val="2"/>
      <scheme val="minor"/>
    </font>
    <font>
      <b/>
      <sz val="14"/>
      <color indexed="63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4"/>
      <color indexed="6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6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>
      <alignment vertical="top"/>
    </xf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71">
    <xf numFmtId="0" fontId="0" fillId="0" borderId="0" xfId="0"/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1" fillId="6" borderId="3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wrapText="1"/>
      <protection locked="0"/>
    </xf>
    <xf numFmtId="0" fontId="4" fillId="6" borderId="5" xfId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 wrapText="1"/>
      <protection locked="0"/>
    </xf>
    <xf numFmtId="2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3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/>
    <xf numFmtId="0" fontId="13" fillId="3" borderId="2" xfId="0" applyFont="1" applyFill="1" applyBorder="1" applyAlignment="1" applyProtection="1">
      <alignment horizontal="center"/>
      <protection locked="0"/>
    </xf>
    <xf numFmtId="0" fontId="14" fillId="4" borderId="4" xfId="0" applyFont="1" applyFill="1" applyBorder="1" applyAlignment="1">
      <alignment horizontal="left"/>
    </xf>
    <xf numFmtId="2" fontId="14" fillId="4" borderId="1" xfId="0" applyNumberFormat="1" applyFont="1" applyFill="1" applyBorder="1" applyAlignment="1" applyProtection="1">
      <alignment horizontal="center"/>
      <protection locked="0" hidden="1"/>
    </xf>
    <xf numFmtId="2" fontId="14" fillId="5" borderId="1" xfId="0" applyNumberFormat="1" applyFont="1" applyFill="1" applyBorder="1" applyAlignment="1" applyProtection="1">
      <alignment horizontal="center"/>
      <protection hidden="1"/>
    </xf>
    <xf numFmtId="0" fontId="13" fillId="3" borderId="3" xfId="0" applyFont="1" applyFill="1" applyBorder="1" applyAlignment="1" applyProtection="1">
      <alignment horizontal="center"/>
      <protection locked="0"/>
    </xf>
    <xf numFmtId="0" fontId="14" fillId="4" borderId="11" xfId="0" applyFont="1" applyFill="1" applyBorder="1" applyAlignment="1">
      <alignment horizontal="left"/>
    </xf>
    <xf numFmtId="0" fontId="10" fillId="6" borderId="3" xfId="0" applyFont="1" applyFill="1" applyBorder="1" applyAlignment="1" applyProtection="1">
      <alignment horizontal="center"/>
      <protection locked="0"/>
    </xf>
    <xf numFmtId="0" fontId="17" fillId="6" borderId="3" xfId="1" applyFont="1" applyFill="1" applyBorder="1" applyAlignment="1" applyProtection="1">
      <alignment horizontal="center"/>
      <protection locked="0"/>
    </xf>
    <xf numFmtId="2" fontId="13" fillId="4" borderId="1" xfId="0" applyNumberFormat="1" applyFont="1" applyFill="1" applyBorder="1" applyAlignment="1" applyProtection="1">
      <alignment horizontal="center"/>
      <protection locked="0" hidden="1"/>
    </xf>
    <xf numFmtId="0" fontId="15" fillId="3" borderId="3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20" fillId="2" borderId="6" xfId="0" applyFont="1" applyFill="1" applyBorder="1" applyAlignment="1">
      <alignment horizontal="left" vertical="center"/>
    </xf>
    <xf numFmtId="2" fontId="20" fillId="2" borderId="6" xfId="0" applyNumberFormat="1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>
      <alignment horizontal="left"/>
    </xf>
    <xf numFmtId="2" fontId="12" fillId="4" borderId="1" xfId="0" applyNumberFormat="1" applyFont="1" applyFill="1" applyBorder="1" applyAlignment="1" applyProtection="1">
      <alignment horizontal="center"/>
      <protection hidden="1"/>
    </xf>
    <xf numFmtId="0" fontId="15" fillId="4" borderId="1" xfId="0" applyFont="1" applyFill="1" applyBorder="1" applyAlignment="1">
      <alignment horizontal="left"/>
    </xf>
    <xf numFmtId="2" fontId="12" fillId="4" borderId="1" xfId="0" applyNumberFormat="1" applyFont="1" applyFill="1" applyBorder="1" applyAlignment="1" applyProtection="1">
      <alignment horizontal="center" wrapText="1"/>
      <protection hidden="1"/>
    </xf>
    <xf numFmtId="0" fontId="15" fillId="4" borderId="5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center"/>
    </xf>
    <xf numFmtId="0" fontId="17" fillId="6" borderId="5" xfId="1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10" fillId="4" borderId="1" xfId="0" applyFont="1" applyFill="1" applyBorder="1" applyAlignment="1">
      <alignment horizontal="left"/>
    </xf>
    <xf numFmtId="0" fontId="3" fillId="3" borderId="3" xfId="0" applyFont="1" applyFill="1" applyBorder="1" applyAlignment="1" applyProtection="1">
      <alignment horizontal="center" vertical="center"/>
      <protection locked="0"/>
    </xf>
    <xf numFmtId="2" fontId="14" fillId="0" borderId="1" xfId="0" applyNumberFormat="1" applyFont="1" applyBorder="1" applyAlignment="1" applyProtection="1">
      <alignment horizontal="center"/>
      <protection hidden="1"/>
    </xf>
    <xf numFmtId="2" fontId="14" fillId="0" borderId="1" xfId="0" applyNumberFormat="1" applyFont="1" applyBorder="1" applyAlignment="1" applyProtection="1">
      <alignment horizontal="center"/>
      <protection locked="0" hidden="1"/>
    </xf>
    <xf numFmtId="2" fontId="12" fillId="0" borderId="1" xfId="0" applyNumberFormat="1" applyFont="1" applyBorder="1" applyAlignment="1" applyProtection="1">
      <alignment horizontal="center"/>
      <protection hidden="1"/>
    </xf>
    <xf numFmtId="0" fontId="16" fillId="4" borderId="1" xfId="0" applyFont="1" applyFill="1" applyBorder="1" applyAlignment="1">
      <alignment horizontal="left"/>
    </xf>
    <xf numFmtId="2" fontId="14" fillId="0" borderId="1" xfId="0" applyNumberFormat="1" applyFont="1" applyBorder="1" applyProtection="1">
      <protection hidden="1"/>
    </xf>
    <xf numFmtId="2" fontId="13" fillId="0" borderId="1" xfId="0" applyNumberFormat="1" applyFont="1" applyBorder="1" applyAlignment="1" applyProtection="1">
      <alignment vertical="center"/>
      <protection locked="0" hidden="1"/>
    </xf>
    <xf numFmtId="2" fontId="13" fillId="0" borderId="8" xfId="0" applyNumberFormat="1" applyFont="1" applyBorder="1" applyAlignment="1" applyProtection="1">
      <alignment vertical="center"/>
      <protection locked="0" hidden="1"/>
    </xf>
    <xf numFmtId="2" fontId="13" fillId="0" borderId="1" xfId="0" applyNumberFormat="1" applyFont="1" applyBorder="1" applyAlignment="1" applyProtection="1">
      <alignment horizontal="center" vertical="center"/>
      <protection locked="0" hidden="1"/>
    </xf>
    <xf numFmtId="2" fontId="18" fillId="0" borderId="1" xfId="0" applyNumberFormat="1" applyFont="1" applyBorder="1" applyAlignment="1" applyProtection="1">
      <alignment horizontal="center"/>
      <protection locked="0" hidden="1"/>
    </xf>
    <xf numFmtId="2" fontId="13" fillId="0" borderId="1" xfId="0" applyNumberFormat="1" applyFont="1" applyBorder="1" applyAlignment="1" applyProtection="1">
      <alignment horizontal="center"/>
      <protection locked="0" hidden="1"/>
    </xf>
    <xf numFmtId="0" fontId="14" fillId="0" borderId="1" xfId="0" applyFont="1" applyBorder="1" applyAlignment="1">
      <alignment horizontal="left"/>
    </xf>
    <xf numFmtId="2" fontId="12" fillId="0" borderId="1" xfId="0" applyNumberFormat="1" applyFont="1" applyBorder="1" applyAlignment="1" applyProtection="1">
      <alignment horizontal="center" wrapText="1"/>
      <protection hidden="1"/>
    </xf>
    <xf numFmtId="0" fontId="16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6" fillId="4" borderId="1" xfId="0" applyFont="1" applyFill="1" applyBorder="1" applyAlignment="1">
      <alignment horizontal="left"/>
    </xf>
    <xf numFmtId="0" fontId="22" fillId="4" borderId="5" xfId="0" applyFont="1" applyFill="1" applyBorder="1" applyAlignment="1">
      <alignment horizontal="left"/>
    </xf>
    <xf numFmtId="3" fontId="10" fillId="8" borderId="1" xfId="0" applyNumberFormat="1" applyFont="1" applyFill="1" applyBorder="1" applyAlignment="1" applyProtection="1">
      <alignment horizontal="center" vertical="center"/>
      <protection hidden="1"/>
    </xf>
    <xf numFmtId="3" fontId="16" fillId="8" borderId="1" xfId="0" applyNumberFormat="1" applyFont="1" applyFill="1" applyBorder="1" applyAlignment="1" applyProtection="1">
      <alignment horizontal="center"/>
      <protection hidden="1"/>
    </xf>
    <xf numFmtId="3" fontId="10" fillId="8" borderId="1" xfId="0" applyNumberFormat="1" applyFont="1" applyFill="1" applyBorder="1" applyAlignment="1" applyProtection="1">
      <alignment horizontal="center"/>
      <protection hidden="1"/>
    </xf>
    <xf numFmtId="3" fontId="5" fillId="8" borderId="1" xfId="0" applyNumberFormat="1" applyFont="1" applyFill="1" applyBorder="1" applyAlignment="1" applyProtection="1">
      <alignment vertical="center"/>
      <protection hidden="1"/>
    </xf>
    <xf numFmtId="3" fontId="16" fillId="8" borderId="5" xfId="0" applyNumberFormat="1" applyFont="1" applyFill="1" applyBorder="1" applyAlignment="1" applyProtection="1">
      <alignment horizontal="center"/>
      <protection hidden="1"/>
    </xf>
    <xf numFmtId="3" fontId="10" fillId="8" borderId="10" xfId="0" applyNumberFormat="1" applyFont="1" applyFill="1" applyBorder="1" applyAlignment="1" applyProtection="1">
      <alignment horizontal="center"/>
      <protection hidden="1"/>
    </xf>
    <xf numFmtId="2" fontId="14" fillId="8" borderId="1" xfId="0" applyNumberFormat="1" applyFont="1" applyFill="1" applyBorder="1" applyProtection="1">
      <protection hidden="1"/>
    </xf>
    <xf numFmtId="3" fontId="19" fillId="8" borderId="1" xfId="0" applyNumberFormat="1" applyFont="1" applyFill="1" applyBorder="1" applyAlignment="1" applyProtection="1">
      <alignment vertical="center"/>
      <protection hidden="1"/>
    </xf>
    <xf numFmtId="3" fontId="19" fillId="8" borderId="8" xfId="0" applyNumberFormat="1" applyFont="1" applyFill="1" applyBorder="1" applyAlignment="1" applyProtection="1">
      <alignment vertical="center"/>
      <protection hidden="1"/>
    </xf>
    <xf numFmtId="3" fontId="10" fillId="8" borderId="5" xfId="0" applyNumberFormat="1" applyFont="1" applyFill="1" applyBorder="1" applyAlignment="1" applyProtection="1">
      <alignment horizontal="center" vertical="center"/>
      <protection hidden="1"/>
    </xf>
    <xf numFmtId="1" fontId="10" fillId="8" borderId="1" xfId="0" applyNumberFormat="1" applyFont="1" applyFill="1" applyBorder="1" applyAlignment="1" applyProtection="1">
      <alignment horizontal="center" vertical="center"/>
      <protection hidden="1"/>
    </xf>
    <xf numFmtId="2" fontId="11" fillId="8" borderId="5" xfId="0" applyNumberFormat="1" applyFont="1" applyFill="1" applyBorder="1" applyAlignment="1" applyProtection="1">
      <alignment horizontal="center"/>
      <protection hidden="1"/>
    </xf>
    <xf numFmtId="2" fontId="11" fillId="8" borderId="1" xfId="0" applyNumberFormat="1" applyFont="1" applyFill="1" applyBorder="1" applyAlignment="1" applyProtection="1">
      <alignment horizontal="center"/>
      <protection hidden="1"/>
    </xf>
    <xf numFmtId="3" fontId="10" fillId="9" borderId="1" xfId="0" applyNumberFormat="1" applyFont="1" applyFill="1" applyBorder="1" applyAlignment="1" applyProtection="1">
      <alignment horizontal="center" vertical="center"/>
      <protection hidden="1"/>
    </xf>
    <xf numFmtId="0" fontId="0" fillId="9" borderId="1" xfId="0" applyFill="1" applyBorder="1"/>
    <xf numFmtId="3" fontId="16" fillId="9" borderId="5" xfId="0" applyNumberFormat="1" applyFont="1" applyFill="1" applyBorder="1" applyAlignment="1" applyProtection="1">
      <alignment horizontal="center"/>
      <protection hidden="1"/>
    </xf>
    <xf numFmtId="0" fontId="1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19" fillId="8" borderId="1" xfId="0" applyNumberFormat="1" applyFont="1" applyFill="1" applyBorder="1" applyAlignment="1" applyProtection="1">
      <alignment horizontal="center" vertical="center"/>
      <protection hidden="1"/>
    </xf>
    <xf numFmtId="3" fontId="5" fillId="8" borderId="8" xfId="0" applyNumberFormat="1" applyFont="1" applyFill="1" applyBorder="1" applyAlignment="1" applyProtection="1">
      <alignment vertical="center"/>
      <protection hidden="1"/>
    </xf>
    <xf numFmtId="0" fontId="12" fillId="0" borderId="0" xfId="0" applyFont="1" applyAlignment="1">
      <alignment horizontal="center"/>
    </xf>
    <xf numFmtId="3" fontId="10" fillId="9" borderId="1" xfId="0" applyNumberFormat="1" applyFont="1" applyFill="1" applyBorder="1" applyAlignment="1" applyProtection="1">
      <alignment horizontal="center"/>
      <protection hidden="1"/>
    </xf>
    <xf numFmtId="3" fontId="19" fillId="9" borderId="8" xfId="0" applyNumberFormat="1" applyFont="1" applyFill="1" applyBorder="1" applyAlignment="1" applyProtection="1">
      <alignment vertical="center"/>
      <protection hidden="1"/>
    </xf>
    <xf numFmtId="3" fontId="16" fillId="9" borderId="1" xfId="0" applyNumberFormat="1" applyFont="1" applyFill="1" applyBorder="1" applyAlignment="1" applyProtection="1">
      <alignment horizontal="center"/>
      <protection hidden="1"/>
    </xf>
    <xf numFmtId="3" fontId="10" fillId="9" borderId="10" xfId="0" applyNumberFormat="1" applyFont="1" applyFill="1" applyBorder="1" applyAlignment="1" applyProtection="1">
      <alignment horizontal="center"/>
      <protection hidden="1"/>
    </xf>
    <xf numFmtId="3" fontId="12" fillId="9" borderId="1" xfId="0" applyNumberFormat="1" applyFont="1" applyFill="1" applyBorder="1" applyAlignment="1">
      <alignment horizontal="center"/>
    </xf>
    <xf numFmtId="3" fontId="5" fillId="9" borderId="1" xfId="0" applyNumberFormat="1" applyFont="1" applyFill="1" applyBorder="1" applyAlignment="1" applyProtection="1">
      <alignment vertical="center"/>
      <protection hidden="1"/>
    </xf>
    <xf numFmtId="3" fontId="19" fillId="9" borderId="1" xfId="0" applyNumberFormat="1" applyFont="1" applyFill="1" applyBorder="1" applyAlignment="1" applyProtection="1">
      <alignment vertical="center"/>
      <protection hidden="1"/>
    </xf>
    <xf numFmtId="2" fontId="11" fillId="9" borderId="5" xfId="0" applyNumberFormat="1" applyFont="1" applyFill="1" applyBorder="1" applyAlignment="1" applyProtection="1">
      <alignment horizontal="center"/>
      <protection hidden="1"/>
    </xf>
    <xf numFmtId="3" fontId="19" fillId="9" borderId="1" xfId="0" applyNumberFormat="1" applyFont="1" applyFill="1" applyBorder="1" applyAlignment="1" applyProtection="1">
      <alignment horizontal="center" vertical="center"/>
      <protection hidden="1"/>
    </xf>
    <xf numFmtId="3" fontId="5" fillId="9" borderId="8" xfId="0" applyNumberFormat="1" applyFont="1" applyFill="1" applyBorder="1" applyAlignment="1" applyProtection="1">
      <alignment vertical="center"/>
      <protection hidden="1"/>
    </xf>
    <xf numFmtId="0" fontId="17" fillId="0" borderId="0" xfId="1" applyFont="1" applyFill="1" applyBorder="1" applyAlignment="1" applyProtection="1">
      <alignment horizontal="center"/>
      <protection locked="0"/>
    </xf>
    <xf numFmtId="0" fontId="14" fillId="0" borderId="0" xfId="0" applyFont="1" applyAlignment="1">
      <alignment horizontal="left"/>
    </xf>
    <xf numFmtId="2" fontId="23" fillId="0" borderId="0" xfId="0" applyNumberFormat="1" applyFont="1" applyAlignment="1" applyProtection="1">
      <alignment horizontal="center" vertical="center"/>
      <protection hidden="1"/>
    </xf>
    <xf numFmtId="3" fontId="19" fillId="0" borderId="0" xfId="0" applyNumberFormat="1" applyFont="1" applyAlignment="1" applyProtection="1">
      <alignment horizontal="center" vertical="center"/>
      <protection hidden="1"/>
    </xf>
    <xf numFmtId="0" fontId="3" fillId="3" borderId="5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12" fillId="0" borderId="1" xfId="0" applyFont="1" applyBorder="1"/>
    <xf numFmtId="2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10" xfId="0" applyFont="1" applyFill="1" applyBorder="1" applyAlignment="1">
      <alignment horizontal="left"/>
    </xf>
    <xf numFmtId="0" fontId="1" fillId="3" borderId="3" xfId="0" applyFont="1" applyFill="1" applyBorder="1" applyAlignment="1" applyProtection="1">
      <alignment horizontal="center"/>
      <protection locked="0"/>
    </xf>
    <xf numFmtId="0" fontId="4" fillId="3" borderId="3" xfId="1" applyFill="1" applyBorder="1" applyAlignment="1" applyProtection="1">
      <alignment horizontal="center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10" xfId="0" applyFont="1" applyFill="1" applyBorder="1" applyAlignment="1">
      <alignment horizontal="center"/>
    </xf>
    <xf numFmtId="0" fontId="14" fillId="4" borderId="4" xfId="0" applyFont="1" applyFill="1" applyBorder="1" applyAlignment="1" applyProtection="1">
      <alignment horizontal="left"/>
      <protection hidden="1"/>
    </xf>
    <xf numFmtId="0" fontId="19" fillId="3" borderId="1" xfId="0" applyFont="1" applyFill="1" applyBorder="1" applyAlignment="1">
      <alignment vertical="center"/>
    </xf>
    <xf numFmtId="0" fontId="10" fillId="3" borderId="3" xfId="0" applyFont="1" applyFill="1" applyBorder="1" applyAlignment="1" applyProtection="1">
      <alignment horizontal="center"/>
      <protection locked="0"/>
    </xf>
    <xf numFmtId="2" fontId="10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left"/>
    </xf>
    <xf numFmtId="2" fontId="12" fillId="4" borderId="6" xfId="0" applyNumberFormat="1" applyFont="1" applyFill="1" applyBorder="1" applyAlignment="1" applyProtection="1">
      <alignment horizontal="center"/>
      <protection hidden="1"/>
    </xf>
    <xf numFmtId="0" fontId="12" fillId="4" borderId="13" xfId="0" applyFont="1" applyFill="1" applyBorder="1" applyAlignment="1">
      <alignment horizontal="left"/>
    </xf>
    <xf numFmtId="2" fontId="12" fillId="4" borderId="2" xfId="0" applyNumberFormat="1" applyFont="1" applyFill="1" applyBorder="1" applyAlignment="1" applyProtection="1">
      <alignment horizontal="center"/>
      <protection hidden="1"/>
    </xf>
    <xf numFmtId="2" fontId="14" fillId="0" borderId="8" xfId="0" applyNumberFormat="1" applyFont="1" applyBorder="1" applyAlignment="1" applyProtection="1">
      <alignment horizontal="center"/>
      <protection hidden="1"/>
    </xf>
    <xf numFmtId="0" fontId="27" fillId="7" borderId="1" xfId="0" applyFont="1" applyFill="1" applyBorder="1" applyAlignment="1">
      <alignment horizontal="center"/>
    </xf>
    <xf numFmtId="0" fontId="4" fillId="3" borderId="2" xfId="1" applyFill="1" applyBorder="1" applyAlignment="1" applyProtection="1">
      <protection locked="0"/>
    </xf>
    <xf numFmtId="0" fontId="4" fillId="3" borderId="3" xfId="1" applyFill="1" applyBorder="1" applyAlignment="1" applyProtection="1">
      <protection locked="0"/>
    </xf>
    <xf numFmtId="2" fontId="23" fillId="3" borderId="1" xfId="0" applyNumberFormat="1" applyFont="1" applyFill="1" applyBorder="1" applyAlignment="1" applyProtection="1">
      <alignment horizontal="center" vertical="center"/>
      <protection locked="0" hidden="1"/>
    </xf>
    <xf numFmtId="0" fontId="20" fillId="4" borderId="1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left"/>
    </xf>
    <xf numFmtId="0" fontId="4" fillId="6" borderId="14" xfId="1" applyFill="1" applyBorder="1" applyAlignment="1" applyProtection="1">
      <alignment horizontal="center"/>
      <protection locked="0"/>
    </xf>
    <xf numFmtId="0" fontId="4" fillId="6" borderId="15" xfId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left" vertical="center"/>
    </xf>
    <xf numFmtId="0" fontId="29" fillId="4" borderId="1" xfId="0" applyFont="1" applyFill="1" applyBorder="1" applyAlignment="1" applyProtection="1">
      <alignment horizontal="left"/>
      <protection hidden="1"/>
    </xf>
    <xf numFmtId="0" fontId="14" fillId="4" borderId="11" xfId="0" applyFont="1" applyFill="1" applyBorder="1" applyAlignment="1">
      <alignment horizontal="center"/>
    </xf>
    <xf numFmtId="3" fontId="16" fillId="7" borderId="1" xfId="0" applyNumberFormat="1" applyFont="1" applyFill="1" applyBorder="1" applyAlignment="1" applyProtection="1">
      <alignment horizontal="center"/>
      <protection hidden="1"/>
    </xf>
    <xf numFmtId="0" fontId="22" fillId="4" borderId="4" xfId="0" applyFont="1" applyFill="1" applyBorder="1" applyAlignment="1">
      <alignment horizontal="left"/>
    </xf>
    <xf numFmtId="0" fontId="4" fillId="0" borderId="0" xfId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left"/>
    </xf>
    <xf numFmtId="2" fontId="12" fillId="0" borderId="0" xfId="0" applyNumberFormat="1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/>
      <protection hidden="1"/>
    </xf>
    <xf numFmtId="3" fontId="16" fillId="0" borderId="0" xfId="0" applyNumberFormat="1" applyFont="1" applyAlignment="1" applyProtection="1">
      <alignment horizontal="center"/>
      <protection hidden="1"/>
    </xf>
    <xf numFmtId="0" fontId="20" fillId="2" borderId="1" xfId="0" applyFont="1" applyFill="1" applyBorder="1" applyAlignment="1">
      <alignment horizontal="left" vertical="center"/>
    </xf>
    <xf numFmtId="2" fontId="20" fillId="2" borderId="1" xfId="0" applyNumberFormat="1" applyFont="1" applyFill="1" applyBorder="1" applyAlignment="1" applyProtection="1">
      <alignment horizontal="center" vertical="center"/>
      <protection hidden="1"/>
    </xf>
    <xf numFmtId="0" fontId="19" fillId="8" borderId="10" xfId="0" applyFont="1" applyFill="1" applyBorder="1" applyAlignment="1">
      <alignment horizontal="center" vertical="center"/>
    </xf>
    <xf numFmtId="2" fontId="23" fillId="0" borderId="7" xfId="0" applyNumberFormat="1" applyFont="1" applyBorder="1" applyAlignment="1" applyProtection="1">
      <alignment horizontal="center" vertical="center"/>
      <protection hidden="1"/>
    </xf>
    <xf numFmtId="2" fontId="23" fillId="0" borderId="12" xfId="0" applyNumberFormat="1" applyFont="1" applyBorder="1" applyAlignment="1" applyProtection="1">
      <alignment horizontal="center" vertical="center"/>
      <protection hidden="1"/>
    </xf>
    <xf numFmtId="2" fontId="23" fillId="0" borderId="8" xfId="0" applyNumberFormat="1" applyFont="1" applyBorder="1" applyAlignment="1" applyProtection="1">
      <alignment horizontal="center" vertical="center"/>
      <protection hidden="1"/>
    </xf>
    <xf numFmtId="2" fontId="23" fillId="0" borderId="9" xfId="0" applyNumberFormat="1" applyFont="1" applyBorder="1" applyAlignment="1" applyProtection="1">
      <alignment horizontal="center" vertical="center"/>
      <protection hidden="1"/>
    </xf>
    <xf numFmtId="2" fontId="23" fillId="0" borderId="11" xfId="0" applyNumberFormat="1" applyFont="1" applyBorder="1" applyAlignment="1" applyProtection="1">
      <alignment horizontal="center" vertical="center"/>
      <protection hidden="1"/>
    </xf>
    <xf numFmtId="2" fontId="23" fillId="0" borderId="4" xfId="0" applyNumberFormat="1" applyFont="1" applyBorder="1" applyAlignment="1" applyProtection="1">
      <alignment horizontal="center" vertical="center"/>
      <protection hidden="1"/>
    </xf>
    <xf numFmtId="3" fontId="19" fillId="8" borderId="2" xfId="0" applyNumberFormat="1" applyFont="1" applyFill="1" applyBorder="1" applyAlignment="1" applyProtection="1">
      <alignment horizontal="center" vertical="center"/>
      <protection hidden="1"/>
    </xf>
    <xf numFmtId="3" fontId="19" fillId="8" borderId="5" xfId="0" applyNumberFormat="1" applyFont="1" applyFill="1" applyBorder="1" applyAlignment="1" applyProtection="1">
      <alignment horizontal="center" vertical="center"/>
      <protection hidden="1"/>
    </xf>
    <xf numFmtId="3" fontId="19" fillId="9" borderId="2" xfId="0" applyNumberFormat="1" applyFont="1" applyFill="1" applyBorder="1" applyAlignment="1" applyProtection="1">
      <alignment horizontal="center" vertical="center"/>
      <protection hidden="1"/>
    </xf>
    <xf numFmtId="3" fontId="19" fillId="9" borderId="5" xfId="0" applyNumberFormat="1" applyFont="1" applyFill="1" applyBorder="1" applyAlignment="1" applyProtection="1">
      <alignment horizontal="center" vertical="center"/>
      <protection hidden="1"/>
    </xf>
    <xf numFmtId="2" fontId="13" fillId="8" borderId="7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12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8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9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11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4" xfId="0" applyNumberFormat="1" applyFont="1" applyFill="1" applyBorder="1" applyAlignment="1" applyProtection="1">
      <alignment horizontal="center" vertical="center"/>
      <protection locked="0" hidden="1"/>
    </xf>
    <xf numFmtId="0" fontId="19" fillId="8" borderId="1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2" fontId="28" fillId="8" borderId="7" xfId="0" applyNumberFormat="1" applyFont="1" applyFill="1" applyBorder="1" applyAlignment="1" applyProtection="1">
      <alignment horizontal="center" vertical="center" wrapText="1"/>
      <protection hidden="1"/>
    </xf>
    <xf numFmtId="2" fontId="28" fillId="8" borderId="8" xfId="0" applyNumberFormat="1" applyFont="1" applyFill="1" applyBorder="1" applyAlignment="1" applyProtection="1">
      <alignment horizontal="center" vertical="center" wrapText="1"/>
      <protection hidden="1"/>
    </xf>
    <xf numFmtId="2" fontId="28" fillId="8" borderId="9" xfId="0" applyNumberFormat="1" applyFont="1" applyFill="1" applyBorder="1" applyAlignment="1" applyProtection="1">
      <alignment horizontal="center" vertical="center" wrapText="1"/>
      <protection hidden="1"/>
    </xf>
    <xf numFmtId="2" fontId="28" fillId="8" borderId="4" xfId="0" applyNumberFormat="1" applyFont="1" applyFill="1" applyBorder="1" applyAlignment="1" applyProtection="1">
      <alignment horizontal="center" vertical="center" wrapText="1"/>
      <protection hidden="1"/>
    </xf>
    <xf numFmtId="2" fontId="23" fillId="8" borderId="7" xfId="0" applyNumberFormat="1" applyFont="1" applyFill="1" applyBorder="1" applyAlignment="1" applyProtection="1">
      <alignment horizontal="center" vertical="center"/>
      <protection locked="0" hidden="1"/>
    </xf>
    <xf numFmtId="2" fontId="23" fillId="8" borderId="8" xfId="0" applyNumberFormat="1" applyFont="1" applyFill="1" applyBorder="1" applyAlignment="1" applyProtection="1">
      <alignment horizontal="center" vertical="center"/>
      <protection locked="0" hidden="1"/>
    </xf>
    <xf numFmtId="2" fontId="23" fillId="8" borderId="9" xfId="0" applyNumberFormat="1" applyFont="1" applyFill="1" applyBorder="1" applyAlignment="1" applyProtection="1">
      <alignment horizontal="center" vertical="center"/>
      <protection locked="0" hidden="1"/>
    </xf>
    <xf numFmtId="2" fontId="23" fillId="8" borderId="4" xfId="0" applyNumberFormat="1" applyFont="1" applyFill="1" applyBorder="1" applyAlignment="1" applyProtection="1">
      <alignment horizontal="center" vertical="center"/>
      <protection locked="0" hidden="1"/>
    </xf>
    <xf numFmtId="2" fontId="25" fillId="8" borderId="7" xfId="0" applyNumberFormat="1" applyFont="1" applyFill="1" applyBorder="1" applyAlignment="1" applyProtection="1">
      <alignment horizontal="center" vertical="center"/>
      <protection locked="0" hidden="1"/>
    </xf>
    <xf numFmtId="2" fontId="25" fillId="8" borderId="8" xfId="0" applyNumberFormat="1" applyFont="1" applyFill="1" applyBorder="1" applyAlignment="1" applyProtection="1">
      <alignment horizontal="center" vertical="center"/>
      <protection locked="0" hidden="1"/>
    </xf>
    <xf numFmtId="2" fontId="24" fillId="8" borderId="9" xfId="0" applyNumberFormat="1" applyFont="1" applyFill="1" applyBorder="1" applyAlignment="1" applyProtection="1">
      <alignment horizontal="center" vertical="center"/>
      <protection locked="0" hidden="1"/>
    </xf>
    <xf numFmtId="2" fontId="24" fillId="8" borderId="4" xfId="0" applyNumberFormat="1" applyFont="1" applyFill="1" applyBorder="1" applyAlignment="1" applyProtection="1">
      <alignment horizontal="center" vertical="center"/>
      <protection locked="0" hidden="1"/>
    </xf>
    <xf numFmtId="3" fontId="19" fillId="9" borderId="1" xfId="0" applyNumberFormat="1" applyFont="1" applyFill="1" applyBorder="1" applyAlignment="1" applyProtection="1">
      <alignment horizontal="center" vertical="center"/>
      <protection hidden="1"/>
    </xf>
    <xf numFmtId="3" fontId="19" fillId="8" borderId="1" xfId="0" applyNumberFormat="1" applyFont="1" applyFill="1" applyBorder="1" applyAlignment="1" applyProtection="1">
      <alignment horizontal="center" vertical="center"/>
      <protection hidden="1"/>
    </xf>
    <xf numFmtId="2" fontId="23" fillId="8" borderId="12" xfId="0" applyNumberFormat="1" applyFont="1" applyFill="1" applyBorder="1" applyAlignment="1" applyProtection="1">
      <alignment horizontal="center" vertical="center"/>
      <protection locked="0" hidden="1"/>
    </xf>
    <xf numFmtId="2" fontId="23" fillId="8" borderId="11" xfId="0" applyNumberFormat="1" applyFont="1" applyFill="1" applyBorder="1" applyAlignment="1" applyProtection="1">
      <alignment horizontal="center" vertical="center"/>
      <protection locked="0" hidden="1"/>
    </xf>
  </cellXfs>
  <cellStyles count="14">
    <cellStyle name="Hiperlink" xfId="1" builtinId="8"/>
    <cellStyle name="Moeda 2" xfId="4" xr:uid="{49480B2D-5241-4250-B85A-D0A6FC8CE7A4}"/>
    <cellStyle name="Moeda 2 2" xfId="7" xr:uid="{5AC12543-DD0E-4884-A7CD-8AB6F753D0F5}"/>
    <cellStyle name="Moeda 2 2 2" xfId="11" xr:uid="{76329BA2-07E9-4C26-984D-238298CD76F7}"/>
    <cellStyle name="Moeda 2 3" xfId="9" xr:uid="{CFE69995-FDAD-45E7-8A88-A6B69711C710}"/>
    <cellStyle name="Moeda 2 4" xfId="13" xr:uid="{C7B15C1C-87E9-40B6-AA9F-D7F6D10019D1}"/>
    <cellStyle name="Normal" xfId="0" builtinId="0"/>
    <cellStyle name="Normal 2" xfId="5" xr:uid="{EC087FBC-5FFC-45F4-B98E-95C3223AB5B4}"/>
    <cellStyle name="Porcentagem 2" xfId="2" xr:uid="{F4331A62-5477-431C-B5F5-F53963147070}"/>
    <cellStyle name="Vírgula 2" xfId="3" xr:uid="{248517F3-70AA-47CA-A61A-D2247CA161D5}"/>
    <cellStyle name="Vírgula 2 2" xfId="6" xr:uid="{B149DAFE-AF1E-4501-B3CE-710D215ABE78}"/>
    <cellStyle name="Vírgula 2 2 2" xfId="10" xr:uid="{AE433A41-C81C-4D70-B617-6EBAA84571B5}"/>
    <cellStyle name="Vírgula 2 3" xfId="8" xr:uid="{CADE3E17-952D-4C9F-9236-6B95126B0A6E}"/>
    <cellStyle name="Vírgula 2 4" xfId="12" xr:uid="{2ED53F54-0740-43B6-813A-4CAFF3EF9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2.jpg"/><Relationship Id="rId7" Type="http://schemas.openxmlformats.org/officeDocument/2006/relationships/image" Target="../media/image6.jpeg"/><Relationship Id="rId2" Type="http://schemas.openxmlformats.org/officeDocument/2006/relationships/hyperlink" Target="https://freepngimg.com/png/68394-computer-instagram-icons-png-file-hd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g"/><Relationship Id="rId11" Type="http://schemas.openxmlformats.org/officeDocument/2006/relationships/image" Target="../media/image10.jpeg"/><Relationship Id="rId5" Type="http://schemas.openxmlformats.org/officeDocument/2006/relationships/image" Target="../media/image4.jpg"/><Relationship Id="rId10" Type="http://schemas.openxmlformats.org/officeDocument/2006/relationships/image" Target="../media/image9.png"/><Relationship Id="rId4" Type="http://schemas.openxmlformats.org/officeDocument/2006/relationships/image" Target="../media/image3.jpg"/><Relationship Id="rId9" Type="http://schemas.openxmlformats.org/officeDocument/2006/relationships/image" Target="../media/image8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21.jpg"/><Relationship Id="rId3" Type="http://schemas.openxmlformats.org/officeDocument/2006/relationships/image" Target="../media/image11.jpeg"/><Relationship Id="rId7" Type="http://schemas.openxmlformats.org/officeDocument/2006/relationships/image" Target="../media/image15.jpeg"/><Relationship Id="rId12" Type="http://schemas.openxmlformats.org/officeDocument/2006/relationships/image" Target="../media/image20.jpeg"/><Relationship Id="rId2" Type="http://schemas.openxmlformats.org/officeDocument/2006/relationships/hyperlink" Target="https://freepngimg.com/png/68394-computer-instagram-icons-png-file-hd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14.jpg"/><Relationship Id="rId11" Type="http://schemas.openxmlformats.org/officeDocument/2006/relationships/image" Target="../media/image19.jpeg"/><Relationship Id="rId5" Type="http://schemas.openxmlformats.org/officeDocument/2006/relationships/image" Target="../media/image13.jpg"/><Relationship Id="rId10" Type="http://schemas.openxmlformats.org/officeDocument/2006/relationships/image" Target="../media/image18.jpg"/><Relationship Id="rId4" Type="http://schemas.openxmlformats.org/officeDocument/2006/relationships/image" Target="../media/image12.jpg"/><Relationship Id="rId9" Type="http://schemas.openxmlformats.org/officeDocument/2006/relationships/image" Target="../media/image17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epngimg.com/png/68394-computer-instagram-icons-png-file-hd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22.jpeg"/><Relationship Id="rId5" Type="http://schemas.openxmlformats.org/officeDocument/2006/relationships/image" Target="../media/image24.jpg"/><Relationship Id="rId4" Type="http://schemas.openxmlformats.org/officeDocument/2006/relationships/image" Target="../media/image2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g"/><Relationship Id="rId1" Type="http://schemas.openxmlformats.org/officeDocument/2006/relationships/image" Target="../media/image25.png"/><Relationship Id="rId6" Type="http://schemas.openxmlformats.org/officeDocument/2006/relationships/hyperlink" Target="https://freepngimg.com/png/68394-computer-instagram-icons-png-file-hd" TargetMode="External"/><Relationship Id="rId5" Type="http://schemas.openxmlformats.org/officeDocument/2006/relationships/image" Target="../media/image29.png"/><Relationship Id="rId4" Type="http://schemas.openxmlformats.org/officeDocument/2006/relationships/image" Target="../media/image28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g"/><Relationship Id="rId3" Type="http://schemas.openxmlformats.org/officeDocument/2006/relationships/image" Target="../media/image29.png"/><Relationship Id="rId7" Type="http://schemas.openxmlformats.org/officeDocument/2006/relationships/image" Target="../media/image34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hyperlink" Target="https://freepngimg.com/png/68394-computer-instagram-icons-png-file-h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575661</xdr:colOff>
      <xdr:row>20</xdr:row>
      <xdr:rowOff>180109</xdr:rowOff>
    </xdr:from>
    <xdr:ext cx="188259" cy="187959"/>
    <xdr:pic>
      <xdr:nvPicPr>
        <xdr:cNvPr id="14" name="Imagem 13">
          <a:extLst>
            <a:ext uri="{FF2B5EF4-FFF2-40B4-BE49-F238E27FC236}">
              <a16:creationId xmlns:a16="http://schemas.microsoft.com/office/drawing/2014/main" id="{DBF847B7-C6F0-4944-A491-DD1DBD85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4231389"/>
          <a:ext cx="188259" cy="187959"/>
        </a:xfrm>
        <a:prstGeom prst="rect">
          <a:avLst/>
        </a:prstGeom>
      </xdr:spPr>
    </xdr:pic>
    <xdr:clientData/>
  </xdr:oneCellAnchor>
  <xdr:oneCellAnchor>
    <xdr:from>
      <xdr:col>0</xdr:col>
      <xdr:colOff>639701</xdr:colOff>
      <xdr:row>59</xdr:row>
      <xdr:rowOff>180164</xdr:rowOff>
    </xdr:from>
    <xdr:ext cx="188259" cy="184910"/>
    <xdr:pic>
      <xdr:nvPicPr>
        <xdr:cNvPr id="9" name="Imagem 8">
          <a:extLst>
            <a:ext uri="{FF2B5EF4-FFF2-40B4-BE49-F238E27FC236}">
              <a16:creationId xmlns:a16="http://schemas.microsoft.com/office/drawing/2014/main" id="{1FA0CAF3-FC57-4CAA-B223-1B1DDF4C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39701" y="2382344"/>
          <a:ext cx="188259" cy="184910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83</xdr:row>
      <xdr:rowOff>180109</xdr:rowOff>
    </xdr:from>
    <xdr:ext cx="188259" cy="187959"/>
    <xdr:pic>
      <xdr:nvPicPr>
        <xdr:cNvPr id="17" name="Imagem 16">
          <a:extLst>
            <a:ext uri="{FF2B5EF4-FFF2-40B4-BE49-F238E27FC236}">
              <a16:creationId xmlns:a16="http://schemas.microsoft.com/office/drawing/2014/main" id="{3A370F1C-6DD7-499B-AA80-719BA926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5321049"/>
          <a:ext cx="188259" cy="187959"/>
        </a:xfrm>
        <a:prstGeom prst="rect">
          <a:avLst/>
        </a:prstGeom>
      </xdr:spPr>
    </xdr:pic>
    <xdr:clientData/>
  </xdr:oneCellAnchor>
  <xdr:twoCellAnchor>
    <xdr:from>
      <xdr:col>0</xdr:col>
      <xdr:colOff>373380</xdr:colOff>
      <xdr:row>1</xdr:row>
      <xdr:rowOff>45720</xdr:rowOff>
    </xdr:from>
    <xdr:to>
      <xdr:col>0</xdr:col>
      <xdr:colOff>2602725</xdr:colOff>
      <xdr:row>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E83B0C-0442-4373-8B05-EBDA92FB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243840"/>
          <a:ext cx="2229345" cy="1495440"/>
        </a:xfrm>
        <a:prstGeom prst="rect">
          <a:avLst/>
        </a:prstGeom>
      </xdr:spPr>
    </xdr:pic>
    <xdr:clientData/>
  </xdr:twoCellAnchor>
  <xdr:oneCellAnchor>
    <xdr:from>
      <xdr:col>0</xdr:col>
      <xdr:colOff>586740</xdr:colOff>
      <xdr:row>34</xdr:row>
      <xdr:rowOff>7620</xdr:rowOff>
    </xdr:from>
    <xdr:ext cx="188259" cy="187959"/>
    <xdr:pic>
      <xdr:nvPicPr>
        <xdr:cNvPr id="5" name="Imagem 4">
          <a:extLst>
            <a:ext uri="{FF2B5EF4-FFF2-40B4-BE49-F238E27FC236}">
              <a16:creationId xmlns:a16="http://schemas.microsoft.com/office/drawing/2014/main" id="{8E56B064-5F07-4F41-BA37-2D43EFE9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86740" y="6697980"/>
          <a:ext cx="188259" cy="187959"/>
        </a:xfrm>
        <a:prstGeom prst="rect">
          <a:avLst/>
        </a:prstGeom>
      </xdr:spPr>
    </xdr:pic>
    <xdr:clientData/>
  </xdr:oneCellAnchor>
  <xdr:twoCellAnchor editAs="oneCell">
    <xdr:from>
      <xdr:col>0</xdr:col>
      <xdr:colOff>373380</xdr:colOff>
      <xdr:row>36</xdr:row>
      <xdr:rowOff>83820</xdr:rowOff>
    </xdr:from>
    <xdr:to>
      <xdr:col>0</xdr:col>
      <xdr:colOff>2614907</xdr:colOff>
      <xdr:row>44</xdr:row>
      <xdr:rowOff>9540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1160450-7301-4F04-937E-B55747CB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7170420"/>
          <a:ext cx="2241527" cy="1510680"/>
        </a:xfrm>
        <a:prstGeom prst="rect">
          <a:avLst/>
        </a:prstGeom>
      </xdr:spPr>
    </xdr:pic>
    <xdr:clientData/>
  </xdr:twoCellAnchor>
  <xdr:oneCellAnchor>
    <xdr:from>
      <xdr:col>0</xdr:col>
      <xdr:colOff>575661</xdr:colOff>
      <xdr:row>46</xdr:row>
      <xdr:rowOff>180109</xdr:rowOff>
    </xdr:from>
    <xdr:ext cx="188259" cy="187959"/>
    <xdr:pic>
      <xdr:nvPicPr>
        <xdr:cNvPr id="7" name="Imagem 6">
          <a:extLst>
            <a:ext uri="{FF2B5EF4-FFF2-40B4-BE49-F238E27FC236}">
              <a16:creationId xmlns:a16="http://schemas.microsoft.com/office/drawing/2014/main" id="{7EA65873-238C-4020-88A0-6406843A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4127269"/>
          <a:ext cx="188259" cy="187959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381000</xdr:colOff>
      <xdr:row>50</xdr:row>
      <xdr:rowOff>121920</xdr:rowOff>
    </xdr:from>
    <xdr:to>
      <xdr:col>0</xdr:col>
      <xdr:colOff>2622527</xdr:colOff>
      <xdr:row>58</xdr:row>
      <xdr:rowOff>9540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3D00D04-FB97-42BC-9376-0368FD22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966960"/>
          <a:ext cx="2241527" cy="1510680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62</xdr:row>
      <xdr:rowOff>60960</xdr:rowOff>
    </xdr:from>
    <xdr:to>
      <xdr:col>0</xdr:col>
      <xdr:colOff>2668247</xdr:colOff>
      <xdr:row>69</xdr:row>
      <xdr:rowOff>184800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F78322E-F31C-4806-856F-3C084DCA8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12489180"/>
          <a:ext cx="2241527" cy="1510680"/>
        </a:xfrm>
        <a:prstGeom prst="rect">
          <a:avLst/>
        </a:prstGeom>
      </xdr:spPr>
    </xdr:pic>
    <xdr:clientData/>
  </xdr:twoCellAnchor>
  <xdr:oneCellAnchor>
    <xdr:from>
      <xdr:col>0</xdr:col>
      <xdr:colOff>639701</xdr:colOff>
      <xdr:row>71</xdr:row>
      <xdr:rowOff>180164</xdr:rowOff>
    </xdr:from>
    <xdr:ext cx="188259" cy="184910"/>
    <xdr:pic>
      <xdr:nvPicPr>
        <xdr:cNvPr id="19" name="Imagem 18">
          <a:extLst>
            <a:ext uri="{FF2B5EF4-FFF2-40B4-BE49-F238E27FC236}">
              <a16:creationId xmlns:a16="http://schemas.microsoft.com/office/drawing/2014/main" id="{E2E3DB2E-BDDC-4D89-B160-8DEA40313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39701" y="12029264"/>
          <a:ext cx="188259" cy="184910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98</xdr:row>
      <xdr:rowOff>180109</xdr:rowOff>
    </xdr:from>
    <xdr:ext cx="188259" cy="187959"/>
    <xdr:pic>
      <xdr:nvPicPr>
        <xdr:cNvPr id="22" name="Imagem 21">
          <a:extLst>
            <a:ext uri="{FF2B5EF4-FFF2-40B4-BE49-F238E27FC236}">
              <a16:creationId xmlns:a16="http://schemas.microsoft.com/office/drawing/2014/main" id="{B5005A9D-57C2-4895-AF8A-952BD0B7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6761229"/>
          <a:ext cx="188259" cy="187959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110</xdr:row>
      <xdr:rowOff>180109</xdr:rowOff>
    </xdr:from>
    <xdr:ext cx="188259" cy="187959"/>
    <xdr:pic>
      <xdr:nvPicPr>
        <xdr:cNvPr id="23" name="Imagem 22">
          <a:extLst>
            <a:ext uri="{FF2B5EF4-FFF2-40B4-BE49-F238E27FC236}">
              <a16:creationId xmlns:a16="http://schemas.microsoft.com/office/drawing/2014/main" id="{76F5DFB8-E1F9-452C-B9B3-52259A49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20700769"/>
          <a:ext cx="188259" cy="187959"/>
        </a:xfrm>
        <a:prstGeom prst="rect">
          <a:avLst/>
        </a:prstGeom>
      </xdr:spPr>
    </xdr:pic>
    <xdr:clientData/>
  </xdr:oneCellAnchor>
  <xdr:twoCellAnchor editAs="oneCell">
    <xdr:from>
      <xdr:col>0</xdr:col>
      <xdr:colOff>365760</xdr:colOff>
      <xdr:row>74</xdr:row>
      <xdr:rowOff>114300</xdr:rowOff>
    </xdr:from>
    <xdr:to>
      <xdr:col>0</xdr:col>
      <xdr:colOff>2693500</xdr:colOff>
      <xdr:row>81</xdr:row>
      <xdr:rowOff>109260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E602D8-6681-4653-A014-5987D0E3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4919960"/>
          <a:ext cx="2327740" cy="1404660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10</xdr:row>
      <xdr:rowOff>175260</xdr:rowOff>
    </xdr:from>
    <xdr:to>
      <xdr:col>0</xdr:col>
      <xdr:colOff>2655400</xdr:colOff>
      <xdr:row>17</xdr:row>
      <xdr:rowOff>193080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812E7F6-6582-4BE2-AA15-3366A736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2171700"/>
          <a:ext cx="2327740" cy="1404660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23</xdr:row>
      <xdr:rowOff>114300</xdr:rowOff>
    </xdr:from>
    <xdr:to>
      <xdr:col>0</xdr:col>
      <xdr:colOff>2484120</xdr:colOff>
      <xdr:row>29</xdr:row>
      <xdr:rowOff>167105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7AD7059-E779-4760-A194-75F6E68E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4686300"/>
          <a:ext cx="2057400" cy="1241525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101</xdr:row>
      <xdr:rowOff>91440</xdr:rowOff>
    </xdr:from>
    <xdr:to>
      <xdr:col>0</xdr:col>
      <xdr:colOff>2579199</xdr:colOff>
      <xdr:row>108</xdr:row>
      <xdr:rowOff>109260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12C0C29-C5D6-4DC7-A5A8-299550D8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1206460"/>
          <a:ext cx="2327739" cy="140466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87</xdr:row>
      <xdr:rowOff>121920</xdr:rowOff>
    </xdr:from>
    <xdr:to>
      <xdr:col>0</xdr:col>
      <xdr:colOff>2632540</xdr:colOff>
      <xdr:row>94</xdr:row>
      <xdr:rowOff>139740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4397C0F-3121-413B-A14B-8309776F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8889980"/>
          <a:ext cx="2327740" cy="1404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235841</xdr:colOff>
      <xdr:row>5</xdr:row>
      <xdr:rowOff>180164</xdr:rowOff>
    </xdr:from>
    <xdr:to>
      <xdr:col>0</xdr:col>
      <xdr:colOff>424100</xdr:colOff>
      <xdr:row>6</xdr:row>
      <xdr:rowOff>182194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8CD6A4-E1A6-4D87-9336-14CFB4C8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1140284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235841</xdr:colOff>
      <xdr:row>87</xdr:row>
      <xdr:rowOff>180164</xdr:rowOff>
    </xdr:from>
    <xdr:to>
      <xdr:col>0</xdr:col>
      <xdr:colOff>424100</xdr:colOff>
      <xdr:row>88</xdr:row>
      <xdr:rowOff>182194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FEAA67-6F60-466C-9C79-66DAFB702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11244404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1</xdr:row>
      <xdr:rowOff>25400</xdr:rowOff>
    </xdr:from>
    <xdr:to>
      <xdr:col>0</xdr:col>
      <xdr:colOff>1394460</xdr:colOff>
      <xdr:row>5</xdr:row>
      <xdr:rowOff>30480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33DECBF-A46D-46EA-B4A7-EE588B4F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223520"/>
          <a:ext cx="1104900" cy="73660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81</xdr:row>
      <xdr:rowOff>38100</xdr:rowOff>
    </xdr:from>
    <xdr:to>
      <xdr:col>0</xdr:col>
      <xdr:colOff>1363980</xdr:colOff>
      <xdr:row>87</xdr:row>
      <xdr:rowOff>14570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90B0BDD-564B-4110-B26D-698F17FF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12291060"/>
          <a:ext cx="1028700" cy="1165190"/>
        </a:xfrm>
        <a:prstGeom prst="rect">
          <a:avLst/>
        </a:prstGeom>
      </xdr:spPr>
    </xdr:pic>
    <xdr:clientData/>
  </xdr:twoCellAnchor>
  <xdr:twoCellAnchor>
    <xdr:from>
      <xdr:col>0</xdr:col>
      <xdr:colOff>235841</xdr:colOff>
      <xdr:row>13</xdr:row>
      <xdr:rowOff>180164</xdr:rowOff>
    </xdr:from>
    <xdr:to>
      <xdr:col>0</xdr:col>
      <xdr:colOff>424100</xdr:colOff>
      <xdr:row>14</xdr:row>
      <xdr:rowOff>182194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353F761-4176-413C-9F69-D1673B899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2557604"/>
          <a:ext cx="188259" cy="200150"/>
        </a:xfrm>
        <a:prstGeom prst="rect">
          <a:avLst/>
        </a:prstGeom>
      </xdr:spPr>
    </xdr:pic>
    <xdr:clientData/>
  </xdr:twoCellAnchor>
  <xdr:oneCellAnchor>
    <xdr:from>
      <xdr:col>0</xdr:col>
      <xdr:colOff>510540</xdr:colOff>
      <xdr:row>9</xdr:row>
      <xdr:rowOff>22860</xdr:rowOff>
    </xdr:from>
    <xdr:ext cx="693420" cy="693420"/>
    <xdr:pic>
      <xdr:nvPicPr>
        <xdr:cNvPr id="10" name="Imagem 9">
          <a:extLst>
            <a:ext uri="{FF2B5EF4-FFF2-40B4-BE49-F238E27FC236}">
              <a16:creationId xmlns:a16="http://schemas.microsoft.com/office/drawing/2014/main" id="{BCBD86D7-8E17-4B89-BA27-54A003B6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1775460"/>
          <a:ext cx="693420" cy="693420"/>
        </a:xfrm>
        <a:prstGeom prst="rect">
          <a:avLst/>
        </a:prstGeom>
      </xdr:spPr>
    </xdr:pic>
    <xdr:clientData/>
  </xdr:oneCellAnchor>
  <xdr:oneCellAnchor>
    <xdr:from>
      <xdr:col>0</xdr:col>
      <xdr:colOff>449580</xdr:colOff>
      <xdr:row>33</xdr:row>
      <xdr:rowOff>38101</xdr:rowOff>
    </xdr:from>
    <xdr:ext cx="807720" cy="708660"/>
    <xdr:pic>
      <xdr:nvPicPr>
        <xdr:cNvPr id="11" name="Imagem 10">
          <a:extLst>
            <a:ext uri="{FF2B5EF4-FFF2-40B4-BE49-F238E27FC236}">
              <a16:creationId xmlns:a16="http://schemas.microsoft.com/office/drawing/2014/main" id="{C46F762B-85F4-4AE6-9280-C6C51781C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4396741"/>
          <a:ext cx="807720" cy="708660"/>
        </a:xfrm>
        <a:prstGeom prst="rect">
          <a:avLst/>
        </a:prstGeom>
      </xdr:spPr>
    </xdr:pic>
    <xdr:clientData/>
  </xdr:oneCellAnchor>
  <xdr:oneCellAnchor>
    <xdr:from>
      <xdr:col>0</xdr:col>
      <xdr:colOff>350520</xdr:colOff>
      <xdr:row>49</xdr:row>
      <xdr:rowOff>12700</xdr:rowOff>
    </xdr:from>
    <xdr:ext cx="1181100" cy="787400"/>
    <xdr:pic>
      <xdr:nvPicPr>
        <xdr:cNvPr id="12" name="Imagem 11">
          <a:extLst>
            <a:ext uri="{FF2B5EF4-FFF2-40B4-BE49-F238E27FC236}">
              <a16:creationId xmlns:a16="http://schemas.microsoft.com/office/drawing/2014/main" id="{031F16F2-1290-4254-AF60-2862D3282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5727700"/>
          <a:ext cx="1181100" cy="787400"/>
        </a:xfrm>
        <a:prstGeom prst="rect">
          <a:avLst/>
        </a:prstGeom>
      </xdr:spPr>
    </xdr:pic>
    <xdr:clientData/>
  </xdr:oneCellAnchor>
  <xdr:twoCellAnchor>
    <xdr:from>
      <xdr:col>0</xdr:col>
      <xdr:colOff>235841</xdr:colOff>
      <xdr:row>22</xdr:row>
      <xdr:rowOff>180164</xdr:rowOff>
    </xdr:from>
    <xdr:to>
      <xdr:col>0</xdr:col>
      <xdr:colOff>424100</xdr:colOff>
      <xdr:row>23</xdr:row>
      <xdr:rowOff>182194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39C79B4-82F8-4505-ABBB-F2928DA2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2557604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121920</xdr:colOff>
      <xdr:row>46</xdr:row>
      <xdr:rowOff>175260</xdr:rowOff>
    </xdr:from>
    <xdr:to>
      <xdr:col>0</xdr:col>
      <xdr:colOff>310179</xdr:colOff>
      <xdr:row>47</xdr:row>
      <xdr:rowOff>195579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40360C6-7F42-404E-A9F8-1B850772D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1920" y="7078980"/>
          <a:ext cx="188259" cy="218439"/>
        </a:xfrm>
        <a:prstGeom prst="rect">
          <a:avLst/>
        </a:prstGeom>
      </xdr:spPr>
    </xdr:pic>
    <xdr:clientData/>
  </xdr:twoCellAnchor>
  <xdr:twoCellAnchor>
    <xdr:from>
      <xdr:col>0</xdr:col>
      <xdr:colOff>388620</xdr:colOff>
      <xdr:row>40</xdr:row>
      <xdr:rowOff>30480</xdr:rowOff>
    </xdr:from>
    <xdr:to>
      <xdr:col>0</xdr:col>
      <xdr:colOff>1434084</xdr:colOff>
      <xdr:row>45</xdr:row>
      <xdr:rowOff>161544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3B26428-1B3A-418F-ADA8-4E355A888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5745480"/>
          <a:ext cx="1045464" cy="1121664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72</xdr:row>
      <xdr:rowOff>53340</xdr:rowOff>
    </xdr:from>
    <xdr:to>
      <xdr:col>0</xdr:col>
      <xdr:colOff>1371660</xdr:colOff>
      <xdr:row>77</xdr:row>
      <xdr:rowOff>182940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63B2113-C9CE-4B8B-9CF6-A46FC2DE0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13121640"/>
          <a:ext cx="1044000" cy="1120200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90</xdr:row>
      <xdr:rowOff>7620</xdr:rowOff>
    </xdr:from>
    <xdr:to>
      <xdr:col>0</xdr:col>
      <xdr:colOff>1425000</xdr:colOff>
      <xdr:row>95</xdr:row>
      <xdr:rowOff>146745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9EE37F5-5171-4694-95D4-700FD57A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4043660"/>
          <a:ext cx="1044000" cy="1129725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96</xdr:row>
      <xdr:rowOff>190500</xdr:rowOff>
    </xdr:from>
    <xdr:to>
      <xdr:col>0</xdr:col>
      <xdr:colOff>342899</xdr:colOff>
      <xdr:row>97</xdr:row>
      <xdr:rowOff>178708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A7F240BB-74AB-4315-95E0-DE8621A2E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7640" y="15415260"/>
          <a:ext cx="175259" cy="18632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56</xdr:row>
      <xdr:rowOff>114300</xdr:rowOff>
    </xdr:from>
    <xdr:to>
      <xdr:col>0</xdr:col>
      <xdr:colOff>1348800</xdr:colOff>
      <xdr:row>62</xdr:row>
      <xdr:rowOff>76260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DC143D6C-DFF8-44F2-82E8-5B5CF2970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4800" y="11201400"/>
          <a:ext cx="1044000" cy="112020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16</xdr:row>
      <xdr:rowOff>99060</xdr:rowOff>
    </xdr:from>
    <xdr:to>
      <xdr:col>0</xdr:col>
      <xdr:colOff>1418880</xdr:colOff>
      <xdr:row>21</xdr:row>
      <xdr:rowOff>153960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6C3A70-2731-4F9B-8B1F-0DD0FBF4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3268980"/>
          <a:ext cx="1083600" cy="104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25</xdr:row>
      <xdr:rowOff>91440</xdr:rowOff>
    </xdr:from>
    <xdr:to>
      <xdr:col>0</xdr:col>
      <xdr:colOff>1403640</xdr:colOff>
      <xdr:row>30</xdr:row>
      <xdr:rowOff>146340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4DCE1DD-9DC8-4240-8632-8DD2C490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5044440"/>
          <a:ext cx="1083600" cy="104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1</xdr:row>
      <xdr:rowOff>83820</xdr:rowOff>
    </xdr:from>
    <xdr:to>
      <xdr:col>0</xdr:col>
      <xdr:colOff>2066045</xdr:colOff>
      <xdr:row>7</xdr:row>
      <xdr:rowOff>60960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82097B6-F1A5-94DC-24CD-3ACC8853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1" y="2011680"/>
          <a:ext cx="2020324" cy="1135380"/>
        </a:xfrm>
        <a:prstGeom prst="rect">
          <a:avLst/>
        </a:prstGeom>
      </xdr:spPr>
    </xdr:pic>
    <xdr:clientData/>
  </xdr:twoCellAnchor>
  <xdr:twoCellAnchor>
    <xdr:from>
      <xdr:col>0</xdr:col>
      <xdr:colOff>235841</xdr:colOff>
      <xdr:row>16</xdr:row>
      <xdr:rowOff>180164</xdr:rowOff>
    </xdr:from>
    <xdr:to>
      <xdr:col>0</xdr:col>
      <xdr:colOff>424100</xdr:colOff>
      <xdr:row>17</xdr:row>
      <xdr:rowOff>182194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EF3BC5-DA19-41EB-B089-BBB894927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35841" y="1536524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335281</xdr:colOff>
      <xdr:row>10</xdr:row>
      <xdr:rowOff>22860</xdr:rowOff>
    </xdr:from>
    <xdr:to>
      <xdr:col>0</xdr:col>
      <xdr:colOff>1639748</xdr:colOff>
      <xdr:row>15</xdr:row>
      <xdr:rowOff>106680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66B015-C556-41AF-92E6-2DDA3893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1" y="1950720"/>
          <a:ext cx="1304467" cy="1059180"/>
        </a:xfrm>
        <a:prstGeom prst="rect">
          <a:avLst/>
        </a:prstGeom>
      </xdr:spPr>
    </xdr:pic>
    <xdr:clientData/>
  </xdr:twoCellAnchor>
  <xdr:twoCellAnchor>
    <xdr:from>
      <xdr:col>0</xdr:col>
      <xdr:colOff>235841</xdr:colOff>
      <xdr:row>25</xdr:row>
      <xdr:rowOff>180164</xdr:rowOff>
    </xdr:from>
    <xdr:to>
      <xdr:col>0</xdr:col>
      <xdr:colOff>424100</xdr:colOff>
      <xdr:row>26</xdr:row>
      <xdr:rowOff>182194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B323F15-4E67-4E9F-9194-095A42B6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35841" y="3662504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510540</xdr:colOff>
      <xdr:row>19</xdr:row>
      <xdr:rowOff>91440</xdr:rowOff>
    </xdr:from>
    <xdr:to>
      <xdr:col>0</xdr:col>
      <xdr:colOff>1554540</xdr:colOff>
      <xdr:row>24</xdr:row>
      <xdr:rowOff>190560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04996F9-2648-4942-B826-24C12A203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2415540"/>
          <a:ext cx="1044000" cy="1089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37</xdr:row>
      <xdr:rowOff>152400</xdr:rowOff>
    </xdr:from>
    <xdr:to>
      <xdr:col>0</xdr:col>
      <xdr:colOff>2560466</xdr:colOff>
      <xdr:row>43</xdr:row>
      <xdr:rowOff>167640</xdr:rowOff>
    </xdr:to>
    <xdr:pic>
      <xdr:nvPicPr>
        <xdr:cNvPr id="12" name="Imagem 11" descr="Sofá com almofadas&#10;&#10;Descrição gerada automaticamente">
          <a:extLst>
            <a:ext uri="{FF2B5EF4-FFF2-40B4-BE49-F238E27FC236}">
              <a16:creationId xmlns:a16="http://schemas.microsoft.com/office/drawing/2014/main" id="{9FCCF8B6-2E46-CA20-4FE1-D7C06CB5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9730740"/>
          <a:ext cx="2423306" cy="1203960"/>
        </a:xfrm>
        <a:prstGeom prst="rect">
          <a:avLst/>
        </a:prstGeom>
      </xdr:spPr>
    </xdr:pic>
    <xdr:clientData/>
  </xdr:twoCellAnchor>
  <xdr:oneCellAnchor>
    <xdr:from>
      <xdr:col>0</xdr:col>
      <xdr:colOff>167640</xdr:colOff>
      <xdr:row>12</xdr:row>
      <xdr:rowOff>121920</xdr:rowOff>
    </xdr:from>
    <xdr:ext cx="2241527" cy="1411620"/>
    <xdr:pic>
      <xdr:nvPicPr>
        <xdr:cNvPr id="4" name="Imagem 3">
          <a:extLst>
            <a:ext uri="{FF2B5EF4-FFF2-40B4-BE49-F238E27FC236}">
              <a16:creationId xmlns:a16="http://schemas.microsoft.com/office/drawing/2014/main" id="{E2670603-3384-4805-8132-79728279A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7640" y="320040"/>
          <a:ext cx="2241527" cy="141162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1</xdr:row>
      <xdr:rowOff>106680</xdr:rowOff>
    </xdr:from>
    <xdr:to>
      <xdr:col>0</xdr:col>
      <xdr:colOff>2442040</xdr:colOff>
      <xdr:row>8</xdr:row>
      <xdr:rowOff>111165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5D1520-DEF0-42A1-B0A9-04C2C3B03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4800"/>
          <a:ext cx="2327740" cy="13913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25</xdr:row>
      <xdr:rowOff>22860</xdr:rowOff>
    </xdr:from>
    <xdr:to>
      <xdr:col>0</xdr:col>
      <xdr:colOff>2487760</xdr:colOff>
      <xdr:row>32</xdr:row>
      <xdr:rowOff>27345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3792BA-8E9C-4D0D-893C-AD0B65C80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090160"/>
          <a:ext cx="2327740" cy="1391325"/>
        </a:xfrm>
        <a:prstGeom prst="rect">
          <a:avLst/>
        </a:prstGeom>
      </xdr:spPr>
    </xdr:pic>
    <xdr:clientData/>
  </xdr:twoCellAnchor>
  <xdr:twoCellAnchor>
    <xdr:from>
      <xdr:col>0</xdr:col>
      <xdr:colOff>716280</xdr:colOff>
      <xdr:row>35</xdr:row>
      <xdr:rowOff>0</xdr:rowOff>
    </xdr:from>
    <xdr:to>
      <xdr:col>0</xdr:col>
      <xdr:colOff>904539</xdr:colOff>
      <xdr:row>36</xdr:row>
      <xdr:rowOff>2030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DCFF79D-FD4A-45DC-97CF-2B2B2C347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716280" y="8610600"/>
          <a:ext cx="188259" cy="200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44</xdr:row>
      <xdr:rowOff>50800</xdr:rowOff>
    </xdr:from>
    <xdr:ext cx="1478280" cy="985520"/>
    <xdr:pic>
      <xdr:nvPicPr>
        <xdr:cNvPr id="5" name="Imagem 4">
          <a:extLst>
            <a:ext uri="{FF2B5EF4-FFF2-40B4-BE49-F238E27FC236}">
              <a16:creationId xmlns:a16="http://schemas.microsoft.com/office/drawing/2014/main" id="{B94FB896-4D01-47D2-BFDB-59B20138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48920"/>
          <a:ext cx="1478280" cy="985520"/>
        </a:xfrm>
        <a:prstGeom prst="rect">
          <a:avLst/>
        </a:prstGeom>
      </xdr:spPr>
    </xdr:pic>
    <xdr:clientData/>
  </xdr:oneCellAnchor>
  <xdr:twoCellAnchor editAs="oneCell">
    <xdr:from>
      <xdr:col>0</xdr:col>
      <xdr:colOff>327660</xdr:colOff>
      <xdr:row>10</xdr:row>
      <xdr:rowOff>0</xdr:rowOff>
    </xdr:from>
    <xdr:to>
      <xdr:col>0</xdr:col>
      <xdr:colOff>1422060</xdr:colOff>
      <xdr:row>15</xdr:row>
      <xdr:rowOff>56175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ED642B-F542-4290-BE50-0D01D8AC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1950720"/>
          <a:ext cx="1094400" cy="1046775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15</xdr:row>
      <xdr:rowOff>188470</xdr:rowOff>
    </xdr:from>
    <xdr:to>
      <xdr:col>0</xdr:col>
      <xdr:colOff>412760</xdr:colOff>
      <xdr:row>17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6F2807-2591-4283-A4DF-D68C4546F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4356610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18</xdr:row>
      <xdr:rowOff>76200</xdr:rowOff>
    </xdr:from>
    <xdr:to>
      <xdr:col>0</xdr:col>
      <xdr:colOff>1353480</xdr:colOff>
      <xdr:row>23</xdr:row>
      <xdr:rowOff>132375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CBA98D3-16D0-4123-AEF9-AB844AA7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627120"/>
          <a:ext cx="1094400" cy="1046775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24</xdr:row>
      <xdr:rowOff>188470</xdr:rowOff>
    </xdr:from>
    <xdr:to>
      <xdr:col>0</xdr:col>
      <xdr:colOff>412760</xdr:colOff>
      <xdr:row>26</xdr:row>
      <xdr:rowOff>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1D444B0-606E-433F-9AF9-79B02C6E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7800850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24</xdr:row>
      <xdr:rowOff>188470</xdr:rowOff>
    </xdr:from>
    <xdr:to>
      <xdr:col>0</xdr:col>
      <xdr:colOff>412760</xdr:colOff>
      <xdr:row>26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A846375-FD97-458B-804C-B5236557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7800850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24</xdr:row>
      <xdr:rowOff>188470</xdr:rowOff>
    </xdr:from>
    <xdr:to>
      <xdr:col>0</xdr:col>
      <xdr:colOff>412760</xdr:colOff>
      <xdr:row>26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12F4DE7-2778-47D4-ABCD-A8F5C719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7800850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27</xdr:row>
      <xdr:rowOff>99060</xdr:rowOff>
    </xdr:from>
    <xdr:to>
      <xdr:col>0</xdr:col>
      <xdr:colOff>1383960</xdr:colOff>
      <xdr:row>32</xdr:row>
      <xdr:rowOff>155235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025E54-FC27-4A53-97BC-8558A21BC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5448300"/>
          <a:ext cx="1094400" cy="1046775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36</xdr:row>
      <xdr:rowOff>30703</xdr:rowOff>
    </xdr:from>
    <xdr:to>
      <xdr:col>0</xdr:col>
      <xdr:colOff>1310640</xdr:colOff>
      <xdr:row>40</xdr:row>
      <xdr:rowOff>185715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1E448E2-D8BD-43F9-B1A5-F9C5A989F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7163023"/>
          <a:ext cx="990600" cy="947492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41</xdr:row>
      <xdr:rowOff>188470</xdr:rowOff>
    </xdr:from>
    <xdr:to>
      <xdr:col>0</xdr:col>
      <xdr:colOff>412760</xdr:colOff>
      <xdr:row>43</xdr:row>
      <xdr:rowOff>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BD8A694-EDA5-442F-A540-62FF3123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9522970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41</xdr:row>
      <xdr:rowOff>188470</xdr:rowOff>
    </xdr:from>
    <xdr:to>
      <xdr:col>0</xdr:col>
      <xdr:colOff>412760</xdr:colOff>
      <xdr:row>43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62212E8-C331-4CF7-AAF9-ED72BBCA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9522970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41</xdr:row>
      <xdr:rowOff>188470</xdr:rowOff>
    </xdr:from>
    <xdr:to>
      <xdr:col>0</xdr:col>
      <xdr:colOff>412760</xdr:colOff>
      <xdr:row>43</xdr:row>
      <xdr:rowOff>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ABE7B79-5EFA-4D0F-82EA-D0AAF2EB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9522970"/>
          <a:ext cx="188259" cy="200150"/>
        </a:xfrm>
        <a:prstGeom prst="rect">
          <a:avLst/>
        </a:prstGeom>
      </xdr:spPr>
    </xdr:pic>
    <xdr:clientData/>
  </xdr:twoCellAnchor>
  <xdr:twoCellAnchor>
    <xdr:from>
      <xdr:col>0</xdr:col>
      <xdr:colOff>224501</xdr:colOff>
      <xdr:row>41</xdr:row>
      <xdr:rowOff>188470</xdr:rowOff>
    </xdr:from>
    <xdr:to>
      <xdr:col>0</xdr:col>
      <xdr:colOff>412760</xdr:colOff>
      <xdr:row>43</xdr:row>
      <xdr:rowOff>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2066B10-2B76-41DA-8260-75DE182A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24501" y="9522970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</xdr:row>
      <xdr:rowOff>7621</xdr:rowOff>
    </xdr:from>
    <xdr:to>
      <xdr:col>0</xdr:col>
      <xdr:colOff>1346702</xdr:colOff>
      <xdr:row>6</xdr:row>
      <xdr:rowOff>7621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A8C37BB-F2C5-4783-AC7E-7E2EB2733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05741"/>
          <a:ext cx="1003802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joaodemele/" TargetMode="External"/><Relationship Id="rId3" Type="http://schemas.openxmlformats.org/officeDocument/2006/relationships/hyperlink" Target="https://www.instagram.com/joaodemele/" TargetMode="External"/><Relationship Id="rId7" Type="http://schemas.openxmlformats.org/officeDocument/2006/relationships/hyperlink" Target="https://www.instagram.com/joaodemele/" TargetMode="External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joaodemele/" TargetMode="External"/><Relationship Id="rId6" Type="http://schemas.openxmlformats.org/officeDocument/2006/relationships/hyperlink" Target="https://www.instagram.com/joaodemele/" TargetMode="External"/><Relationship Id="rId5" Type="http://schemas.openxmlformats.org/officeDocument/2006/relationships/hyperlink" Target="https://www.instagram.com/joaodemele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instagram.com/joaodemele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luciano_santelli/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www.instagram.com/joaodemele/" TargetMode="External"/><Relationship Id="rId7" Type="http://schemas.openxmlformats.org/officeDocument/2006/relationships/hyperlink" Target="https://www.instagram.com/luciano_santelli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estudiogalho/" TargetMode="External"/><Relationship Id="rId6" Type="http://schemas.openxmlformats.org/officeDocument/2006/relationships/hyperlink" Target="https://www.instagram.com/joaodemele/" TargetMode="External"/><Relationship Id="rId11" Type="http://schemas.openxmlformats.org/officeDocument/2006/relationships/hyperlink" Target="https://www.instagram.com/joaodemele/" TargetMode="External"/><Relationship Id="rId5" Type="http://schemas.openxmlformats.org/officeDocument/2006/relationships/hyperlink" Target="https://www.instagram.com/joaodemele/" TargetMode="External"/><Relationship Id="rId10" Type="http://schemas.openxmlformats.org/officeDocument/2006/relationships/hyperlink" Target="https://www.instagram.com/carlosarralde/" TargetMode="External"/><Relationship Id="rId4" Type="http://schemas.openxmlformats.org/officeDocument/2006/relationships/hyperlink" Target="https://www.instagram.com/joaodemele/" TargetMode="External"/><Relationship Id="rId9" Type="http://schemas.openxmlformats.org/officeDocument/2006/relationships/hyperlink" Target="https://www.instagram.com/joaodemel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joaodemele/" TargetMode="External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joaodemele/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instagram.com/koyohome_/" TargetMode="External"/><Relationship Id="rId1" Type="http://schemas.openxmlformats.org/officeDocument/2006/relationships/hyperlink" Target="https://lociks.design/?utm_source=ig&amp;utm_medium=social&amp;utm_content=link_in_bio&amp;fbclid=PAZXh0bgNhZW0CMTEAc3J0YwZhcHBfaWQMMjU2MjgxMDQwNTU4AAGn7GLTyIGozUzZq2TZd8EDL9nS3UwK052nTwrhWJfCX_hXyOYy9XGaAN5oJA0_aem_AMMiCFw3MXZRMRlGZ6H69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www.instagram.com/ambosestudio/tagged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joaodemele/" TargetMode="External"/><Relationship Id="rId6" Type="http://schemas.openxmlformats.org/officeDocument/2006/relationships/hyperlink" Target="https://www.instagram.com/ambosestudio/tagged/" TargetMode="External"/><Relationship Id="rId5" Type="http://schemas.openxmlformats.org/officeDocument/2006/relationships/hyperlink" Target="https://lociks.design/?utm_source=ig&amp;utm_medium=social&amp;utm_content=link_in_bio&amp;fbclid=PAZXh0bgNhZW0CMTEAc3J0YwZhcHBfaWQMMjU2MjgxMDQwNTU4AAGn7GLTyIGozUzZq2TZd8EDL9nS3UwK052nTwrhWJfCX_hXyOYy9XGaAN5oJA0_aem_AMMiCFw3MXZRMRlGZ6H69g" TargetMode="External"/><Relationship Id="rId4" Type="http://schemas.openxmlformats.org/officeDocument/2006/relationships/hyperlink" Target="https://www.instagram.com/ambosestudio/tagg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127C-0EEC-437A-8A73-F1029A2AD512}">
  <dimension ref="A1:G112"/>
  <sheetViews>
    <sheetView topLeftCell="A93" zoomScaleNormal="100" workbookViewId="0">
      <selection activeCell="F104" sqref="F104"/>
    </sheetView>
  </sheetViews>
  <sheetFormatPr defaultRowHeight="15.6" x14ac:dyDescent="0.3"/>
  <cols>
    <col min="1" max="1" width="43.21875" style="14" bestFit="1" customWidth="1"/>
    <col min="2" max="2" width="48.21875" style="14" bestFit="1" customWidth="1"/>
    <col min="3" max="4" width="10" style="14" customWidth="1"/>
    <col min="5" max="5" width="9.44140625" style="14" customWidth="1"/>
    <col min="6" max="6" width="11.109375" style="14" customWidth="1"/>
    <col min="7" max="7" width="16.5546875" style="75" customWidth="1"/>
    <col min="8" max="16384" width="8.88671875" style="14"/>
  </cols>
  <sheetData>
    <row r="1" spans="1:7" x14ac:dyDescent="0.3">
      <c r="A1" s="9" t="s">
        <v>53</v>
      </c>
      <c r="B1" s="10" t="s">
        <v>0</v>
      </c>
      <c r="C1" s="11" t="s">
        <v>1</v>
      </c>
      <c r="D1" s="11" t="s">
        <v>2</v>
      </c>
      <c r="E1" s="12" t="s">
        <v>3</v>
      </c>
      <c r="F1" s="55" t="s">
        <v>55</v>
      </c>
      <c r="G1" s="68" t="s">
        <v>52</v>
      </c>
    </row>
    <row r="2" spans="1:7" x14ac:dyDescent="0.3">
      <c r="A2" s="91"/>
      <c r="B2" s="92" t="s">
        <v>169</v>
      </c>
      <c r="C2" s="93">
        <v>2.5</v>
      </c>
      <c r="D2" s="94">
        <v>1.38</v>
      </c>
      <c r="E2" s="94">
        <v>0.79</v>
      </c>
      <c r="F2" s="56">
        <v>4288</v>
      </c>
      <c r="G2" s="80">
        <v>4288</v>
      </c>
    </row>
    <row r="3" spans="1:7" x14ac:dyDescent="0.3">
      <c r="A3" s="2"/>
      <c r="B3" s="92"/>
      <c r="C3" s="92"/>
      <c r="D3" s="92"/>
      <c r="E3" s="92"/>
      <c r="F3" s="56"/>
      <c r="G3" s="71"/>
    </row>
    <row r="4" spans="1:7" x14ac:dyDescent="0.3">
      <c r="A4" s="2"/>
      <c r="B4" s="92"/>
      <c r="C4" s="92"/>
      <c r="D4" s="92"/>
      <c r="E4" s="92"/>
      <c r="F4" s="56"/>
      <c r="G4" s="71"/>
    </row>
    <row r="5" spans="1:7" x14ac:dyDescent="0.3">
      <c r="A5" s="2"/>
      <c r="B5" s="149" t="s">
        <v>56</v>
      </c>
      <c r="C5" s="143" t="s">
        <v>61</v>
      </c>
      <c r="D5" s="144"/>
      <c r="E5" s="145"/>
      <c r="F5" s="56"/>
      <c r="G5" s="71"/>
    </row>
    <row r="6" spans="1:7" x14ac:dyDescent="0.3">
      <c r="A6" s="2"/>
      <c r="B6" s="149"/>
      <c r="C6" s="146"/>
      <c r="D6" s="147"/>
      <c r="E6" s="148"/>
      <c r="F6" s="56"/>
      <c r="G6" s="71"/>
    </row>
    <row r="7" spans="1:7" x14ac:dyDescent="0.3">
      <c r="A7" s="2"/>
      <c r="B7" s="92"/>
      <c r="C7" s="92"/>
      <c r="D7" s="92"/>
      <c r="E7" s="92"/>
      <c r="F7" s="56"/>
      <c r="G7" s="71"/>
    </row>
    <row r="8" spans="1:7" ht="18" x14ac:dyDescent="0.35">
      <c r="A8" s="2"/>
      <c r="B8" s="111" t="s">
        <v>106</v>
      </c>
      <c r="C8" s="92"/>
      <c r="D8" s="92"/>
      <c r="E8" s="92"/>
      <c r="F8" s="56"/>
      <c r="G8" s="71"/>
    </row>
    <row r="9" spans="1:7" x14ac:dyDescent="0.3">
      <c r="A9" s="90" t="s">
        <v>54</v>
      </c>
      <c r="B9" s="92"/>
      <c r="C9" s="92"/>
      <c r="D9" s="92"/>
      <c r="E9" s="92"/>
      <c r="F9" s="56">
        <f t="shared" ref="F9:G9" si="0">SUM(F2:F8)</f>
        <v>4288</v>
      </c>
      <c r="G9" s="80">
        <f t="shared" si="0"/>
        <v>4288</v>
      </c>
    </row>
    <row r="10" spans="1:7" ht="14.4" customHeight="1" x14ac:dyDescent="0.3">
      <c r="A10" s="9" t="s">
        <v>57</v>
      </c>
      <c r="B10" s="10" t="s">
        <v>0</v>
      </c>
      <c r="C10" s="11" t="s">
        <v>1</v>
      </c>
      <c r="D10" s="11" t="s">
        <v>2</v>
      </c>
      <c r="E10" s="12" t="s">
        <v>3</v>
      </c>
      <c r="F10" s="55" t="s">
        <v>42</v>
      </c>
      <c r="G10" s="68" t="s">
        <v>52</v>
      </c>
    </row>
    <row r="11" spans="1:7" x14ac:dyDescent="0.3">
      <c r="A11" s="15"/>
      <c r="B11" s="96" t="s">
        <v>59</v>
      </c>
      <c r="C11" s="17">
        <v>1.2</v>
      </c>
      <c r="D11" s="17">
        <v>1</v>
      </c>
      <c r="E11" s="39">
        <v>0.82</v>
      </c>
      <c r="F11" s="56">
        <v>2343</v>
      </c>
      <c r="G11" s="80">
        <v>2187</v>
      </c>
    </row>
    <row r="12" spans="1:7" x14ac:dyDescent="0.3">
      <c r="A12" s="19"/>
      <c r="B12" s="96" t="s">
        <v>60</v>
      </c>
      <c r="C12" s="17">
        <v>0.9</v>
      </c>
      <c r="D12" s="17">
        <v>1</v>
      </c>
      <c r="E12" s="39">
        <v>0.82</v>
      </c>
      <c r="F12" s="56">
        <v>1981</v>
      </c>
      <c r="G12" s="80">
        <v>1852</v>
      </c>
    </row>
    <row r="13" spans="1:7" x14ac:dyDescent="0.3">
      <c r="A13" s="19"/>
      <c r="B13" s="96" t="s">
        <v>59</v>
      </c>
      <c r="C13" s="17">
        <v>1.2</v>
      </c>
      <c r="D13" s="17">
        <v>1</v>
      </c>
      <c r="E13" s="39">
        <v>0.82</v>
      </c>
      <c r="F13" s="56">
        <v>2343</v>
      </c>
      <c r="G13" s="80">
        <v>2187</v>
      </c>
    </row>
    <row r="14" spans="1:7" x14ac:dyDescent="0.3">
      <c r="A14" s="19"/>
      <c r="B14" s="96"/>
      <c r="C14" s="17"/>
      <c r="D14" s="17"/>
      <c r="E14" s="39"/>
      <c r="F14" s="56"/>
      <c r="G14" s="71"/>
    </row>
    <row r="15" spans="1:7" x14ac:dyDescent="0.3">
      <c r="A15" s="19"/>
      <c r="B15" s="96"/>
      <c r="C15" s="17"/>
      <c r="D15" s="17"/>
      <c r="E15" s="39"/>
      <c r="F15" s="56"/>
      <c r="G15" s="71"/>
    </row>
    <row r="16" spans="1:7" x14ac:dyDescent="0.3">
      <c r="A16" s="19"/>
      <c r="B16" s="96"/>
      <c r="C16" s="17"/>
      <c r="D16" s="17"/>
      <c r="E16" s="39"/>
      <c r="F16" s="56"/>
      <c r="G16" s="71"/>
    </row>
    <row r="17" spans="1:7" x14ac:dyDescent="0.3">
      <c r="A17" s="19"/>
      <c r="B17" s="96"/>
      <c r="C17" s="17"/>
      <c r="D17" s="17"/>
      <c r="E17" s="39"/>
      <c r="F17" s="56"/>
      <c r="G17" s="71"/>
    </row>
    <row r="18" spans="1:7" x14ac:dyDescent="0.3">
      <c r="A18" s="97"/>
      <c r="B18" s="132" t="s">
        <v>74</v>
      </c>
      <c r="C18" s="143" t="s">
        <v>70</v>
      </c>
      <c r="D18" s="144"/>
      <c r="E18" s="145"/>
      <c r="F18" s="56"/>
      <c r="G18" s="71"/>
    </row>
    <row r="19" spans="1:7" x14ac:dyDescent="0.3">
      <c r="A19" s="98"/>
      <c r="B19" s="132"/>
      <c r="C19" s="146"/>
      <c r="D19" s="147"/>
      <c r="E19" s="148"/>
      <c r="F19" s="57"/>
      <c r="G19" s="71"/>
    </row>
    <row r="20" spans="1:7" ht="15.6" customHeight="1" x14ac:dyDescent="0.3">
      <c r="A20" s="90" t="s">
        <v>58</v>
      </c>
      <c r="B20" s="16"/>
      <c r="C20" s="23"/>
      <c r="D20" s="23"/>
      <c r="E20" s="44"/>
      <c r="F20" s="58"/>
      <c r="G20" s="71"/>
    </row>
    <row r="21" spans="1:7" ht="15.6" customHeight="1" x14ac:dyDescent="0.3">
      <c r="A21" s="3" t="s">
        <v>9</v>
      </c>
      <c r="B21" s="96"/>
      <c r="C21" s="133" t="s">
        <v>43</v>
      </c>
      <c r="D21" s="134"/>
      <c r="E21" s="135"/>
      <c r="F21" s="139">
        <f t="shared" ref="F21:G21" si="1">SUM(F11:F20)</f>
        <v>6667</v>
      </c>
      <c r="G21" s="141">
        <f t="shared" si="1"/>
        <v>6226</v>
      </c>
    </row>
    <row r="22" spans="1:7" x14ac:dyDescent="0.3">
      <c r="A22" s="7" t="s">
        <v>10</v>
      </c>
      <c r="B22" s="16"/>
      <c r="C22" s="136"/>
      <c r="D22" s="137"/>
      <c r="E22" s="138"/>
      <c r="F22" s="140"/>
      <c r="G22" s="142"/>
    </row>
    <row r="23" spans="1:7" x14ac:dyDescent="0.3">
      <c r="A23" s="9" t="s">
        <v>62</v>
      </c>
      <c r="B23" s="10" t="s">
        <v>0</v>
      </c>
      <c r="C23" s="11" t="s">
        <v>1</v>
      </c>
      <c r="D23" s="11" t="s">
        <v>2</v>
      </c>
      <c r="E23" s="12" t="s">
        <v>3</v>
      </c>
      <c r="F23" s="55" t="s">
        <v>4</v>
      </c>
      <c r="G23" s="68" t="s">
        <v>52</v>
      </c>
    </row>
    <row r="24" spans="1:7" x14ac:dyDescent="0.3">
      <c r="A24" s="15"/>
      <c r="B24" s="54" t="s">
        <v>155</v>
      </c>
      <c r="C24" s="17">
        <v>1.5</v>
      </c>
      <c r="D24" s="17">
        <v>1.18</v>
      </c>
      <c r="E24" s="39">
        <v>0.76</v>
      </c>
      <c r="F24" s="59">
        <v>3082</v>
      </c>
      <c r="G24" s="70">
        <v>2658</v>
      </c>
    </row>
    <row r="25" spans="1:7" x14ac:dyDescent="0.3">
      <c r="A25" s="19"/>
      <c r="B25" s="54" t="s">
        <v>156</v>
      </c>
      <c r="C25" s="17">
        <v>2</v>
      </c>
      <c r="D25" s="17">
        <v>1.18</v>
      </c>
      <c r="E25" s="39">
        <v>0.76</v>
      </c>
      <c r="F25" s="59">
        <v>4911</v>
      </c>
      <c r="G25" s="70">
        <v>4277</v>
      </c>
    </row>
    <row r="26" spans="1:7" x14ac:dyDescent="0.3">
      <c r="A26" s="19"/>
      <c r="B26" s="54" t="s">
        <v>157</v>
      </c>
      <c r="C26" s="17">
        <v>2.15</v>
      </c>
      <c r="D26" s="17">
        <v>1.6</v>
      </c>
      <c r="E26" s="39">
        <v>0.76</v>
      </c>
      <c r="F26" s="59">
        <v>6258</v>
      </c>
      <c r="G26" s="70">
        <v>5797</v>
      </c>
    </row>
    <row r="27" spans="1:7" x14ac:dyDescent="0.3">
      <c r="A27" s="19"/>
      <c r="B27" s="16"/>
      <c r="C27" s="17"/>
      <c r="D27" s="17"/>
      <c r="E27" s="39"/>
      <c r="F27" s="59"/>
      <c r="G27" s="70"/>
    </row>
    <row r="28" spans="1:7" x14ac:dyDescent="0.3">
      <c r="A28" s="19"/>
      <c r="B28" s="16"/>
      <c r="C28" s="17"/>
      <c r="D28" s="17"/>
      <c r="E28" s="39"/>
      <c r="F28" s="59"/>
      <c r="G28" s="70"/>
    </row>
    <row r="29" spans="1:7" x14ac:dyDescent="0.3">
      <c r="A29" s="19"/>
      <c r="B29" s="16"/>
      <c r="C29" s="17"/>
      <c r="D29" s="17"/>
      <c r="E29" s="39"/>
      <c r="F29" s="59"/>
      <c r="G29" s="70"/>
    </row>
    <row r="30" spans="1:7" x14ac:dyDescent="0.3">
      <c r="A30" s="19"/>
      <c r="B30" s="16"/>
      <c r="C30" s="17"/>
      <c r="D30" s="17"/>
      <c r="E30" s="39"/>
      <c r="F30" s="59"/>
      <c r="G30" s="70"/>
    </row>
    <row r="31" spans="1:7" x14ac:dyDescent="0.3">
      <c r="A31" s="4" t="s">
        <v>158</v>
      </c>
      <c r="B31" s="149" t="s">
        <v>63</v>
      </c>
      <c r="C31" s="143" t="s">
        <v>174</v>
      </c>
      <c r="D31" s="144"/>
      <c r="E31" s="145"/>
      <c r="F31" s="59"/>
      <c r="G31" s="70"/>
    </row>
    <row r="32" spans="1:7" x14ac:dyDescent="0.3">
      <c r="A32" s="4" t="s">
        <v>159</v>
      </c>
      <c r="B32" s="149"/>
      <c r="C32" s="146"/>
      <c r="D32" s="147"/>
      <c r="E32" s="148"/>
      <c r="F32" s="57"/>
      <c r="G32" s="76"/>
    </row>
    <row r="33" spans="1:7" ht="14.4" customHeight="1" x14ac:dyDescent="0.3">
      <c r="A33" s="4" t="s">
        <v>160</v>
      </c>
      <c r="B33" s="16"/>
      <c r="C33" s="17"/>
      <c r="D33" s="17"/>
      <c r="E33" s="45"/>
      <c r="F33" s="63"/>
      <c r="G33" s="77"/>
    </row>
    <row r="34" spans="1:7" ht="14.4" customHeight="1" x14ac:dyDescent="0.3">
      <c r="A34" s="21" t="s">
        <v>9</v>
      </c>
      <c r="B34" s="16"/>
      <c r="C34" s="133" t="s">
        <v>43</v>
      </c>
      <c r="D34" s="134"/>
      <c r="E34" s="135"/>
      <c r="F34" s="139">
        <f t="shared" ref="F34:G34" si="2">SUM(F24:F33)</f>
        <v>14251</v>
      </c>
      <c r="G34" s="141">
        <f t="shared" si="2"/>
        <v>12732</v>
      </c>
    </row>
    <row r="35" spans="1:7" ht="15.6" customHeight="1" x14ac:dyDescent="0.3">
      <c r="A35" s="22" t="s">
        <v>51</v>
      </c>
      <c r="B35" s="16"/>
      <c r="C35" s="136"/>
      <c r="D35" s="137"/>
      <c r="E35" s="138"/>
      <c r="F35" s="140"/>
      <c r="G35" s="142"/>
    </row>
    <row r="36" spans="1:7" x14ac:dyDescent="0.3">
      <c r="A36" s="9" t="s">
        <v>64</v>
      </c>
      <c r="B36" s="10" t="s">
        <v>0</v>
      </c>
      <c r="C36" s="11" t="s">
        <v>1</v>
      </c>
      <c r="D36" s="11" t="s">
        <v>2</v>
      </c>
      <c r="E36" s="12" t="s">
        <v>3</v>
      </c>
      <c r="F36" s="55" t="s">
        <v>7</v>
      </c>
      <c r="G36" s="68" t="s">
        <v>52</v>
      </c>
    </row>
    <row r="37" spans="1:7" x14ac:dyDescent="0.3">
      <c r="A37" s="19"/>
      <c r="B37" s="49" t="s">
        <v>68</v>
      </c>
      <c r="C37" s="40">
        <v>2.6</v>
      </c>
      <c r="D37" s="40">
        <v>1.85</v>
      </c>
      <c r="E37" s="39">
        <v>0.92</v>
      </c>
      <c r="F37" s="56">
        <v>7988</v>
      </c>
      <c r="G37" s="78">
        <v>5565</v>
      </c>
    </row>
    <row r="38" spans="1:7" x14ac:dyDescent="0.3">
      <c r="A38" s="19"/>
      <c r="B38" s="49" t="s">
        <v>66</v>
      </c>
      <c r="C38" s="40">
        <v>2</v>
      </c>
      <c r="D38" s="40">
        <v>1.1200000000000001</v>
      </c>
      <c r="E38" s="39">
        <v>0.92</v>
      </c>
      <c r="F38" s="56">
        <v>4708</v>
      </c>
      <c r="G38" s="78">
        <v>3102</v>
      </c>
    </row>
    <row r="39" spans="1:7" x14ac:dyDescent="0.3">
      <c r="A39" s="19"/>
      <c r="B39" s="49" t="s">
        <v>69</v>
      </c>
      <c r="C39" s="40">
        <v>1.85</v>
      </c>
      <c r="D39" s="40">
        <v>1.85</v>
      </c>
      <c r="E39" s="39">
        <v>0.92</v>
      </c>
      <c r="F39" s="56">
        <v>5963</v>
      </c>
      <c r="G39" s="78">
        <v>3995</v>
      </c>
    </row>
    <row r="40" spans="1:7" x14ac:dyDescent="0.3">
      <c r="A40" s="19"/>
      <c r="B40" s="49" t="s">
        <v>66</v>
      </c>
      <c r="C40" s="40">
        <v>2</v>
      </c>
      <c r="D40" s="40">
        <v>1.1200000000000001</v>
      </c>
      <c r="E40" s="39">
        <v>0.92</v>
      </c>
      <c r="F40" s="56">
        <v>4708</v>
      </c>
      <c r="G40" s="78">
        <v>3102</v>
      </c>
    </row>
    <row r="41" spans="1:7" x14ac:dyDescent="0.3">
      <c r="A41" s="19"/>
      <c r="B41" s="49" t="s">
        <v>67</v>
      </c>
      <c r="C41" s="40">
        <v>1.25</v>
      </c>
      <c r="D41" s="40">
        <v>1.6</v>
      </c>
      <c r="E41" s="39">
        <v>0.92</v>
      </c>
      <c r="F41" s="56">
        <v>4646</v>
      </c>
      <c r="G41" s="78">
        <v>3052</v>
      </c>
    </row>
    <row r="42" spans="1:7" x14ac:dyDescent="0.3">
      <c r="A42" s="19"/>
      <c r="B42" s="49"/>
      <c r="C42" s="40"/>
      <c r="D42" s="40"/>
      <c r="E42" s="39"/>
      <c r="F42" s="56"/>
      <c r="G42" s="78"/>
    </row>
    <row r="43" spans="1:7" x14ac:dyDescent="0.3">
      <c r="A43" s="19"/>
      <c r="B43" s="49"/>
      <c r="C43" s="40"/>
      <c r="D43" s="40"/>
      <c r="E43" s="39"/>
      <c r="F43" s="56"/>
      <c r="G43" s="78"/>
    </row>
    <row r="44" spans="1:7" x14ac:dyDescent="0.3">
      <c r="A44" s="19"/>
      <c r="B44" s="149" t="s">
        <v>65</v>
      </c>
      <c r="C44" s="143" t="s">
        <v>173</v>
      </c>
      <c r="D44" s="144"/>
      <c r="E44" s="145"/>
      <c r="F44" s="56"/>
      <c r="G44" s="78"/>
    </row>
    <row r="45" spans="1:7" x14ac:dyDescent="0.3">
      <c r="A45" s="38"/>
      <c r="B45" s="149"/>
      <c r="C45" s="146"/>
      <c r="D45" s="147"/>
      <c r="E45" s="148"/>
      <c r="F45" s="56"/>
      <c r="G45" s="78"/>
    </row>
    <row r="46" spans="1:7" x14ac:dyDescent="0.3">
      <c r="A46" s="19"/>
      <c r="B46" s="49"/>
      <c r="C46" s="47"/>
      <c r="D46" s="47"/>
      <c r="E46" s="39"/>
      <c r="F46" s="56"/>
      <c r="G46" s="78"/>
    </row>
    <row r="47" spans="1:7" ht="15.6" customHeight="1" x14ac:dyDescent="0.3">
      <c r="A47" s="21" t="s">
        <v>9</v>
      </c>
      <c r="B47" s="49"/>
      <c r="C47" s="133" t="s">
        <v>43</v>
      </c>
      <c r="D47" s="134"/>
      <c r="E47" s="135"/>
      <c r="F47" s="139">
        <f t="shared" ref="F47:G47" si="3">SUM(F37:F46)</f>
        <v>28013</v>
      </c>
      <c r="G47" s="141">
        <f t="shared" si="3"/>
        <v>18816</v>
      </c>
    </row>
    <row r="48" spans="1:7" ht="14.4" customHeight="1" x14ac:dyDescent="0.3">
      <c r="A48" s="7" t="s">
        <v>10</v>
      </c>
      <c r="B48" s="49"/>
      <c r="C48" s="136"/>
      <c r="D48" s="137"/>
      <c r="E48" s="138"/>
      <c r="F48" s="140"/>
      <c r="G48" s="142"/>
    </row>
    <row r="49" spans="1:7" x14ac:dyDescent="0.3">
      <c r="A49" s="9" t="s">
        <v>71</v>
      </c>
      <c r="B49" s="10" t="s">
        <v>0</v>
      </c>
      <c r="C49" s="11" t="s">
        <v>1</v>
      </c>
      <c r="D49" s="11" t="s">
        <v>2</v>
      </c>
      <c r="E49" s="12" t="s">
        <v>3</v>
      </c>
      <c r="F49" s="55" t="s">
        <v>72</v>
      </c>
      <c r="G49" s="68" t="s">
        <v>52</v>
      </c>
    </row>
    <row r="50" spans="1:7" x14ac:dyDescent="0.3">
      <c r="A50" s="15"/>
      <c r="B50" s="16" t="s">
        <v>75</v>
      </c>
      <c r="C50" s="17">
        <v>1.58</v>
      </c>
      <c r="D50" s="40">
        <v>0.98</v>
      </c>
      <c r="E50" s="39">
        <v>0.8</v>
      </c>
      <c r="F50" s="59">
        <v>3762</v>
      </c>
      <c r="G50" s="70">
        <v>3221</v>
      </c>
    </row>
    <row r="51" spans="1:7" x14ac:dyDescent="0.3">
      <c r="A51" s="19"/>
      <c r="B51" s="16" t="s">
        <v>77</v>
      </c>
      <c r="C51" s="17">
        <v>1.08</v>
      </c>
      <c r="D51" s="40">
        <v>0.9</v>
      </c>
      <c r="E51" s="39">
        <v>0.45</v>
      </c>
      <c r="F51" s="59">
        <v>1845</v>
      </c>
      <c r="G51" s="70">
        <v>1497</v>
      </c>
    </row>
    <row r="52" spans="1:7" x14ac:dyDescent="0.3">
      <c r="A52" s="19"/>
      <c r="B52" s="16" t="s">
        <v>76</v>
      </c>
      <c r="C52" s="17">
        <v>1.18</v>
      </c>
      <c r="D52" s="40">
        <v>0.98</v>
      </c>
      <c r="E52" s="39">
        <v>0.8</v>
      </c>
      <c r="F52" s="59">
        <v>2858</v>
      </c>
      <c r="G52" s="70">
        <v>2341</v>
      </c>
    </row>
    <row r="53" spans="1:7" x14ac:dyDescent="0.3">
      <c r="A53" s="19"/>
      <c r="B53" s="16" t="s">
        <v>76</v>
      </c>
      <c r="C53" s="17">
        <v>1.18</v>
      </c>
      <c r="D53" s="40">
        <v>0.98</v>
      </c>
      <c r="E53" s="39">
        <v>0.8</v>
      </c>
      <c r="F53" s="59">
        <v>2858</v>
      </c>
      <c r="G53" s="70">
        <v>2341</v>
      </c>
    </row>
    <row r="54" spans="1:7" x14ac:dyDescent="0.3">
      <c r="A54" s="19"/>
      <c r="B54" s="16" t="s">
        <v>75</v>
      </c>
      <c r="C54" s="17">
        <v>1.58</v>
      </c>
      <c r="D54" s="40">
        <v>0.98</v>
      </c>
      <c r="E54" s="39">
        <v>0.8</v>
      </c>
      <c r="F54" s="59">
        <v>3762</v>
      </c>
      <c r="G54" s="70">
        <v>3221</v>
      </c>
    </row>
    <row r="55" spans="1:7" x14ac:dyDescent="0.3">
      <c r="A55" s="19"/>
      <c r="B55" s="100"/>
      <c r="C55" s="17"/>
      <c r="D55" s="40"/>
      <c r="E55" s="39"/>
      <c r="F55" s="59"/>
      <c r="G55" s="70"/>
    </row>
    <row r="56" spans="1:7" x14ac:dyDescent="0.3">
      <c r="A56" s="19"/>
      <c r="B56" s="96"/>
      <c r="C56" s="17"/>
      <c r="D56" s="40"/>
      <c r="E56" s="39"/>
      <c r="F56" s="59"/>
      <c r="G56" s="70"/>
    </row>
    <row r="57" spans="1:7" ht="18.600000000000001" customHeight="1" x14ac:dyDescent="0.3">
      <c r="A57" s="19"/>
      <c r="B57" s="132" t="s">
        <v>73</v>
      </c>
      <c r="C57" s="143" t="s">
        <v>84</v>
      </c>
      <c r="D57" s="144"/>
      <c r="E57" s="145"/>
      <c r="F57" s="59"/>
      <c r="G57" s="70"/>
    </row>
    <row r="58" spans="1:7" x14ac:dyDescent="0.3">
      <c r="A58" s="19"/>
      <c r="B58" s="132"/>
      <c r="C58" s="146"/>
      <c r="D58" s="147"/>
      <c r="E58" s="148"/>
      <c r="F58" s="59"/>
      <c r="G58" s="70"/>
    </row>
    <row r="59" spans="1:7" ht="14.4" customHeight="1" x14ac:dyDescent="0.3">
      <c r="A59" s="4" t="s">
        <v>58</v>
      </c>
      <c r="B59" s="20"/>
      <c r="C59" s="133" t="s">
        <v>43</v>
      </c>
      <c r="D59" s="134"/>
      <c r="E59" s="135"/>
      <c r="F59" s="139">
        <f t="shared" ref="F59:G59" si="4">SUM(F50:F58)</f>
        <v>15085</v>
      </c>
      <c r="G59" s="141">
        <f t="shared" si="4"/>
        <v>12621</v>
      </c>
    </row>
    <row r="60" spans="1:7" ht="14.4" customHeight="1" x14ac:dyDescent="0.3">
      <c r="A60" s="21" t="s">
        <v>9</v>
      </c>
      <c r="B60" s="16"/>
      <c r="C60" s="136"/>
      <c r="D60" s="137"/>
      <c r="E60" s="138"/>
      <c r="F60" s="140"/>
      <c r="G60" s="142"/>
    </row>
    <row r="61" spans="1:7" x14ac:dyDescent="0.3">
      <c r="A61" s="35" t="s">
        <v>10</v>
      </c>
      <c r="B61" s="16"/>
      <c r="C61" s="17"/>
      <c r="D61" s="43"/>
      <c r="E61" s="43"/>
      <c r="F61" s="61"/>
      <c r="G61" s="70"/>
    </row>
    <row r="62" spans="1:7" x14ac:dyDescent="0.3">
      <c r="A62" s="95" t="s">
        <v>78</v>
      </c>
      <c r="B62" s="10" t="s">
        <v>0</v>
      </c>
      <c r="C62" s="11" t="s">
        <v>1</v>
      </c>
      <c r="D62" s="11" t="s">
        <v>2</v>
      </c>
      <c r="E62" s="12" t="s">
        <v>3</v>
      </c>
      <c r="F62" s="55" t="s">
        <v>5</v>
      </c>
      <c r="G62" s="68" t="s">
        <v>52</v>
      </c>
    </row>
    <row r="63" spans="1:7" x14ac:dyDescent="0.3">
      <c r="A63" s="19"/>
      <c r="B63" s="101" t="s">
        <v>79</v>
      </c>
      <c r="C63" s="17">
        <v>1.1000000000000001</v>
      </c>
      <c r="D63" s="17">
        <v>0.94</v>
      </c>
      <c r="E63" s="39">
        <v>0.78</v>
      </c>
      <c r="F63" s="56">
        <v>3182</v>
      </c>
      <c r="G63" s="80">
        <v>3182</v>
      </c>
    </row>
    <row r="64" spans="1:7" x14ac:dyDescent="0.3">
      <c r="A64" s="19"/>
      <c r="B64" s="16" t="s">
        <v>80</v>
      </c>
      <c r="C64" s="17">
        <v>2.5</v>
      </c>
      <c r="D64" s="17">
        <v>1.1499999999999999</v>
      </c>
      <c r="E64" s="39">
        <v>0.78</v>
      </c>
      <c r="F64" s="56">
        <v>4722</v>
      </c>
      <c r="G64" s="71">
        <v>4722</v>
      </c>
    </row>
    <row r="65" spans="1:7" x14ac:dyDescent="0.3">
      <c r="A65" s="19"/>
      <c r="B65" s="16" t="s">
        <v>81</v>
      </c>
      <c r="C65" s="17">
        <v>1.4</v>
      </c>
      <c r="D65" s="17">
        <v>0.94</v>
      </c>
      <c r="E65" s="39">
        <v>0.78</v>
      </c>
      <c r="F65" s="56">
        <v>3309</v>
      </c>
      <c r="G65" s="71">
        <v>3309</v>
      </c>
    </row>
    <row r="66" spans="1:7" x14ac:dyDescent="0.3">
      <c r="A66" s="19"/>
      <c r="B66" s="16"/>
      <c r="C66" s="17"/>
      <c r="D66" s="17"/>
      <c r="E66" s="39"/>
      <c r="F66" s="56"/>
      <c r="G66" s="71"/>
    </row>
    <row r="67" spans="1:7" x14ac:dyDescent="0.3">
      <c r="A67" s="19"/>
      <c r="B67" s="16"/>
      <c r="C67" s="17"/>
      <c r="D67" s="17"/>
      <c r="E67" s="39"/>
      <c r="F67" s="56"/>
      <c r="G67" s="71"/>
    </row>
    <row r="68" spans="1:7" ht="15.6" customHeight="1" x14ac:dyDescent="0.3">
      <c r="A68" s="19"/>
      <c r="B68" s="150" t="s">
        <v>103</v>
      </c>
      <c r="C68" s="143" t="s">
        <v>83</v>
      </c>
      <c r="D68" s="144"/>
      <c r="E68" s="145"/>
      <c r="F68" s="56"/>
      <c r="G68" s="71"/>
    </row>
    <row r="69" spans="1:7" ht="15.6" customHeight="1" x14ac:dyDescent="0.3">
      <c r="A69" s="19"/>
      <c r="B69" s="151"/>
      <c r="C69" s="146"/>
      <c r="D69" s="147"/>
      <c r="E69" s="148"/>
      <c r="F69" s="56"/>
      <c r="G69" s="71"/>
    </row>
    <row r="70" spans="1:7" ht="15.6" customHeight="1" x14ac:dyDescent="0.3">
      <c r="A70" s="19"/>
      <c r="B70" s="16"/>
      <c r="C70" s="17"/>
      <c r="D70" s="17"/>
      <c r="E70" s="39"/>
      <c r="F70" s="57"/>
      <c r="G70" s="71"/>
    </row>
    <row r="71" spans="1:7" ht="15.6" customHeight="1" x14ac:dyDescent="0.3">
      <c r="A71" s="24"/>
      <c r="B71" s="16"/>
      <c r="C71" s="133" t="s">
        <v>43</v>
      </c>
      <c r="D71" s="134"/>
      <c r="E71" s="135"/>
      <c r="F71" s="139">
        <f t="shared" ref="F71:G71" si="5">F63+F64+F65</f>
        <v>11213</v>
      </c>
      <c r="G71" s="141">
        <f t="shared" si="5"/>
        <v>11213</v>
      </c>
    </row>
    <row r="72" spans="1:7" ht="14.4" customHeight="1" x14ac:dyDescent="0.3">
      <c r="A72" s="21" t="s">
        <v>9</v>
      </c>
      <c r="B72" s="16"/>
      <c r="C72" s="136"/>
      <c r="D72" s="137"/>
      <c r="E72" s="138"/>
      <c r="F72" s="140"/>
      <c r="G72" s="142"/>
    </row>
    <row r="73" spans="1:7" ht="14.4" customHeight="1" x14ac:dyDescent="0.3">
      <c r="A73" s="35" t="s">
        <v>10</v>
      </c>
      <c r="B73" s="16"/>
      <c r="C73" s="17"/>
      <c r="D73" s="17"/>
      <c r="E73" s="39" t="s">
        <v>8</v>
      </c>
      <c r="F73" s="56" t="s">
        <v>8</v>
      </c>
      <c r="G73" s="71"/>
    </row>
    <row r="74" spans="1:7" x14ac:dyDescent="0.3">
      <c r="A74" s="9" t="s">
        <v>82</v>
      </c>
      <c r="B74" s="10" t="s">
        <v>0</v>
      </c>
      <c r="C74" s="11" t="s">
        <v>1</v>
      </c>
      <c r="D74" s="11" t="s">
        <v>2</v>
      </c>
      <c r="E74" s="12" t="s">
        <v>3</v>
      </c>
      <c r="F74" s="55" t="s">
        <v>7</v>
      </c>
      <c r="G74" s="68" t="s">
        <v>52</v>
      </c>
    </row>
    <row r="75" spans="1:7" x14ac:dyDescent="0.3">
      <c r="A75" s="15"/>
      <c r="B75" s="26" t="s">
        <v>152</v>
      </c>
      <c r="C75" s="17">
        <v>1.95</v>
      </c>
      <c r="D75" s="17">
        <v>1.05</v>
      </c>
      <c r="E75" s="39">
        <v>1</v>
      </c>
      <c r="F75" s="56">
        <v>5726</v>
      </c>
      <c r="G75" s="78">
        <v>4261</v>
      </c>
    </row>
    <row r="76" spans="1:7" ht="17.399999999999999" customHeight="1" x14ac:dyDescent="0.3">
      <c r="A76" s="19"/>
      <c r="B76" s="26" t="s">
        <v>24</v>
      </c>
      <c r="C76" s="17">
        <v>0.95</v>
      </c>
      <c r="D76" s="17">
        <v>0.95</v>
      </c>
      <c r="E76" s="39">
        <v>0.47</v>
      </c>
      <c r="F76" s="56">
        <v>2123</v>
      </c>
      <c r="G76" s="78">
        <v>1713</v>
      </c>
    </row>
    <row r="77" spans="1:7" x14ac:dyDescent="0.3">
      <c r="A77" s="19"/>
      <c r="B77" s="26" t="s">
        <v>152</v>
      </c>
      <c r="C77" s="17">
        <v>1.95</v>
      </c>
      <c r="D77" s="17">
        <v>1.05</v>
      </c>
      <c r="E77" s="39">
        <v>1</v>
      </c>
      <c r="F77" s="56">
        <v>5726</v>
      </c>
      <c r="G77" s="78">
        <v>4261</v>
      </c>
    </row>
    <row r="78" spans="1:7" x14ac:dyDescent="0.3">
      <c r="A78" s="19"/>
      <c r="B78" s="54"/>
      <c r="C78" s="17"/>
      <c r="D78" s="17"/>
      <c r="E78" s="39"/>
      <c r="F78" s="56"/>
      <c r="G78" s="78"/>
    </row>
    <row r="79" spans="1:7" x14ac:dyDescent="0.3">
      <c r="A79" s="19"/>
      <c r="B79" s="54"/>
      <c r="C79" s="17"/>
      <c r="D79" s="17"/>
      <c r="E79" s="39"/>
      <c r="F79" s="56"/>
      <c r="G79" s="78"/>
    </row>
    <row r="80" spans="1:7" x14ac:dyDescent="0.3">
      <c r="A80" s="19"/>
      <c r="B80" s="26"/>
      <c r="C80" s="17"/>
      <c r="D80" s="17"/>
      <c r="E80" s="39"/>
      <c r="F80" s="56"/>
      <c r="G80" s="78"/>
    </row>
    <row r="81" spans="1:7" x14ac:dyDescent="0.3">
      <c r="A81" s="19"/>
      <c r="B81" s="150" t="s">
        <v>153</v>
      </c>
      <c r="C81" s="143" t="s">
        <v>154</v>
      </c>
      <c r="D81" s="144"/>
      <c r="E81" s="145"/>
      <c r="F81" s="56"/>
      <c r="G81" s="78"/>
    </row>
    <row r="82" spans="1:7" ht="15.6" customHeight="1" x14ac:dyDescent="0.3">
      <c r="A82" s="19"/>
      <c r="B82" s="151"/>
      <c r="C82" s="146"/>
      <c r="D82" s="147"/>
      <c r="E82" s="148"/>
      <c r="F82" s="56"/>
      <c r="G82" s="78"/>
    </row>
    <row r="83" spans="1:7" ht="15.6" customHeight="1" x14ac:dyDescent="0.3">
      <c r="A83" s="19"/>
      <c r="B83" s="102"/>
      <c r="C83" s="102"/>
      <c r="D83" s="102"/>
      <c r="E83" s="102"/>
      <c r="F83" s="56"/>
      <c r="G83" s="81"/>
    </row>
    <row r="84" spans="1:7" ht="15.6" customHeight="1" x14ac:dyDescent="0.35">
      <c r="A84" s="21" t="s">
        <v>9</v>
      </c>
      <c r="B84" s="53"/>
      <c r="C84" s="133" t="s">
        <v>43</v>
      </c>
      <c r="D84" s="134"/>
      <c r="E84" s="135"/>
      <c r="F84" s="139">
        <f>SUM(F75:F79)</f>
        <v>13575</v>
      </c>
      <c r="G84" s="141">
        <f>SUM(G75:G83)</f>
        <v>10235</v>
      </c>
    </row>
    <row r="85" spans="1:7" ht="15.6" customHeight="1" x14ac:dyDescent="0.3">
      <c r="A85" s="35" t="s">
        <v>20</v>
      </c>
      <c r="B85" s="16"/>
      <c r="C85" s="136"/>
      <c r="D85" s="137"/>
      <c r="E85" s="138"/>
      <c r="F85" s="140"/>
      <c r="G85" s="142"/>
    </row>
    <row r="86" spans="1:7" ht="15.6" customHeight="1" x14ac:dyDescent="0.3">
      <c r="A86" s="86"/>
      <c r="B86" s="87"/>
      <c r="C86" s="88"/>
      <c r="D86" s="88"/>
      <c r="E86" s="88"/>
      <c r="F86" s="89"/>
      <c r="G86" s="89"/>
    </row>
    <row r="87" spans="1:7" x14ac:dyDescent="0.3">
      <c r="A87" s="104" t="s">
        <v>85</v>
      </c>
      <c r="B87" s="10" t="s">
        <v>0</v>
      </c>
      <c r="C87" s="11" t="s">
        <v>1</v>
      </c>
      <c r="D87" s="11" t="s">
        <v>2</v>
      </c>
      <c r="E87" s="12" t="s">
        <v>3</v>
      </c>
      <c r="F87" s="55" t="s">
        <v>35</v>
      </c>
      <c r="G87" s="68" t="s">
        <v>52</v>
      </c>
    </row>
    <row r="88" spans="1:7" x14ac:dyDescent="0.3">
      <c r="A88" s="15"/>
      <c r="B88" s="54" t="s">
        <v>164</v>
      </c>
      <c r="C88" s="17">
        <v>1</v>
      </c>
      <c r="D88" s="17">
        <v>0.85</v>
      </c>
      <c r="E88" s="39">
        <v>0.73</v>
      </c>
      <c r="F88" s="56">
        <v>2308</v>
      </c>
      <c r="G88" s="78">
        <v>2266</v>
      </c>
    </row>
    <row r="89" spans="1:7" x14ac:dyDescent="0.3">
      <c r="A89" s="19"/>
      <c r="B89" s="54" t="s">
        <v>165</v>
      </c>
      <c r="C89" s="17">
        <v>1.8</v>
      </c>
      <c r="D89" s="17">
        <v>0.85</v>
      </c>
      <c r="E89" s="39">
        <v>0.73</v>
      </c>
      <c r="F89" s="56">
        <v>3072</v>
      </c>
      <c r="G89" s="78">
        <v>3010</v>
      </c>
    </row>
    <row r="90" spans="1:7" x14ac:dyDescent="0.3">
      <c r="A90" s="19"/>
      <c r="B90" s="54" t="s">
        <v>166</v>
      </c>
      <c r="C90" s="17">
        <v>0.85</v>
      </c>
      <c r="D90" s="17">
        <v>0.85</v>
      </c>
      <c r="E90" s="39">
        <v>0.73</v>
      </c>
      <c r="F90" s="56">
        <v>2133</v>
      </c>
      <c r="G90" s="78">
        <v>2098</v>
      </c>
    </row>
    <row r="91" spans="1:7" x14ac:dyDescent="0.3">
      <c r="A91" s="19"/>
      <c r="B91" s="54" t="s">
        <v>165</v>
      </c>
      <c r="C91" s="17">
        <v>1.8</v>
      </c>
      <c r="D91" s="17">
        <v>0.85</v>
      </c>
      <c r="E91" s="39">
        <v>0.73</v>
      </c>
      <c r="F91" s="56">
        <v>3072</v>
      </c>
      <c r="G91" s="78">
        <v>3010</v>
      </c>
    </row>
    <row r="92" spans="1:7" x14ac:dyDescent="0.3">
      <c r="A92" s="19"/>
      <c r="B92" s="54" t="s">
        <v>167</v>
      </c>
      <c r="C92" s="17">
        <v>1.1000000000000001</v>
      </c>
      <c r="D92" s="17">
        <v>1.8</v>
      </c>
      <c r="E92" s="39">
        <v>0.73</v>
      </c>
      <c r="F92" s="56">
        <v>3330</v>
      </c>
      <c r="G92" s="78">
        <v>3270</v>
      </c>
    </row>
    <row r="93" spans="1:7" x14ac:dyDescent="0.3">
      <c r="A93" s="19"/>
      <c r="B93" s="124" t="s">
        <v>24</v>
      </c>
      <c r="C93" s="17">
        <v>0.9</v>
      </c>
      <c r="D93" s="17">
        <v>0.7</v>
      </c>
      <c r="E93" s="39">
        <v>0.48</v>
      </c>
      <c r="F93" s="56">
        <v>1096</v>
      </c>
      <c r="G93" s="78">
        <v>1059</v>
      </c>
    </row>
    <row r="94" spans="1:7" x14ac:dyDescent="0.3">
      <c r="A94" s="19"/>
      <c r="B94" s="124"/>
      <c r="C94" s="17"/>
      <c r="D94" s="17"/>
      <c r="E94" s="39"/>
      <c r="F94" s="56"/>
      <c r="G94" s="78"/>
    </row>
    <row r="95" spans="1:7" x14ac:dyDescent="0.3">
      <c r="A95" s="19"/>
      <c r="B95" s="16"/>
      <c r="C95" s="17"/>
      <c r="D95" s="17"/>
      <c r="E95" s="39"/>
      <c r="F95" s="56"/>
      <c r="G95" s="78"/>
    </row>
    <row r="96" spans="1:7" x14ac:dyDescent="0.3">
      <c r="A96" s="19"/>
      <c r="B96" s="132" t="s">
        <v>86</v>
      </c>
      <c r="C96" s="143" t="s">
        <v>168</v>
      </c>
      <c r="D96" s="144"/>
      <c r="E96" s="145"/>
      <c r="F96" s="56"/>
      <c r="G96" s="78"/>
    </row>
    <row r="97" spans="1:7" ht="15.6" customHeight="1" x14ac:dyDescent="0.3">
      <c r="A97" s="24"/>
      <c r="B97" s="132"/>
      <c r="C97" s="146"/>
      <c r="D97" s="147"/>
      <c r="E97" s="148"/>
      <c r="F97" s="57"/>
      <c r="G97" s="76"/>
    </row>
    <row r="98" spans="1:7" ht="15.6" customHeight="1" x14ac:dyDescent="0.3">
      <c r="A98" s="103"/>
      <c r="B98" s="16"/>
      <c r="C98" s="17"/>
      <c r="D98" s="17"/>
      <c r="E98" s="44"/>
      <c r="F98" s="62"/>
      <c r="G98" s="82"/>
    </row>
    <row r="99" spans="1:7" ht="14.4" customHeight="1" x14ac:dyDescent="0.3">
      <c r="A99" s="21" t="s">
        <v>9</v>
      </c>
      <c r="B99" s="20"/>
      <c r="C99" s="133" t="s">
        <v>43</v>
      </c>
      <c r="D99" s="134"/>
      <c r="E99" s="135"/>
      <c r="F99" s="139">
        <f t="shared" ref="F99:G99" si="6">SUM(F88:F98)</f>
        <v>15011</v>
      </c>
      <c r="G99" s="141">
        <f t="shared" si="6"/>
        <v>14713</v>
      </c>
    </row>
    <row r="100" spans="1:7" ht="14.4" customHeight="1" x14ac:dyDescent="0.3">
      <c r="A100" s="35" t="s">
        <v>19</v>
      </c>
      <c r="B100" s="16"/>
      <c r="C100" s="136"/>
      <c r="D100" s="137"/>
      <c r="E100" s="138"/>
      <c r="F100" s="140"/>
      <c r="G100" s="142"/>
    </row>
    <row r="101" spans="1:7" x14ac:dyDescent="0.3">
      <c r="A101" s="104" t="s">
        <v>87</v>
      </c>
      <c r="B101" s="10" t="s">
        <v>0</v>
      </c>
      <c r="C101" s="11" t="s">
        <v>1</v>
      </c>
      <c r="D101" s="11" t="s">
        <v>2</v>
      </c>
      <c r="E101" s="12" t="s">
        <v>3</v>
      </c>
      <c r="F101" s="55" t="s">
        <v>5</v>
      </c>
      <c r="G101" s="68" t="s">
        <v>52</v>
      </c>
    </row>
    <row r="102" spans="1:7" x14ac:dyDescent="0.3">
      <c r="A102" s="15"/>
      <c r="B102" s="16" t="s">
        <v>88</v>
      </c>
      <c r="C102" s="17">
        <v>1.22</v>
      </c>
      <c r="D102" s="17">
        <v>1.04</v>
      </c>
      <c r="E102" s="39">
        <v>1</v>
      </c>
      <c r="F102" s="56">
        <v>2609</v>
      </c>
      <c r="G102" s="78">
        <v>2609</v>
      </c>
    </row>
    <row r="103" spans="1:7" x14ac:dyDescent="0.3">
      <c r="A103" s="19"/>
      <c r="B103" s="16" t="s">
        <v>79</v>
      </c>
      <c r="C103" s="17">
        <v>1.1000000000000001</v>
      </c>
      <c r="D103" s="17">
        <v>1.04</v>
      </c>
      <c r="E103" s="39">
        <v>1</v>
      </c>
      <c r="F103" s="56">
        <v>2306</v>
      </c>
      <c r="G103" s="78">
        <v>2306</v>
      </c>
    </row>
    <row r="104" spans="1:7" x14ac:dyDescent="0.3">
      <c r="A104" s="19"/>
      <c r="B104" s="16" t="s">
        <v>88</v>
      </c>
      <c r="C104" s="17">
        <v>1.22</v>
      </c>
      <c r="D104" s="17">
        <v>1.04</v>
      </c>
      <c r="E104" s="39">
        <v>1</v>
      </c>
      <c r="F104" s="56">
        <v>2609</v>
      </c>
      <c r="G104" s="78">
        <v>2609</v>
      </c>
    </row>
    <row r="105" spans="1:7" x14ac:dyDescent="0.3">
      <c r="A105" s="19"/>
      <c r="B105" s="16"/>
      <c r="C105" s="17"/>
      <c r="D105" s="17"/>
      <c r="E105" s="39"/>
      <c r="F105" s="56"/>
      <c r="G105" s="78"/>
    </row>
    <row r="106" spans="1:7" x14ac:dyDescent="0.3">
      <c r="A106" s="19"/>
      <c r="B106" s="16"/>
      <c r="C106" s="17"/>
      <c r="D106" s="17"/>
      <c r="E106" s="39"/>
      <c r="F106" s="56"/>
      <c r="G106" s="78"/>
    </row>
    <row r="107" spans="1:7" x14ac:dyDescent="0.3">
      <c r="A107" s="19"/>
      <c r="B107" s="152" t="s">
        <v>163</v>
      </c>
      <c r="C107" s="153"/>
      <c r="D107" s="153"/>
      <c r="E107" s="154"/>
      <c r="F107" s="123">
        <v>4802</v>
      </c>
      <c r="G107" s="123">
        <v>4802</v>
      </c>
    </row>
    <row r="108" spans="1:7" x14ac:dyDescent="0.3">
      <c r="A108" s="19"/>
      <c r="B108" s="132" t="s">
        <v>90</v>
      </c>
      <c r="C108" s="143" t="s">
        <v>89</v>
      </c>
      <c r="D108" s="144"/>
      <c r="E108" s="145"/>
      <c r="F108" s="56"/>
      <c r="G108" s="78"/>
    </row>
    <row r="109" spans="1:7" x14ac:dyDescent="0.3">
      <c r="A109" s="24"/>
      <c r="B109" s="132"/>
      <c r="C109" s="146"/>
      <c r="D109" s="147"/>
      <c r="E109" s="148"/>
      <c r="F109" s="57"/>
      <c r="G109" s="76"/>
    </row>
    <row r="110" spans="1:7" ht="15" customHeight="1" x14ac:dyDescent="0.3">
      <c r="A110" s="4" t="s">
        <v>161</v>
      </c>
      <c r="B110" s="16"/>
      <c r="C110" s="17"/>
      <c r="D110" s="17"/>
      <c r="E110" s="44"/>
      <c r="F110" s="62"/>
      <c r="G110" s="82"/>
    </row>
    <row r="111" spans="1:7" x14ac:dyDescent="0.3">
      <c r="A111" s="21" t="s">
        <v>9</v>
      </c>
      <c r="B111" s="122" t="s">
        <v>162</v>
      </c>
      <c r="C111" s="133" t="s">
        <v>43</v>
      </c>
      <c r="D111" s="134"/>
      <c r="E111" s="135"/>
      <c r="F111" s="139">
        <f t="shared" ref="F111:G111" si="7">SUM(F102:F110)</f>
        <v>12326</v>
      </c>
      <c r="G111" s="141">
        <f t="shared" si="7"/>
        <v>12326</v>
      </c>
    </row>
    <row r="112" spans="1:7" x14ac:dyDescent="0.3">
      <c r="A112" s="35" t="s">
        <v>17</v>
      </c>
      <c r="B112" s="16"/>
      <c r="C112" s="136"/>
      <c r="D112" s="137"/>
      <c r="E112" s="138"/>
      <c r="F112" s="140"/>
      <c r="G112" s="142"/>
    </row>
  </sheetData>
  <mergeCells count="43">
    <mergeCell ref="B107:E107"/>
    <mergeCell ref="B108:B109"/>
    <mergeCell ref="C108:E109"/>
    <mergeCell ref="C111:E112"/>
    <mergeCell ref="F111:F112"/>
    <mergeCell ref="G111:G112"/>
    <mergeCell ref="F21:F22"/>
    <mergeCell ref="G21:G22"/>
    <mergeCell ref="B18:B19"/>
    <mergeCell ref="C18:E19"/>
    <mergeCell ref="B31:B32"/>
    <mergeCell ref="C31:E32"/>
    <mergeCell ref="B81:B82"/>
    <mergeCell ref="C81:E82"/>
    <mergeCell ref="B5:B6"/>
    <mergeCell ref="C5:E6"/>
    <mergeCell ref="C71:E72"/>
    <mergeCell ref="C68:E69"/>
    <mergeCell ref="B68:B69"/>
    <mergeCell ref="C21:E22"/>
    <mergeCell ref="C34:E35"/>
    <mergeCell ref="B57:B58"/>
    <mergeCell ref="C57:E58"/>
    <mergeCell ref="C59:E60"/>
    <mergeCell ref="F34:F35"/>
    <mergeCell ref="G34:G35"/>
    <mergeCell ref="B44:B45"/>
    <mergeCell ref="C44:E45"/>
    <mergeCell ref="C47:E48"/>
    <mergeCell ref="F47:F48"/>
    <mergeCell ref="G47:G48"/>
    <mergeCell ref="F59:F60"/>
    <mergeCell ref="G59:G60"/>
    <mergeCell ref="C84:E85"/>
    <mergeCell ref="F84:F85"/>
    <mergeCell ref="G84:G85"/>
    <mergeCell ref="F71:F72"/>
    <mergeCell ref="G71:G72"/>
    <mergeCell ref="B96:B97"/>
    <mergeCell ref="C99:E100"/>
    <mergeCell ref="F99:F100"/>
    <mergeCell ref="G99:G100"/>
    <mergeCell ref="C96:E97"/>
  </mergeCells>
  <phoneticPr fontId="8" type="noConversion"/>
  <hyperlinks>
    <hyperlink ref="A35" r:id="rId1" display="JOÃO V. DEMELE" xr:uid="{328588B7-A0E6-4E69-901D-95798F88613C}"/>
    <hyperlink ref="A61" r:id="rId2" xr:uid="{5FBE5CDC-3919-4DAD-A01D-439045F5819F}"/>
    <hyperlink ref="A85" r:id="rId3" display="JOÃO V. DEMELE" xr:uid="{91E689ED-14DA-4DE5-93D3-198ED07425ED}"/>
    <hyperlink ref="A22" r:id="rId4" xr:uid="{B00C60C4-D321-415A-B2C0-5F997307CDC8}"/>
    <hyperlink ref="A48" r:id="rId5" xr:uid="{B045EC85-7489-4850-92A7-075E982B8E32}"/>
    <hyperlink ref="A73" r:id="rId6" xr:uid="{C2F7555F-3E71-49A7-BA7E-21DE55F3C2E0}"/>
    <hyperlink ref="A100" r:id="rId7" display="JOÃO V. DEMELE" xr:uid="{9E844CF6-26E3-417C-8CFB-5EE74915D51D}"/>
    <hyperlink ref="A112" r:id="rId8" display="JOÃO V. DEMELE" xr:uid="{0BBE7770-5349-43D4-9B0C-861F33398507}"/>
  </hyperlinks>
  <pageMargins left="0.51181102362204722" right="0.19685039370078741" top="0.19685039370078741" bottom="0.19685039370078741" header="0" footer="0"/>
  <pageSetup paperSize="9" scale="60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717E-D983-453F-BBCC-6C196A1E2172}">
  <dimension ref="A1:G98"/>
  <sheetViews>
    <sheetView topLeftCell="A77" workbookViewId="0">
      <selection activeCell="G83" sqref="G83"/>
    </sheetView>
  </sheetViews>
  <sheetFormatPr defaultRowHeight="15.6" x14ac:dyDescent="0.3"/>
  <cols>
    <col min="1" max="1" width="25.33203125" customWidth="1"/>
    <col min="2" max="2" width="29.88671875" style="14" bestFit="1" customWidth="1"/>
    <col min="3" max="3" width="9.88671875" style="14" customWidth="1"/>
    <col min="4" max="4" width="9.33203125" style="14" customWidth="1"/>
    <col min="5" max="5" width="10.33203125" style="14" customWidth="1"/>
    <col min="6" max="6" width="10.21875" style="14" customWidth="1"/>
    <col min="7" max="7" width="16.5546875" customWidth="1"/>
  </cols>
  <sheetData>
    <row r="1" spans="1:7" x14ac:dyDescent="0.3">
      <c r="A1" s="1" t="s">
        <v>16</v>
      </c>
      <c r="B1" s="27" t="s">
        <v>0</v>
      </c>
      <c r="C1" s="28" t="s">
        <v>1</v>
      </c>
      <c r="D1" s="28" t="s">
        <v>2</v>
      </c>
      <c r="E1" s="12" t="s">
        <v>3</v>
      </c>
      <c r="F1" s="55" t="s">
        <v>6</v>
      </c>
      <c r="G1" s="68" t="s">
        <v>52</v>
      </c>
    </row>
    <row r="2" spans="1:7" x14ac:dyDescent="0.3">
      <c r="A2" s="5"/>
      <c r="B2" s="29" t="s">
        <v>47</v>
      </c>
      <c r="C2" s="30">
        <v>0.7</v>
      </c>
      <c r="D2" s="30">
        <v>0.65</v>
      </c>
      <c r="E2" s="39">
        <v>0.82</v>
      </c>
      <c r="F2" s="59">
        <v>2477</v>
      </c>
      <c r="G2" s="70">
        <v>2309</v>
      </c>
    </row>
    <row r="3" spans="1:7" x14ac:dyDescent="0.3">
      <c r="A3" s="5"/>
      <c r="B3" s="29"/>
      <c r="C3" s="30"/>
      <c r="D3" s="30"/>
      <c r="E3" s="39"/>
      <c r="F3" s="59"/>
      <c r="G3" s="69"/>
    </row>
    <row r="4" spans="1:7" ht="14.4" customHeight="1" x14ac:dyDescent="0.3">
      <c r="A4" s="5"/>
      <c r="B4" s="33"/>
      <c r="C4" s="32"/>
      <c r="D4" s="155" t="s">
        <v>91</v>
      </c>
      <c r="E4" s="156"/>
      <c r="F4" s="59" t="s">
        <v>8</v>
      </c>
      <c r="G4" s="69"/>
    </row>
    <row r="5" spans="1:7" ht="14.4" customHeight="1" x14ac:dyDescent="0.3">
      <c r="A5" s="5"/>
      <c r="B5" s="29"/>
      <c r="C5" s="32"/>
      <c r="D5" s="157"/>
      <c r="E5" s="158"/>
      <c r="F5" s="59" t="s">
        <v>8</v>
      </c>
      <c r="G5" s="69"/>
    </row>
    <row r="6" spans="1:7" x14ac:dyDescent="0.3">
      <c r="A6" s="3" t="s">
        <v>9</v>
      </c>
      <c r="B6" s="31"/>
      <c r="C6" s="30"/>
      <c r="D6" s="30"/>
      <c r="E6" s="39" t="s">
        <v>8</v>
      </c>
      <c r="F6" s="59" t="s">
        <v>8</v>
      </c>
      <c r="G6" s="69"/>
    </row>
    <row r="7" spans="1:7" x14ac:dyDescent="0.3">
      <c r="A7" s="7" t="s">
        <v>19</v>
      </c>
      <c r="B7" s="29" t="s">
        <v>92</v>
      </c>
      <c r="C7" s="30"/>
      <c r="D7" s="30"/>
      <c r="E7" s="39" t="s">
        <v>8</v>
      </c>
      <c r="F7" s="59" t="s">
        <v>8</v>
      </c>
      <c r="G7" s="69"/>
    </row>
    <row r="8" spans="1:7" x14ac:dyDescent="0.3">
      <c r="A8" s="1" t="s">
        <v>11</v>
      </c>
      <c r="B8" s="27" t="s">
        <v>0</v>
      </c>
      <c r="C8" s="28" t="s">
        <v>1</v>
      </c>
      <c r="D8" s="28" t="s">
        <v>2</v>
      </c>
      <c r="E8" s="12" t="s">
        <v>3</v>
      </c>
      <c r="F8" s="55" t="s">
        <v>6</v>
      </c>
      <c r="G8" s="68" t="s">
        <v>52</v>
      </c>
    </row>
    <row r="9" spans="1:7" x14ac:dyDescent="0.3">
      <c r="A9" s="5"/>
      <c r="B9" s="29" t="s">
        <v>23</v>
      </c>
      <c r="C9" s="30">
        <v>0.8</v>
      </c>
      <c r="D9" s="30">
        <v>0.75</v>
      </c>
      <c r="E9" s="39">
        <v>0.75</v>
      </c>
      <c r="F9" s="59">
        <v>2754</v>
      </c>
      <c r="G9" s="70">
        <v>2421</v>
      </c>
    </row>
    <row r="10" spans="1:7" x14ac:dyDescent="0.3">
      <c r="A10" s="5"/>
      <c r="B10" s="29"/>
      <c r="C10" s="30"/>
      <c r="D10" s="30"/>
      <c r="E10" s="39"/>
      <c r="F10" s="59"/>
      <c r="G10" s="70"/>
    </row>
    <row r="11" spans="1:7" x14ac:dyDescent="0.3">
      <c r="A11" s="5"/>
      <c r="B11" s="29"/>
      <c r="C11" s="30"/>
      <c r="D11" s="30"/>
      <c r="E11" s="39"/>
      <c r="F11" s="59"/>
      <c r="G11" s="69"/>
    </row>
    <row r="12" spans="1:7" x14ac:dyDescent="0.3">
      <c r="A12" s="5"/>
      <c r="B12" s="31"/>
      <c r="C12" s="30"/>
      <c r="D12" s="163" t="s">
        <v>38</v>
      </c>
      <c r="E12" s="164"/>
      <c r="F12" s="59" t="s">
        <v>8</v>
      </c>
      <c r="G12" s="69"/>
    </row>
    <row r="13" spans="1:7" ht="18" x14ac:dyDescent="0.3">
      <c r="A13" s="5"/>
      <c r="B13" s="31"/>
      <c r="C13" s="30"/>
      <c r="D13" s="165" t="s">
        <v>39</v>
      </c>
      <c r="E13" s="166"/>
      <c r="F13" s="59" t="s">
        <v>8</v>
      </c>
      <c r="G13" s="69"/>
    </row>
    <row r="14" spans="1:7" x14ac:dyDescent="0.3">
      <c r="A14" s="3" t="s">
        <v>9</v>
      </c>
      <c r="B14" s="42" t="s">
        <v>40</v>
      </c>
      <c r="C14" s="30"/>
      <c r="D14" s="30"/>
      <c r="E14" s="39" t="s">
        <v>8</v>
      </c>
      <c r="F14" s="59" t="s">
        <v>8</v>
      </c>
      <c r="G14" s="69"/>
    </row>
    <row r="15" spans="1:7" x14ac:dyDescent="0.3">
      <c r="A15" s="7" t="s">
        <v>10</v>
      </c>
      <c r="B15" s="105" t="s">
        <v>93</v>
      </c>
      <c r="C15" s="30"/>
      <c r="D15" s="30"/>
      <c r="E15" s="39" t="s">
        <v>8</v>
      </c>
      <c r="F15" s="59" t="s">
        <v>8</v>
      </c>
      <c r="G15" s="69"/>
    </row>
    <row r="16" spans="1:7" x14ac:dyDescent="0.3">
      <c r="A16" s="1" t="s">
        <v>94</v>
      </c>
      <c r="B16" s="27" t="s">
        <v>0</v>
      </c>
      <c r="C16" s="28" t="s">
        <v>1</v>
      </c>
      <c r="D16" s="28" t="s">
        <v>2</v>
      </c>
      <c r="E16" s="12" t="s">
        <v>3</v>
      </c>
      <c r="F16" s="64" t="s">
        <v>7</v>
      </c>
      <c r="G16" s="68" t="s">
        <v>52</v>
      </c>
    </row>
    <row r="17" spans="1:7" x14ac:dyDescent="0.3">
      <c r="A17" s="5"/>
      <c r="B17" s="29" t="s">
        <v>44</v>
      </c>
      <c r="C17" s="30">
        <v>0.9</v>
      </c>
      <c r="D17" s="30">
        <v>0.93</v>
      </c>
      <c r="E17" s="39">
        <v>0.77</v>
      </c>
      <c r="F17" s="59">
        <v>2352</v>
      </c>
      <c r="G17" s="70">
        <v>1741</v>
      </c>
    </row>
    <row r="18" spans="1:7" x14ac:dyDescent="0.3">
      <c r="A18" s="5"/>
      <c r="B18" s="29"/>
      <c r="C18" s="30"/>
      <c r="D18" s="30"/>
      <c r="E18" s="39"/>
      <c r="F18" s="59"/>
      <c r="G18" s="70"/>
    </row>
    <row r="19" spans="1:7" x14ac:dyDescent="0.3">
      <c r="A19" s="5"/>
      <c r="B19" s="29"/>
      <c r="C19" s="30"/>
      <c r="D19" s="30"/>
      <c r="E19" s="39"/>
      <c r="F19" s="59"/>
      <c r="G19" s="70"/>
    </row>
    <row r="20" spans="1:7" x14ac:dyDescent="0.3">
      <c r="A20" s="6"/>
      <c r="B20" s="31"/>
      <c r="C20" s="32"/>
      <c r="D20" s="32"/>
      <c r="E20" s="39"/>
      <c r="F20" s="59"/>
      <c r="G20" s="70"/>
    </row>
    <row r="21" spans="1:7" x14ac:dyDescent="0.3">
      <c r="A21" s="5"/>
      <c r="B21" s="33"/>
      <c r="C21" s="30"/>
      <c r="D21" s="159" t="s">
        <v>95</v>
      </c>
      <c r="E21" s="160"/>
      <c r="F21" s="59" t="s">
        <v>8</v>
      </c>
      <c r="G21" s="70" t="s">
        <v>8</v>
      </c>
    </row>
    <row r="22" spans="1:7" x14ac:dyDescent="0.3">
      <c r="A22" s="5"/>
      <c r="B22" s="34"/>
      <c r="C22" s="30"/>
      <c r="D22" s="161"/>
      <c r="E22" s="162"/>
      <c r="F22" s="59" t="s">
        <v>8</v>
      </c>
      <c r="G22" s="70" t="s">
        <v>8</v>
      </c>
    </row>
    <row r="23" spans="1:7" x14ac:dyDescent="0.3">
      <c r="A23" s="3" t="s">
        <v>9</v>
      </c>
      <c r="B23" s="42" t="s">
        <v>32</v>
      </c>
      <c r="C23" s="30"/>
      <c r="D23" s="30"/>
      <c r="E23" s="39" t="s">
        <v>8</v>
      </c>
      <c r="F23" s="59" t="s">
        <v>8</v>
      </c>
      <c r="G23" s="70" t="s">
        <v>8</v>
      </c>
    </row>
    <row r="24" spans="1:7" x14ac:dyDescent="0.3">
      <c r="A24" s="7" t="s">
        <v>10</v>
      </c>
      <c r="B24" s="29"/>
      <c r="C24" s="30"/>
      <c r="D24" s="30"/>
      <c r="E24" s="39" t="s">
        <v>8</v>
      </c>
      <c r="F24" s="59" t="s">
        <v>8</v>
      </c>
      <c r="G24" s="70" t="s">
        <v>8</v>
      </c>
    </row>
    <row r="25" spans="1:7" x14ac:dyDescent="0.3">
      <c r="A25" s="1" t="s">
        <v>112</v>
      </c>
      <c r="B25" s="27" t="s">
        <v>0</v>
      </c>
      <c r="C25" s="28" t="s">
        <v>1</v>
      </c>
      <c r="D25" s="28" t="s">
        <v>2</v>
      </c>
      <c r="E25" s="12" t="s">
        <v>3</v>
      </c>
      <c r="F25" s="55" t="s">
        <v>133</v>
      </c>
      <c r="G25" s="68" t="s">
        <v>52</v>
      </c>
    </row>
    <row r="26" spans="1:7" x14ac:dyDescent="0.3">
      <c r="A26" s="112"/>
      <c r="B26" s="106" t="s">
        <v>23</v>
      </c>
      <c r="C26" s="107">
        <v>1</v>
      </c>
      <c r="D26" s="107">
        <v>0.86</v>
      </c>
      <c r="E26" s="39">
        <v>0.87</v>
      </c>
      <c r="F26" s="59">
        <v>2922</v>
      </c>
      <c r="G26" s="70">
        <v>2204</v>
      </c>
    </row>
    <row r="27" spans="1:7" x14ac:dyDescent="0.3">
      <c r="A27" s="113"/>
      <c r="B27" s="106"/>
      <c r="C27" s="107"/>
      <c r="D27" s="107"/>
      <c r="E27" s="39"/>
      <c r="F27" s="59"/>
      <c r="G27" s="70"/>
    </row>
    <row r="28" spans="1:7" x14ac:dyDescent="0.3">
      <c r="A28" s="113"/>
      <c r="B28" s="106"/>
      <c r="C28" s="107"/>
      <c r="D28" s="107"/>
      <c r="E28" s="39"/>
      <c r="F28" s="59"/>
      <c r="G28" s="70"/>
    </row>
    <row r="29" spans="1:7" x14ac:dyDescent="0.3">
      <c r="A29" s="113"/>
      <c r="B29" s="106"/>
      <c r="C29" s="107"/>
      <c r="D29" s="159" t="s">
        <v>114</v>
      </c>
      <c r="E29" s="160"/>
      <c r="F29" s="59"/>
      <c r="G29" s="70"/>
    </row>
    <row r="30" spans="1:7" x14ac:dyDescent="0.3">
      <c r="A30" s="113"/>
      <c r="B30" s="106"/>
      <c r="C30" s="107"/>
      <c r="D30" s="161"/>
      <c r="E30" s="162"/>
      <c r="F30" s="59"/>
      <c r="G30" s="70"/>
    </row>
    <row r="31" spans="1:7" ht="17.399999999999999" customHeight="1" x14ac:dyDescent="0.3">
      <c r="A31" s="113"/>
      <c r="B31" s="106" t="s">
        <v>97</v>
      </c>
      <c r="C31" s="107"/>
      <c r="D31" s="114"/>
      <c r="E31" s="114"/>
      <c r="F31" s="59"/>
      <c r="G31" s="70"/>
    </row>
    <row r="32" spans="1:7" x14ac:dyDescent="0.3">
      <c r="A32" s="7" t="s">
        <v>113</v>
      </c>
      <c r="B32" s="106"/>
      <c r="C32" s="107"/>
      <c r="D32" s="107"/>
      <c r="E32" s="39"/>
      <c r="F32" s="59"/>
      <c r="G32" s="70"/>
    </row>
    <row r="33" spans="1:7" x14ac:dyDescent="0.3">
      <c r="A33" s="1" t="s">
        <v>12</v>
      </c>
      <c r="B33" s="27" t="s">
        <v>0</v>
      </c>
      <c r="C33" s="28" t="s">
        <v>1</v>
      </c>
      <c r="D33" s="28" t="s">
        <v>2</v>
      </c>
      <c r="E33" s="12" t="s">
        <v>3</v>
      </c>
      <c r="F33" s="55" t="s">
        <v>5</v>
      </c>
      <c r="G33" s="68" t="s">
        <v>52</v>
      </c>
    </row>
    <row r="34" spans="1:7" x14ac:dyDescent="0.3">
      <c r="A34" s="5"/>
      <c r="B34" s="52" t="s">
        <v>44</v>
      </c>
      <c r="C34" s="41">
        <v>0.86</v>
      </c>
      <c r="D34" s="41">
        <v>0.78</v>
      </c>
      <c r="E34" s="39">
        <v>0.76</v>
      </c>
      <c r="F34" s="59">
        <v>1985</v>
      </c>
      <c r="G34" s="70">
        <v>1985</v>
      </c>
    </row>
    <row r="35" spans="1:7" x14ac:dyDescent="0.3">
      <c r="A35" s="5"/>
      <c r="B35" s="52"/>
      <c r="C35" s="41"/>
      <c r="D35" s="41"/>
      <c r="E35" s="39"/>
      <c r="F35" s="59"/>
      <c r="G35" s="70"/>
    </row>
    <row r="36" spans="1:7" x14ac:dyDescent="0.3">
      <c r="A36" s="5"/>
      <c r="B36" s="52"/>
      <c r="C36" s="41"/>
      <c r="D36" s="41"/>
      <c r="E36" s="39"/>
      <c r="F36" s="59"/>
      <c r="G36" s="70"/>
    </row>
    <row r="37" spans="1:7" ht="14.4" customHeight="1" x14ac:dyDescent="0.3">
      <c r="A37" s="5"/>
      <c r="B37" s="29"/>
      <c r="C37" s="30"/>
      <c r="D37" s="159" t="s">
        <v>96</v>
      </c>
      <c r="E37" s="160"/>
      <c r="F37" s="59" t="s">
        <v>8</v>
      </c>
      <c r="G37" s="70" t="s">
        <v>8</v>
      </c>
    </row>
    <row r="38" spans="1:7" ht="14.4" customHeight="1" x14ac:dyDescent="0.3">
      <c r="A38" s="3" t="s">
        <v>9</v>
      </c>
      <c r="B38" s="42" t="s">
        <v>97</v>
      </c>
      <c r="C38" s="30"/>
      <c r="D38" s="161"/>
      <c r="E38" s="162"/>
      <c r="F38" s="59" t="s">
        <v>8</v>
      </c>
      <c r="G38" s="70" t="s">
        <v>8</v>
      </c>
    </row>
    <row r="39" spans="1:7" x14ac:dyDescent="0.3">
      <c r="A39" s="7" t="s">
        <v>10</v>
      </c>
      <c r="B39" s="29"/>
      <c r="C39" s="30"/>
      <c r="D39" s="30"/>
      <c r="E39" s="18" t="s">
        <v>8</v>
      </c>
      <c r="F39" s="59" t="s">
        <v>8</v>
      </c>
      <c r="G39" s="70" t="s">
        <v>8</v>
      </c>
    </row>
    <row r="40" spans="1:7" x14ac:dyDescent="0.3">
      <c r="A40" s="1" t="s">
        <v>98</v>
      </c>
      <c r="B40" s="27" t="s">
        <v>0</v>
      </c>
      <c r="C40" s="28" t="s">
        <v>1</v>
      </c>
      <c r="D40" s="28" t="s">
        <v>2</v>
      </c>
      <c r="E40" s="12" t="s">
        <v>3</v>
      </c>
      <c r="F40" s="55" t="s">
        <v>7</v>
      </c>
      <c r="G40" s="68" t="s">
        <v>52</v>
      </c>
    </row>
    <row r="41" spans="1:7" x14ac:dyDescent="0.3">
      <c r="A41" s="5"/>
      <c r="B41" s="108" t="s">
        <v>23</v>
      </c>
      <c r="C41" s="107">
        <v>0.76</v>
      </c>
      <c r="D41" s="107">
        <v>0.76</v>
      </c>
      <c r="E41" s="18">
        <v>0.76</v>
      </c>
      <c r="F41" s="59">
        <v>2974</v>
      </c>
      <c r="G41" s="70">
        <v>2529</v>
      </c>
    </row>
    <row r="42" spans="1:7" x14ac:dyDescent="0.3">
      <c r="A42" s="5"/>
      <c r="B42" s="108"/>
      <c r="C42" s="107"/>
      <c r="D42" s="107"/>
      <c r="E42" s="18"/>
      <c r="F42" s="59"/>
      <c r="G42" s="70"/>
    </row>
    <row r="43" spans="1:7" x14ac:dyDescent="0.3">
      <c r="A43" s="5"/>
      <c r="B43" s="108"/>
      <c r="C43" s="107"/>
      <c r="D43" s="107"/>
      <c r="E43" s="18"/>
      <c r="F43" s="59"/>
      <c r="G43" s="70"/>
    </row>
    <row r="44" spans="1:7" x14ac:dyDescent="0.3">
      <c r="A44" s="6"/>
      <c r="B44" s="108"/>
      <c r="C44" s="107"/>
      <c r="D44" s="107"/>
      <c r="E44" s="18"/>
      <c r="F44" s="59"/>
      <c r="G44" s="70"/>
    </row>
    <row r="45" spans="1:7" x14ac:dyDescent="0.3">
      <c r="A45" s="5"/>
      <c r="B45" s="108"/>
      <c r="C45" s="107"/>
      <c r="D45" s="159" t="s">
        <v>170</v>
      </c>
      <c r="E45" s="160"/>
      <c r="F45" s="59"/>
      <c r="G45" s="70"/>
    </row>
    <row r="46" spans="1:7" x14ac:dyDescent="0.3">
      <c r="A46" s="5"/>
      <c r="B46" s="108"/>
      <c r="C46" s="107"/>
      <c r="D46" s="161"/>
      <c r="E46" s="162"/>
      <c r="F46" s="59"/>
      <c r="G46" s="70"/>
    </row>
    <row r="47" spans="1:7" x14ac:dyDescent="0.3">
      <c r="A47" s="3" t="s">
        <v>9</v>
      </c>
      <c r="B47" s="108" t="s">
        <v>99</v>
      </c>
      <c r="C47" s="107"/>
      <c r="D47" s="107"/>
      <c r="E47" s="18"/>
      <c r="F47" s="59"/>
      <c r="G47" s="70"/>
    </row>
    <row r="48" spans="1:7" x14ac:dyDescent="0.3">
      <c r="A48" s="7" t="s">
        <v>20</v>
      </c>
      <c r="B48" s="108"/>
      <c r="C48" s="107"/>
      <c r="D48" s="107"/>
      <c r="E48" s="18"/>
      <c r="F48" s="59"/>
      <c r="G48" s="70"/>
    </row>
    <row r="49" spans="1:7" x14ac:dyDescent="0.3">
      <c r="A49" s="99" t="s">
        <v>45</v>
      </c>
      <c r="B49" s="27" t="s">
        <v>0</v>
      </c>
      <c r="C49" s="28" t="s">
        <v>1</v>
      </c>
      <c r="D49" s="28" t="s">
        <v>2</v>
      </c>
      <c r="E49" s="12" t="s">
        <v>3</v>
      </c>
      <c r="F49" s="65" t="s">
        <v>6</v>
      </c>
      <c r="G49" s="68" t="s">
        <v>52</v>
      </c>
    </row>
    <row r="50" spans="1:7" x14ac:dyDescent="0.3">
      <c r="A50" s="5"/>
      <c r="B50" s="29" t="s">
        <v>44</v>
      </c>
      <c r="C50" s="30">
        <v>0.88</v>
      </c>
      <c r="D50" s="30">
        <v>0.9</v>
      </c>
      <c r="E50" s="39">
        <v>0.75</v>
      </c>
      <c r="F50" s="59">
        <v>4572</v>
      </c>
      <c r="G50" s="70">
        <v>4334</v>
      </c>
    </row>
    <row r="51" spans="1:7" x14ac:dyDescent="0.3">
      <c r="A51" s="5"/>
      <c r="B51" s="29"/>
      <c r="C51" s="30"/>
      <c r="D51" s="30"/>
      <c r="E51" s="39"/>
      <c r="F51" s="59"/>
      <c r="G51" s="70"/>
    </row>
    <row r="52" spans="1:7" x14ac:dyDescent="0.3">
      <c r="A52" s="5"/>
      <c r="B52" s="29"/>
      <c r="C52" s="30"/>
      <c r="D52" s="30"/>
      <c r="E52" s="39"/>
      <c r="F52" s="66"/>
      <c r="G52" s="83"/>
    </row>
    <row r="53" spans="1:7" x14ac:dyDescent="0.3">
      <c r="A53" s="5"/>
      <c r="B53" s="29"/>
      <c r="C53" s="30"/>
      <c r="D53" s="159" t="s">
        <v>46</v>
      </c>
      <c r="E53" s="160"/>
      <c r="F53" s="59" t="s">
        <v>8</v>
      </c>
      <c r="G53" s="70" t="s">
        <v>8</v>
      </c>
    </row>
    <row r="54" spans="1:7" x14ac:dyDescent="0.3">
      <c r="A54" s="3" t="s">
        <v>9</v>
      </c>
      <c r="B54" s="29" t="s">
        <v>100</v>
      </c>
      <c r="C54" s="30"/>
      <c r="D54" s="161"/>
      <c r="E54" s="162"/>
      <c r="F54" s="59" t="s">
        <v>8</v>
      </c>
      <c r="G54" s="70" t="s">
        <v>8</v>
      </c>
    </row>
    <row r="55" spans="1:7" x14ac:dyDescent="0.3">
      <c r="A55" s="7" t="s">
        <v>51</v>
      </c>
      <c r="B55" s="29"/>
      <c r="C55" s="30"/>
      <c r="D55" s="30"/>
      <c r="E55" s="39" t="s">
        <v>8</v>
      </c>
      <c r="F55" s="59" t="s">
        <v>8</v>
      </c>
      <c r="G55" s="70" t="s">
        <v>8</v>
      </c>
    </row>
    <row r="56" spans="1:7" x14ac:dyDescent="0.3">
      <c r="A56" s="1" t="s">
        <v>21</v>
      </c>
      <c r="B56" s="27" t="s">
        <v>0</v>
      </c>
      <c r="C56" s="28" t="s">
        <v>1</v>
      </c>
      <c r="D56" s="28" t="s">
        <v>2</v>
      </c>
      <c r="E56" s="12" t="s">
        <v>3</v>
      </c>
      <c r="F56" s="55" t="s">
        <v>4</v>
      </c>
      <c r="G56" s="68" t="s">
        <v>52</v>
      </c>
    </row>
    <row r="57" spans="1:7" x14ac:dyDescent="0.3">
      <c r="A57" s="91"/>
      <c r="B57" s="29" t="s">
        <v>23</v>
      </c>
      <c r="C57" s="30">
        <v>0.75</v>
      </c>
      <c r="D57" s="30">
        <v>0.73</v>
      </c>
      <c r="E57" s="39">
        <v>0.75</v>
      </c>
      <c r="F57" s="59">
        <v>2507</v>
      </c>
      <c r="G57" s="70">
        <v>2133</v>
      </c>
    </row>
    <row r="58" spans="1:7" x14ac:dyDescent="0.3">
      <c r="A58" s="2"/>
      <c r="B58" s="29"/>
      <c r="C58" s="30"/>
      <c r="D58" s="30"/>
      <c r="E58" s="39"/>
      <c r="F58" s="59"/>
      <c r="G58" s="70"/>
    </row>
    <row r="59" spans="1:7" x14ac:dyDescent="0.3">
      <c r="A59" s="2"/>
      <c r="B59" s="29"/>
      <c r="C59" s="30"/>
      <c r="D59" s="30"/>
      <c r="E59" s="39"/>
      <c r="F59" s="59"/>
      <c r="G59" s="70"/>
    </row>
    <row r="60" spans="1:7" x14ac:dyDescent="0.3">
      <c r="A60" s="2"/>
      <c r="B60" s="29"/>
      <c r="C60" s="30"/>
      <c r="D60" s="30"/>
      <c r="E60" s="39"/>
      <c r="F60" s="59"/>
      <c r="G60" s="70"/>
    </row>
    <row r="61" spans="1:7" ht="14.4" customHeight="1" x14ac:dyDescent="0.3">
      <c r="A61" s="2"/>
      <c r="B61" s="29"/>
      <c r="C61" s="30"/>
      <c r="D61" s="30"/>
      <c r="E61" s="44"/>
      <c r="F61" s="59" t="s">
        <v>8</v>
      </c>
      <c r="G61" s="70" t="s">
        <v>8</v>
      </c>
    </row>
    <row r="62" spans="1:7" ht="14.4" customHeight="1" x14ac:dyDescent="0.3">
      <c r="A62" s="8"/>
      <c r="B62" s="31"/>
      <c r="C62" s="32"/>
      <c r="D62" s="159" t="s">
        <v>101</v>
      </c>
      <c r="E62" s="160"/>
      <c r="F62" s="59" t="s">
        <v>8</v>
      </c>
      <c r="G62" s="70" t="s">
        <v>8</v>
      </c>
    </row>
    <row r="63" spans="1:7" ht="18" customHeight="1" x14ac:dyDescent="0.3">
      <c r="A63" s="8"/>
      <c r="B63" s="31"/>
      <c r="C63" s="32"/>
      <c r="D63" s="161"/>
      <c r="E63" s="162"/>
      <c r="F63" s="59"/>
      <c r="G63" s="70"/>
    </row>
    <row r="64" spans="1:7" x14ac:dyDescent="0.3">
      <c r="A64" s="3" t="s">
        <v>9</v>
      </c>
      <c r="B64" s="29" t="s">
        <v>104</v>
      </c>
      <c r="C64" s="30"/>
      <c r="D64" s="30"/>
      <c r="E64" s="39" t="s">
        <v>8</v>
      </c>
      <c r="F64" s="59" t="s">
        <v>8</v>
      </c>
      <c r="G64" s="70" t="s">
        <v>8</v>
      </c>
    </row>
    <row r="65" spans="1:7" x14ac:dyDescent="0.3">
      <c r="A65" s="7" t="s">
        <v>20</v>
      </c>
      <c r="B65" s="31"/>
      <c r="C65" s="30"/>
      <c r="D65" s="30"/>
      <c r="E65" s="39" t="s">
        <v>8</v>
      </c>
      <c r="F65" s="56" t="s">
        <v>8</v>
      </c>
      <c r="G65" s="78" t="s">
        <v>8</v>
      </c>
    </row>
    <row r="66" spans="1:7" x14ac:dyDescent="0.3">
      <c r="A66" s="125"/>
      <c r="B66" s="126"/>
      <c r="C66" s="127"/>
      <c r="D66" s="127"/>
      <c r="E66" s="128"/>
      <c r="F66" s="129"/>
      <c r="G66" s="129"/>
    </row>
    <row r="67" spans="1:7" x14ac:dyDescent="0.3">
      <c r="A67" s="125"/>
      <c r="B67" s="126"/>
      <c r="C67" s="127"/>
      <c r="D67" s="127"/>
      <c r="E67" s="128"/>
      <c r="F67" s="129"/>
      <c r="G67" s="129"/>
    </row>
    <row r="68" spans="1:7" x14ac:dyDescent="0.3">
      <c r="A68" s="125"/>
      <c r="B68" s="126"/>
      <c r="C68" s="127"/>
      <c r="D68" s="127"/>
      <c r="E68" s="128"/>
      <c r="F68" s="129"/>
      <c r="G68" s="129"/>
    </row>
    <row r="69" spans="1:7" x14ac:dyDescent="0.3">
      <c r="A69" s="125"/>
      <c r="B69" s="126"/>
      <c r="C69" s="127"/>
      <c r="D69" s="127"/>
      <c r="E69" s="128"/>
      <c r="F69" s="129"/>
      <c r="G69" s="129"/>
    </row>
    <row r="70" spans="1:7" x14ac:dyDescent="0.3">
      <c r="A70" s="125"/>
      <c r="B70" s="126"/>
      <c r="C70" s="127"/>
      <c r="D70" s="127"/>
      <c r="E70" s="128"/>
      <c r="F70" s="129"/>
      <c r="G70" s="129"/>
    </row>
    <row r="71" spans="1:7" x14ac:dyDescent="0.3">
      <c r="A71" s="125"/>
      <c r="B71" s="126"/>
      <c r="C71" s="127"/>
      <c r="D71" s="127"/>
      <c r="E71" s="128"/>
      <c r="F71" s="129"/>
      <c r="G71" s="129"/>
    </row>
    <row r="72" spans="1:7" x14ac:dyDescent="0.3">
      <c r="A72" s="1" t="s">
        <v>102</v>
      </c>
      <c r="B72" s="130" t="s">
        <v>0</v>
      </c>
      <c r="C72" s="131" t="s">
        <v>1</v>
      </c>
      <c r="D72" s="131" t="s">
        <v>2</v>
      </c>
      <c r="E72" s="12" t="s">
        <v>3</v>
      </c>
      <c r="F72" s="55" t="s">
        <v>6</v>
      </c>
      <c r="G72" s="68" t="s">
        <v>52</v>
      </c>
    </row>
    <row r="73" spans="1:7" x14ac:dyDescent="0.3">
      <c r="A73" s="5"/>
      <c r="B73" s="29" t="s">
        <v>44</v>
      </c>
      <c r="C73" s="30">
        <v>0.83</v>
      </c>
      <c r="D73" s="30">
        <v>0.9</v>
      </c>
      <c r="E73" s="39">
        <v>0.92</v>
      </c>
      <c r="F73" s="56">
        <v>2517</v>
      </c>
      <c r="G73" s="78">
        <v>2314</v>
      </c>
    </row>
    <row r="74" spans="1:7" x14ac:dyDescent="0.3">
      <c r="A74" s="5"/>
      <c r="B74" s="29"/>
      <c r="C74" s="30"/>
      <c r="D74" s="30"/>
      <c r="E74" s="39"/>
      <c r="F74" s="56"/>
      <c r="G74" s="78"/>
    </row>
    <row r="75" spans="1:7" x14ac:dyDescent="0.3">
      <c r="A75" s="5"/>
      <c r="B75" s="29"/>
      <c r="C75" s="30"/>
      <c r="D75" s="30"/>
      <c r="E75" s="39"/>
      <c r="F75" s="56"/>
      <c r="G75" s="78"/>
    </row>
    <row r="76" spans="1:7" x14ac:dyDescent="0.3">
      <c r="A76" s="5"/>
      <c r="B76" s="29"/>
      <c r="C76" s="30"/>
      <c r="D76" s="30"/>
      <c r="E76" s="43"/>
      <c r="F76" s="56" t="s">
        <v>8</v>
      </c>
      <c r="G76" s="69"/>
    </row>
    <row r="77" spans="1:7" x14ac:dyDescent="0.3">
      <c r="A77" s="5"/>
      <c r="B77" s="29"/>
      <c r="C77" s="30"/>
      <c r="D77" s="159" t="s">
        <v>41</v>
      </c>
      <c r="E77" s="160"/>
      <c r="F77" s="56" t="s">
        <v>8</v>
      </c>
      <c r="G77" s="69"/>
    </row>
    <row r="78" spans="1:7" x14ac:dyDescent="0.3">
      <c r="A78" s="5"/>
      <c r="B78" s="29" t="s">
        <v>97</v>
      </c>
      <c r="C78" s="30"/>
      <c r="D78" s="161"/>
      <c r="E78" s="162"/>
      <c r="F78" s="56" t="s">
        <v>8</v>
      </c>
      <c r="G78" s="69"/>
    </row>
    <row r="79" spans="1:7" x14ac:dyDescent="0.3">
      <c r="A79" s="3" t="s">
        <v>9</v>
      </c>
      <c r="B79" s="31"/>
      <c r="C79" s="30"/>
      <c r="D79" s="30"/>
      <c r="E79" s="39" t="s">
        <v>8</v>
      </c>
      <c r="F79" s="56" t="s">
        <v>8</v>
      </c>
      <c r="G79" s="69"/>
    </row>
    <row r="80" spans="1:7" x14ac:dyDescent="0.3">
      <c r="A80" s="7" t="s">
        <v>10</v>
      </c>
      <c r="B80" s="29"/>
      <c r="C80" s="30"/>
      <c r="D80" s="30"/>
      <c r="E80" s="39" t="s">
        <v>8</v>
      </c>
      <c r="F80" s="56" t="s">
        <v>8</v>
      </c>
      <c r="G80" s="69"/>
    </row>
    <row r="81" spans="1:7" x14ac:dyDescent="0.3">
      <c r="A81" s="1" t="s">
        <v>37</v>
      </c>
      <c r="B81" s="27" t="s">
        <v>0</v>
      </c>
      <c r="C81" s="28" t="s">
        <v>1</v>
      </c>
      <c r="D81" s="28" t="s">
        <v>2</v>
      </c>
      <c r="E81" s="12" t="s">
        <v>3</v>
      </c>
      <c r="F81" s="55" t="s">
        <v>72</v>
      </c>
      <c r="G81" s="68" t="s">
        <v>52</v>
      </c>
    </row>
    <row r="82" spans="1:7" x14ac:dyDescent="0.3">
      <c r="A82" s="5"/>
      <c r="B82" s="29" t="s">
        <v>23</v>
      </c>
      <c r="C82" s="30">
        <v>1</v>
      </c>
      <c r="D82" s="30">
        <v>1.1000000000000001</v>
      </c>
      <c r="E82" s="39">
        <v>0.82</v>
      </c>
      <c r="F82" s="59">
        <v>2582</v>
      </c>
      <c r="G82" s="70">
        <v>2220</v>
      </c>
    </row>
    <row r="83" spans="1:7" x14ac:dyDescent="0.3">
      <c r="A83" s="5"/>
      <c r="B83" s="29"/>
      <c r="C83" s="30"/>
      <c r="D83" s="30"/>
      <c r="E83" s="39"/>
      <c r="F83" s="59"/>
      <c r="G83" s="70"/>
    </row>
    <row r="84" spans="1:7" x14ac:dyDescent="0.3">
      <c r="A84" s="5"/>
      <c r="B84" s="29"/>
      <c r="C84" s="30"/>
      <c r="D84" s="109"/>
      <c r="E84" s="110"/>
      <c r="F84" s="59"/>
      <c r="G84" s="70"/>
    </row>
    <row r="85" spans="1:7" x14ac:dyDescent="0.3">
      <c r="A85" s="5"/>
      <c r="B85" s="29"/>
      <c r="C85" s="30"/>
      <c r="D85" s="30"/>
      <c r="E85" s="110"/>
      <c r="F85" s="59"/>
      <c r="G85" s="70"/>
    </row>
    <row r="86" spans="1:7" x14ac:dyDescent="0.3">
      <c r="A86" s="5"/>
      <c r="B86" s="29"/>
      <c r="C86" s="30"/>
      <c r="D86" s="159" t="s">
        <v>105</v>
      </c>
      <c r="E86" s="160"/>
      <c r="F86" s="59" t="s">
        <v>8</v>
      </c>
      <c r="G86" s="70" t="s">
        <v>8</v>
      </c>
    </row>
    <row r="87" spans="1:7" x14ac:dyDescent="0.3">
      <c r="A87" s="5"/>
      <c r="B87" s="29"/>
      <c r="C87" s="30"/>
      <c r="D87" s="161"/>
      <c r="E87" s="162"/>
      <c r="F87" s="59" t="s">
        <v>8</v>
      </c>
      <c r="G87" s="70"/>
    </row>
    <row r="88" spans="1:7" x14ac:dyDescent="0.3">
      <c r="A88" s="3" t="s">
        <v>9</v>
      </c>
      <c r="B88" s="42" t="s">
        <v>32</v>
      </c>
      <c r="C88" s="30"/>
      <c r="D88" s="30"/>
      <c r="E88" s="18" t="s">
        <v>8</v>
      </c>
      <c r="F88" s="59" t="s">
        <v>8</v>
      </c>
      <c r="G88" s="70"/>
    </row>
    <row r="89" spans="1:7" x14ac:dyDescent="0.3">
      <c r="A89" s="7" t="s">
        <v>10</v>
      </c>
      <c r="B89" s="29"/>
      <c r="C89" s="30"/>
      <c r="D89" s="30"/>
      <c r="E89" s="18" t="s">
        <v>8</v>
      </c>
      <c r="F89" s="59" t="s">
        <v>8</v>
      </c>
      <c r="G89" s="70" t="s">
        <v>8</v>
      </c>
    </row>
    <row r="90" spans="1:7" x14ac:dyDescent="0.3">
      <c r="A90" s="1" t="s">
        <v>28</v>
      </c>
      <c r="B90" s="27" t="s">
        <v>0</v>
      </c>
      <c r="C90" s="28" t="s">
        <v>1</v>
      </c>
      <c r="D90" s="28" t="s">
        <v>2</v>
      </c>
      <c r="E90" s="12" t="s">
        <v>3</v>
      </c>
      <c r="F90" s="55" t="s">
        <v>35</v>
      </c>
      <c r="G90" s="68" t="s">
        <v>52</v>
      </c>
    </row>
    <row r="91" spans="1:7" x14ac:dyDescent="0.3">
      <c r="A91" s="36"/>
      <c r="B91" s="29" t="s">
        <v>44</v>
      </c>
      <c r="C91" s="30">
        <v>0.94</v>
      </c>
      <c r="D91" s="30">
        <v>0.8</v>
      </c>
      <c r="E91" s="39">
        <v>0.7</v>
      </c>
      <c r="F91" s="59">
        <v>2501</v>
      </c>
      <c r="G91" s="70">
        <v>2438</v>
      </c>
    </row>
    <row r="92" spans="1:7" x14ac:dyDescent="0.3">
      <c r="A92" s="5"/>
      <c r="B92" s="29"/>
      <c r="C92" s="30"/>
      <c r="D92" s="30"/>
      <c r="E92" s="39"/>
      <c r="F92" s="59"/>
      <c r="G92" s="70"/>
    </row>
    <row r="93" spans="1:7" x14ac:dyDescent="0.3">
      <c r="A93" s="5"/>
      <c r="B93" s="29"/>
      <c r="C93" s="30"/>
      <c r="D93" s="30"/>
      <c r="E93" s="39"/>
      <c r="F93" s="59"/>
      <c r="G93" s="70"/>
    </row>
    <row r="94" spans="1:7" x14ac:dyDescent="0.3">
      <c r="A94" s="6"/>
      <c r="B94" s="31"/>
      <c r="C94" s="32"/>
      <c r="D94" s="32"/>
      <c r="E94" s="39"/>
      <c r="F94" s="59"/>
      <c r="G94" s="70"/>
    </row>
    <row r="95" spans="1:7" x14ac:dyDescent="0.3">
      <c r="A95" s="5"/>
      <c r="B95" s="33"/>
      <c r="C95" s="30"/>
      <c r="D95" s="159" t="s">
        <v>107</v>
      </c>
      <c r="E95" s="160"/>
      <c r="F95" s="59" t="s">
        <v>8</v>
      </c>
      <c r="G95" s="70" t="s">
        <v>8</v>
      </c>
    </row>
    <row r="96" spans="1:7" x14ac:dyDescent="0.3">
      <c r="A96" s="5"/>
      <c r="B96" s="29"/>
      <c r="C96" s="30"/>
      <c r="D96" s="161"/>
      <c r="E96" s="162"/>
      <c r="F96" s="59" t="s">
        <v>8</v>
      </c>
      <c r="G96" s="70" t="s">
        <v>8</v>
      </c>
    </row>
    <row r="97" spans="1:7" x14ac:dyDescent="0.3">
      <c r="A97" s="3" t="s">
        <v>9</v>
      </c>
      <c r="B97" s="42" t="s">
        <v>97</v>
      </c>
      <c r="C97" s="30"/>
      <c r="D97" s="30"/>
      <c r="E97" s="39" t="s">
        <v>8</v>
      </c>
      <c r="F97" s="59" t="s">
        <v>8</v>
      </c>
      <c r="G97" s="70" t="s">
        <v>8</v>
      </c>
    </row>
    <row r="98" spans="1:7" x14ac:dyDescent="0.3">
      <c r="A98" s="7" t="s">
        <v>29</v>
      </c>
      <c r="B98" s="105" t="s">
        <v>106</v>
      </c>
      <c r="C98" s="30"/>
      <c r="D98" s="30"/>
      <c r="E98" s="39" t="s">
        <v>8</v>
      </c>
      <c r="F98" s="59" t="s">
        <v>8</v>
      </c>
      <c r="G98" s="70" t="s">
        <v>8</v>
      </c>
    </row>
  </sheetData>
  <mergeCells count="12">
    <mergeCell ref="D4:E5"/>
    <mergeCell ref="D45:E46"/>
    <mergeCell ref="D29:E30"/>
    <mergeCell ref="D95:E96"/>
    <mergeCell ref="D12:E12"/>
    <mergeCell ref="D13:E13"/>
    <mergeCell ref="D21:E22"/>
    <mergeCell ref="D37:E38"/>
    <mergeCell ref="D53:E54"/>
    <mergeCell ref="D62:E63"/>
    <mergeCell ref="D77:E78"/>
    <mergeCell ref="D86:E87"/>
  </mergeCells>
  <hyperlinks>
    <hyperlink ref="A7" r:id="rId1" display="ESTÚDIO GALHO" xr:uid="{2C52B433-1375-4F53-A8F9-2377EC06F77D}"/>
    <hyperlink ref="A89" r:id="rId2" xr:uid="{136256F8-427B-4E71-A97A-AFFD3A6770D7}"/>
    <hyperlink ref="A15" r:id="rId3" xr:uid="{9AD27229-2B4C-417E-81C7-4C22E7E25B17}"/>
    <hyperlink ref="A39" r:id="rId4" xr:uid="{DE0A2D8E-85CE-4CFB-8D1B-C50E58791E9A}"/>
    <hyperlink ref="A65" r:id="rId5" display="JOÃO V. DEMELE" xr:uid="{70AC63CD-AEC2-42F1-BD4F-E9C2C90C25F5}"/>
    <hyperlink ref="A24" r:id="rId6" xr:uid="{1C65A9D5-7DDE-4F49-9503-60436D0CBECE}"/>
    <hyperlink ref="A50" r:id="rId7" display="LUCIANO SANTELLI" xr:uid="{9F45D312-C993-411D-B40C-20D5E48D61E3}"/>
    <hyperlink ref="A48" r:id="rId8" xr:uid="{9F45D312-C993-411D-B40C-20D5E48D61E3}"/>
    <hyperlink ref="A80" r:id="rId9" xr:uid="{9F771DFC-6A74-433A-816A-14D756BE4EA2}"/>
    <hyperlink ref="A98" r:id="rId10" xr:uid="{EF54C236-7784-4B0F-A9E6-B63CC75DDD3F}"/>
    <hyperlink ref="A32" r:id="rId11" display="JOÃO V. DEMELE" xr:uid="{6ED1C4C0-2267-4934-AB8D-0025650B7771}"/>
  </hyperlinks>
  <pageMargins left="0.511811024" right="0.511811024" top="0.78740157499999996" bottom="0.78740157499999996" header="0.31496062000000002" footer="0.31496062000000002"/>
  <pageSetup paperSize="9" scale="65" orientation="portrait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16DF-8570-45AA-94E0-B95D5D4783CD}">
  <dimension ref="A1:G27"/>
  <sheetViews>
    <sheetView topLeftCell="A6" workbookViewId="0">
      <selection activeCell="H21" sqref="H21"/>
    </sheetView>
  </sheetViews>
  <sheetFormatPr defaultRowHeight="15.6" x14ac:dyDescent="0.3"/>
  <cols>
    <col min="1" max="1" width="30.77734375" customWidth="1"/>
    <col min="2" max="2" width="24.109375" style="14" customWidth="1"/>
    <col min="3" max="3" width="8.88671875" style="14"/>
    <col min="4" max="4" width="10.88671875" style="14" customWidth="1"/>
    <col min="5" max="5" width="12.44140625" style="14" customWidth="1"/>
    <col min="6" max="6" width="10.6640625" style="14" customWidth="1"/>
    <col min="7" max="7" width="16.5546875" customWidth="1"/>
  </cols>
  <sheetData>
    <row r="1" spans="1:7" ht="13.8" customHeight="1" x14ac:dyDescent="0.3">
      <c r="A1" s="9" t="s">
        <v>22</v>
      </c>
      <c r="B1" s="27" t="s">
        <v>0</v>
      </c>
      <c r="C1" s="28" t="s">
        <v>1</v>
      </c>
      <c r="D1" s="28" t="s">
        <v>2</v>
      </c>
      <c r="E1" s="12" t="s">
        <v>3</v>
      </c>
      <c r="F1" s="55" t="s">
        <v>72</v>
      </c>
      <c r="G1" s="68" t="s">
        <v>52</v>
      </c>
    </row>
    <row r="2" spans="1:7" x14ac:dyDescent="0.3">
      <c r="A2" s="5"/>
      <c r="B2" s="25" t="s">
        <v>36</v>
      </c>
      <c r="C2" s="17">
        <v>1.9</v>
      </c>
      <c r="D2" s="17">
        <v>0.5</v>
      </c>
      <c r="E2" s="39">
        <v>0.43</v>
      </c>
      <c r="F2" s="59">
        <v>3994</v>
      </c>
      <c r="G2" s="70">
        <v>3637</v>
      </c>
    </row>
    <row r="3" spans="1:7" x14ac:dyDescent="0.3">
      <c r="A3" s="5"/>
      <c r="B3" s="29"/>
      <c r="C3" s="30"/>
      <c r="D3" s="30"/>
      <c r="E3" s="39"/>
      <c r="F3" s="66"/>
      <c r="G3" s="72"/>
    </row>
    <row r="4" spans="1:7" x14ac:dyDescent="0.3">
      <c r="A4" s="5"/>
      <c r="B4" s="29"/>
      <c r="C4" s="30"/>
      <c r="D4" s="30"/>
      <c r="E4" s="39"/>
      <c r="F4" s="66" t="s">
        <v>8</v>
      </c>
      <c r="G4" s="72"/>
    </row>
    <row r="5" spans="1:7" x14ac:dyDescent="0.3">
      <c r="A5" s="5"/>
      <c r="B5" s="29"/>
      <c r="C5" s="30"/>
      <c r="D5" s="30"/>
      <c r="E5" s="39"/>
      <c r="F5" s="66" t="s">
        <v>8</v>
      </c>
      <c r="G5" s="72"/>
    </row>
    <row r="6" spans="1:7" ht="14.4" customHeight="1" x14ac:dyDescent="0.3">
      <c r="A6" s="5"/>
      <c r="B6" s="33"/>
      <c r="C6" s="32"/>
      <c r="D6" s="32"/>
      <c r="E6" s="159" t="s">
        <v>108</v>
      </c>
      <c r="F6" s="59" t="s">
        <v>8</v>
      </c>
      <c r="G6" s="72"/>
    </row>
    <row r="7" spans="1:7" ht="14.4" customHeight="1" x14ac:dyDescent="0.3">
      <c r="A7" s="4"/>
      <c r="B7" s="29" t="s">
        <v>92</v>
      </c>
      <c r="C7" s="32"/>
      <c r="D7" s="32"/>
      <c r="E7" s="161"/>
      <c r="F7" s="59" t="s">
        <v>8</v>
      </c>
      <c r="G7" s="72"/>
    </row>
    <row r="8" spans="1:7" x14ac:dyDescent="0.3">
      <c r="A8" s="3" t="s">
        <v>9</v>
      </c>
      <c r="B8" s="31"/>
      <c r="C8" s="30"/>
      <c r="D8" s="30"/>
      <c r="E8" s="39" t="s">
        <v>8</v>
      </c>
      <c r="F8" s="59" t="s">
        <v>8</v>
      </c>
      <c r="G8" s="72"/>
    </row>
    <row r="9" spans="1:7" x14ac:dyDescent="0.3">
      <c r="A9" s="7" t="s">
        <v>20</v>
      </c>
      <c r="B9" s="29"/>
      <c r="C9" s="30"/>
      <c r="D9" s="30"/>
      <c r="E9" s="39" t="s">
        <v>8</v>
      </c>
      <c r="F9" s="59" t="s">
        <v>8</v>
      </c>
      <c r="G9" s="72"/>
    </row>
    <row r="10" spans="1:7" x14ac:dyDescent="0.3">
      <c r="A10" s="9" t="s">
        <v>109</v>
      </c>
      <c r="B10" s="27" t="s">
        <v>0</v>
      </c>
      <c r="C10" s="28" t="s">
        <v>1</v>
      </c>
      <c r="D10" s="28" t="s">
        <v>2</v>
      </c>
      <c r="E10" s="12" t="s">
        <v>3</v>
      </c>
      <c r="F10" s="55" t="s">
        <v>72</v>
      </c>
      <c r="G10" s="68" t="s">
        <v>52</v>
      </c>
    </row>
    <row r="11" spans="1:7" x14ac:dyDescent="0.3">
      <c r="A11" s="5"/>
      <c r="B11" s="25" t="s">
        <v>110</v>
      </c>
      <c r="C11" s="17">
        <v>2.12</v>
      </c>
      <c r="D11" s="17">
        <v>2.2200000000000002</v>
      </c>
      <c r="E11" s="39">
        <v>1</v>
      </c>
      <c r="F11" s="56">
        <v>5774</v>
      </c>
      <c r="G11" s="78">
        <v>4454</v>
      </c>
    </row>
    <row r="12" spans="1:7" x14ac:dyDescent="0.3">
      <c r="A12" s="5"/>
      <c r="B12" s="29"/>
      <c r="C12" s="30"/>
      <c r="D12" s="30"/>
      <c r="E12" s="39"/>
      <c r="F12" s="67"/>
      <c r="G12" s="69"/>
    </row>
    <row r="13" spans="1:7" x14ac:dyDescent="0.3">
      <c r="A13" s="5"/>
      <c r="B13" s="29"/>
      <c r="C13" s="30"/>
      <c r="D13" s="30"/>
      <c r="E13" s="39"/>
      <c r="F13" s="67"/>
      <c r="G13" s="69"/>
    </row>
    <row r="14" spans="1:7" x14ac:dyDescent="0.3">
      <c r="A14" s="5"/>
      <c r="B14" s="29"/>
      <c r="C14" s="30"/>
      <c r="D14" s="30"/>
      <c r="E14" s="39"/>
      <c r="F14" s="67" t="s">
        <v>8</v>
      </c>
      <c r="G14" s="69"/>
    </row>
    <row r="15" spans="1:7" ht="14.4" customHeight="1" x14ac:dyDescent="0.3">
      <c r="A15" s="5"/>
      <c r="B15" s="33"/>
      <c r="C15" s="32"/>
      <c r="D15" s="32"/>
      <c r="E15" s="159" t="s">
        <v>111</v>
      </c>
      <c r="F15" s="56" t="s">
        <v>8</v>
      </c>
      <c r="G15" s="69"/>
    </row>
    <row r="16" spans="1:7" ht="14.4" customHeight="1" x14ac:dyDescent="0.3">
      <c r="A16" s="4"/>
      <c r="B16" s="29"/>
      <c r="C16" s="32"/>
      <c r="D16" s="32"/>
      <c r="E16" s="161"/>
      <c r="F16" s="56" t="s">
        <v>8</v>
      </c>
      <c r="G16" s="69"/>
    </row>
    <row r="17" spans="1:7" x14ac:dyDescent="0.3">
      <c r="A17" s="3" t="s">
        <v>9</v>
      </c>
      <c r="B17" s="42" t="s">
        <v>92</v>
      </c>
      <c r="C17" s="30"/>
      <c r="D17" s="30"/>
      <c r="E17" s="39" t="s">
        <v>8</v>
      </c>
      <c r="F17" s="56" t="s">
        <v>8</v>
      </c>
      <c r="G17" s="69"/>
    </row>
    <row r="18" spans="1:7" x14ac:dyDescent="0.3">
      <c r="A18" s="7" t="s">
        <v>10</v>
      </c>
      <c r="B18" s="29"/>
      <c r="C18" s="30"/>
      <c r="D18" s="30"/>
      <c r="E18" s="39" t="s">
        <v>8</v>
      </c>
      <c r="F18" s="56" t="s">
        <v>8</v>
      </c>
      <c r="G18" s="69"/>
    </row>
    <row r="19" spans="1:7" x14ac:dyDescent="0.3">
      <c r="A19" s="1" t="s">
        <v>115</v>
      </c>
      <c r="B19" s="27" t="s">
        <v>0</v>
      </c>
      <c r="C19" s="28" t="s">
        <v>1</v>
      </c>
      <c r="D19" s="28" t="s">
        <v>2</v>
      </c>
      <c r="E19" s="12" t="s">
        <v>3</v>
      </c>
      <c r="F19" s="13" t="s">
        <v>7</v>
      </c>
      <c r="G19" s="68" t="s">
        <v>52</v>
      </c>
    </row>
    <row r="20" spans="1:7" x14ac:dyDescent="0.3">
      <c r="A20" s="5"/>
      <c r="B20" s="25" t="s">
        <v>24</v>
      </c>
      <c r="C20" s="17">
        <v>0.67</v>
      </c>
      <c r="D20" s="40">
        <v>0.67</v>
      </c>
      <c r="E20" s="39">
        <v>0.45</v>
      </c>
      <c r="F20" s="59">
        <v>974</v>
      </c>
      <c r="G20" s="78">
        <v>682</v>
      </c>
    </row>
    <row r="21" spans="1:7" x14ac:dyDescent="0.3">
      <c r="A21" s="5"/>
      <c r="B21" s="29" t="s">
        <v>24</v>
      </c>
      <c r="C21" s="30">
        <v>1.1000000000000001</v>
      </c>
      <c r="D21" s="41">
        <v>1.1000000000000001</v>
      </c>
      <c r="E21" s="39">
        <v>0.4</v>
      </c>
      <c r="F21" s="59">
        <v>1859</v>
      </c>
      <c r="G21" s="78">
        <v>1368</v>
      </c>
    </row>
    <row r="22" spans="1:7" x14ac:dyDescent="0.3">
      <c r="A22" s="5"/>
      <c r="B22" s="29"/>
      <c r="C22" s="30"/>
      <c r="D22" s="41"/>
      <c r="E22" s="39"/>
      <c r="F22" s="66"/>
      <c r="G22" s="69"/>
    </row>
    <row r="23" spans="1:7" x14ac:dyDescent="0.3">
      <c r="A23" s="5"/>
      <c r="B23" s="29"/>
      <c r="C23" s="30"/>
      <c r="D23" s="41"/>
      <c r="E23" s="39"/>
      <c r="F23" s="66" t="s">
        <v>8</v>
      </c>
      <c r="G23" s="69"/>
    </row>
    <row r="24" spans="1:7" x14ac:dyDescent="0.3">
      <c r="A24" s="5"/>
      <c r="B24" s="33"/>
      <c r="C24" s="32"/>
      <c r="D24" s="159" t="s">
        <v>116</v>
      </c>
      <c r="E24" s="160"/>
      <c r="F24" s="59" t="s">
        <v>8</v>
      </c>
      <c r="G24" s="69"/>
    </row>
    <row r="25" spans="1:7" x14ac:dyDescent="0.3">
      <c r="A25" s="4"/>
      <c r="B25" s="29"/>
      <c r="C25" s="32"/>
      <c r="D25" s="161"/>
      <c r="E25" s="162"/>
      <c r="F25" s="59" t="s">
        <v>8</v>
      </c>
      <c r="G25" s="69"/>
    </row>
    <row r="26" spans="1:7" x14ac:dyDescent="0.3">
      <c r="A26" s="3" t="s">
        <v>9</v>
      </c>
      <c r="B26" s="115" t="s">
        <v>117</v>
      </c>
      <c r="C26" s="30"/>
      <c r="D26" s="30"/>
      <c r="E26" s="39" t="s">
        <v>8</v>
      </c>
      <c r="F26" s="59" t="s">
        <v>8</v>
      </c>
      <c r="G26" s="69"/>
    </row>
    <row r="27" spans="1:7" x14ac:dyDescent="0.3">
      <c r="A27" s="7" t="s">
        <v>10</v>
      </c>
      <c r="B27" s="29"/>
      <c r="C27" s="30"/>
      <c r="D27" s="30"/>
      <c r="E27" s="39" t="s">
        <v>8</v>
      </c>
      <c r="F27" s="59" t="s">
        <v>8</v>
      </c>
      <c r="G27" s="69"/>
    </row>
  </sheetData>
  <mergeCells count="3">
    <mergeCell ref="E6:E7"/>
    <mergeCell ref="E15:E16"/>
    <mergeCell ref="D24:E25"/>
  </mergeCells>
  <hyperlinks>
    <hyperlink ref="A9" r:id="rId1" display="JOÃO V. DEMELE" xr:uid="{34D02B70-AFBC-488F-BEBB-2717BE3E677B}"/>
    <hyperlink ref="A18" r:id="rId2" xr:uid="{FFFA33ED-637F-4E54-8365-6E32F1F591E6}"/>
    <hyperlink ref="A27" r:id="rId3" xr:uid="{0522395D-ADF8-41CE-8B7E-C0E4FB9643D5}"/>
  </hyperlinks>
  <pageMargins left="0.511811024" right="0.511811024" top="0.78740157499999996" bottom="0.78740157499999996" header="0.31496062000000002" footer="0.31496062000000002"/>
  <pageSetup paperSize="9" scale="80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9E34-A85A-421D-AB2F-667D7F93D0F5}">
  <dimension ref="A1:G47"/>
  <sheetViews>
    <sheetView topLeftCell="A26" workbookViewId="0">
      <selection activeCell="G39" sqref="G39"/>
    </sheetView>
  </sheetViews>
  <sheetFormatPr defaultRowHeight="15.6" x14ac:dyDescent="0.3"/>
  <cols>
    <col min="1" max="1" width="39.33203125" style="14" customWidth="1"/>
    <col min="2" max="2" width="56.44140625" style="14" bestFit="1" customWidth="1"/>
    <col min="3" max="4" width="8.88671875" style="14"/>
    <col min="5" max="5" width="10" style="14" customWidth="1"/>
    <col min="6" max="6" width="12" style="14" customWidth="1"/>
    <col min="7" max="7" width="16.5546875" style="14" customWidth="1"/>
    <col min="8" max="16384" width="8.88671875" style="14"/>
  </cols>
  <sheetData>
    <row r="1" spans="1:7" x14ac:dyDescent="0.3">
      <c r="A1" s="9" t="s">
        <v>118</v>
      </c>
      <c r="B1" s="120" t="s">
        <v>0</v>
      </c>
      <c r="C1" s="11" t="s">
        <v>1</v>
      </c>
      <c r="D1" s="11" t="s">
        <v>2</v>
      </c>
      <c r="E1" s="12" t="s">
        <v>3</v>
      </c>
      <c r="F1" s="55" t="s">
        <v>13</v>
      </c>
      <c r="G1" s="68" t="s">
        <v>52</v>
      </c>
    </row>
    <row r="2" spans="1:7" x14ac:dyDescent="0.3">
      <c r="A2" s="15"/>
      <c r="B2" s="121" t="s">
        <v>144</v>
      </c>
      <c r="C2" s="17">
        <v>1.75</v>
      </c>
      <c r="D2" s="40">
        <v>1.1000000000000001</v>
      </c>
      <c r="E2" s="39">
        <v>0.77</v>
      </c>
      <c r="F2" s="59">
        <v>6624</v>
      </c>
      <c r="G2" s="71">
        <v>4586</v>
      </c>
    </row>
    <row r="3" spans="1:7" x14ac:dyDescent="0.3">
      <c r="A3" s="19"/>
      <c r="B3" s="121" t="s">
        <v>143</v>
      </c>
      <c r="C3" s="17">
        <v>1.25</v>
      </c>
      <c r="D3" s="40">
        <v>1.1000000000000001</v>
      </c>
      <c r="E3" s="39">
        <v>0.77</v>
      </c>
      <c r="F3" s="59">
        <v>4772</v>
      </c>
      <c r="G3" s="71">
        <v>3299</v>
      </c>
    </row>
    <row r="4" spans="1:7" x14ac:dyDescent="0.3">
      <c r="A4" s="19"/>
      <c r="B4" s="121" t="s">
        <v>142</v>
      </c>
      <c r="C4" s="17">
        <v>1.25</v>
      </c>
      <c r="D4" s="40">
        <v>1.95</v>
      </c>
      <c r="E4" s="39">
        <v>0.77</v>
      </c>
      <c r="F4" s="59">
        <v>5823</v>
      </c>
      <c r="G4" s="71">
        <v>4264</v>
      </c>
    </row>
    <row r="5" spans="1:7" x14ac:dyDescent="0.3">
      <c r="A5" s="19"/>
      <c r="B5" s="25"/>
      <c r="C5" s="17"/>
      <c r="D5" s="40"/>
      <c r="E5" s="39"/>
      <c r="F5" s="59"/>
      <c r="G5" s="71"/>
    </row>
    <row r="6" spans="1:7" x14ac:dyDescent="0.3">
      <c r="A6" s="19"/>
      <c r="B6" s="26"/>
      <c r="C6" s="17"/>
      <c r="D6" s="40"/>
      <c r="E6" s="39"/>
      <c r="F6" s="59"/>
      <c r="G6" s="71"/>
    </row>
    <row r="7" spans="1:7" x14ac:dyDescent="0.3">
      <c r="A7" s="19"/>
      <c r="B7" s="149" t="s">
        <v>119</v>
      </c>
      <c r="C7" s="143" t="s">
        <v>147</v>
      </c>
      <c r="D7" s="144"/>
      <c r="E7" s="145"/>
      <c r="F7" s="59"/>
      <c r="G7" s="71"/>
    </row>
    <row r="8" spans="1:7" x14ac:dyDescent="0.3">
      <c r="A8" s="19"/>
      <c r="B8" s="149"/>
      <c r="C8" s="146"/>
      <c r="D8" s="147"/>
      <c r="E8" s="148"/>
      <c r="F8" s="57"/>
      <c r="G8" s="71"/>
    </row>
    <row r="9" spans="1:7" ht="16.8" customHeight="1" x14ac:dyDescent="0.3">
      <c r="A9" s="19"/>
      <c r="B9" s="16"/>
      <c r="C9" s="23"/>
      <c r="D9" s="48"/>
      <c r="E9" s="44"/>
      <c r="F9" s="58"/>
      <c r="G9" s="71"/>
    </row>
    <row r="10" spans="1:7" ht="16.8" customHeight="1" x14ac:dyDescent="0.3">
      <c r="A10" s="21" t="s">
        <v>9</v>
      </c>
      <c r="B10" s="26" t="s">
        <v>146</v>
      </c>
      <c r="C10" s="46"/>
      <c r="D10" s="46"/>
      <c r="E10" s="44"/>
      <c r="F10" s="62"/>
      <c r="G10" s="82"/>
    </row>
    <row r="11" spans="1:7" ht="16.8" customHeight="1" x14ac:dyDescent="0.3">
      <c r="A11" s="119" t="s">
        <v>137</v>
      </c>
      <c r="B11" s="26"/>
      <c r="C11" s="133" t="s">
        <v>43</v>
      </c>
      <c r="D11" s="134"/>
      <c r="E11" s="135"/>
      <c r="F11" s="73">
        <f>SUM(F2:F10)</f>
        <v>17219</v>
      </c>
      <c r="G11" s="84">
        <f>SUM(G2:G10)</f>
        <v>12149</v>
      </c>
    </row>
    <row r="12" spans="1:7" x14ac:dyDescent="0.3">
      <c r="A12" s="9" t="s">
        <v>15</v>
      </c>
      <c r="B12" s="10" t="s">
        <v>0</v>
      </c>
      <c r="C12" s="11" t="s">
        <v>1</v>
      </c>
      <c r="D12" s="11" t="s">
        <v>2</v>
      </c>
      <c r="E12" s="12" t="s">
        <v>3</v>
      </c>
      <c r="F12" s="55" t="s">
        <v>13</v>
      </c>
      <c r="G12" s="68" t="s">
        <v>52</v>
      </c>
    </row>
    <row r="13" spans="1:7" x14ac:dyDescent="0.3">
      <c r="A13" s="15"/>
      <c r="B13" s="26" t="s">
        <v>50</v>
      </c>
      <c r="C13" s="17">
        <v>1.8</v>
      </c>
      <c r="D13" s="40">
        <v>1.36</v>
      </c>
      <c r="E13" s="39">
        <v>0.74</v>
      </c>
      <c r="F13" s="59">
        <v>8650</v>
      </c>
      <c r="G13" s="71">
        <v>5844</v>
      </c>
    </row>
    <row r="14" spans="1:7" x14ac:dyDescent="0.3">
      <c r="A14" s="19"/>
      <c r="B14" s="26" t="s">
        <v>49</v>
      </c>
      <c r="C14" s="17">
        <v>1.65</v>
      </c>
      <c r="D14" s="40">
        <v>1.4</v>
      </c>
      <c r="E14" s="39">
        <v>0.74</v>
      </c>
      <c r="F14" s="59">
        <v>6098</v>
      </c>
      <c r="G14" s="71">
        <v>4461</v>
      </c>
    </row>
    <row r="15" spans="1:7" x14ac:dyDescent="0.3">
      <c r="A15" s="19"/>
      <c r="B15" s="26"/>
      <c r="C15" s="17"/>
      <c r="D15" s="40"/>
      <c r="E15" s="39"/>
      <c r="F15" s="59"/>
      <c r="G15" s="71"/>
    </row>
    <row r="16" spans="1:7" x14ac:dyDescent="0.3">
      <c r="A16" s="19"/>
      <c r="B16" s="26"/>
      <c r="C16" s="17"/>
      <c r="D16" s="40"/>
      <c r="E16" s="39"/>
      <c r="F16" s="59"/>
      <c r="G16" s="71"/>
    </row>
    <row r="17" spans="1:7" x14ac:dyDescent="0.3">
      <c r="A17" s="19"/>
      <c r="B17" s="26"/>
      <c r="C17" s="17"/>
      <c r="D17" s="40"/>
      <c r="E17" s="39"/>
      <c r="F17" s="59"/>
      <c r="G17" s="71"/>
    </row>
    <row r="18" spans="1:7" ht="15.6" customHeight="1" x14ac:dyDescent="0.3">
      <c r="A18" s="19"/>
      <c r="B18" s="149" t="s">
        <v>120</v>
      </c>
      <c r="C18" s="143" t="s">
        <v>172</v>
      </c>
      <c r="D18" s="144"/>
      <c r="E18" s="145"/>
      <c r="F18" s="59"/>
      <c r="G18" s="71"/>
    </row>
    <row r="19" spans="1:7" ht="15.6" customHeight="1" x14ac:dyDescent="0.3">
      <c r="A19" s="19"/>
      <c r="B19" s="149"/>
      <c r="C19" s="146"/>
      <c r="D19" s="147"/>
      <c r="E19" s="148"/>
      <c r="F19" s="57"/>
      <c r="G19" s="71"/>
    </row>
    <row r="20" spans="1:7" ht="15.6" customHeight="1" x14ac:dyDescent="0.3">
      <c r="A20" s="19"/>
      <c r="B20" s="16"/>
      <c r="C20" s="23"/>
      <c r="D20" s="48"/>
      <c r="E20" s="44"/>
      <c r="F20" s="58"/>
      <c r="G20" s="71"/>
    </row>
    <row r="21" spans="1:7" ht="15.6" customHeight="1" x14ac:dyDescent="0.3">
      <c r="A21" s="21" t="s">
        <v>9</v>
      </c>
      <c r="B21" s="26" t="s">
        <v>121</v>
      </c>
      <c r="C21" s="46"/>
      <c r="D21" s="46"/>
      <c r="E21" s="44"/>
      <c r="F21" s="62"/>
      <c r="G21" s="82"/>
    </row>
    <row r="22" spans="1:7" ht="21" x14ac:dyDescent="0.3">
      <c r="A22" s="35" t="s">
        <v>18</v>
      </c>
      <c r="B22" s="16"/>
      <c r="C22" s="133" t="s">
        <v>43</v>
      </c>
      <c r="D22" s="134"/>
      <c r="E22" s="135"/>
      <c r="F22" s="73">
        <f>SUM(F13:F21)</f>
        <v>14748</v>
      </c>
      <c r="G22" s="84">
        <f>SUM(G13:G21)</f>
        <v>10305</v>
      </c>
    </row>
    <row r="23" spans="1:7" x14ac:dyDescent="0.3">
      <c r="A23" s="9" t="s">
        <v>122</v>
      </c>
      <c r="B23" s="120" t="s">
        <v>0</v>
      </c>
      <c r="C23" s="11" t="s">
        <v>1</v>
      </c>
      <c r="D23" s="11" t="s">
        <v>2</v>
      </c>
      <c r="E23" s="12" t="s">
        <v>3</v>
      </c>
      <c r="F23" s="55" t="s">
        <v>7</v>
      </c>
      <c r="G23" s="68" t="s">
        <v>52</v>
      </c>
    </row>
    <row r="24" spans="1:7" x14ac:dyDescent="0.3">
      <c r="A24" s="15"/>
      <c r="B24" s="121" t="s">
        <v>150</v>
      </c>
      <c r="C24" s="17">
        <v>1.75</v>
      </c>
      <c r="D24" s="17">
        <v>1.5</v>
      </c>
      <c r="E24" s="39">
        <v>0.65</v>
      </c>
      <c r="F24" s="59">
        <v>5848</v>
      </c>
      <c r="G24" s="70">
        <v>4400</v>
      </c>
    </row>
    <row r="25" spans="1:7" x14ac:dyDescent="0.3">
      <c r="A25" s="19"/>
      <c r="B25" s="121" t="s">
        <v>148</v>
      </c>
      <c r="C25" s="17">
        <v>1.8</v>
      </c>
      <c r="D25" s="17">
        <v>1.8</v>
      </c>
      <c r="E25" s="39">
        <v>0.65</v>
      </c>
      <c r="F25" s="59">
        <v>6700</v>
      </c>
      <c r="G25" s="70">
        <v>5051</v>
      </c>
    </row>
    <row r="26" spans="1:7" x14ac:dyDescent="0.3">
      <c r="A26" s="19"/>
      <c r="B26" s="121" t="s">
        <v>149</v>
      </c>
      <c r="C26" s="17">
        <v>1.35</v>
      </c>
      <c r="D26" s="17">
        <v>1.05</v>
      </c>
      <c r="E26" s="39">
        <v>0.65</v>
      </c>
      <c r="F26" s="59">
        <v>3768</v>
      </c>
      <c r="G26" s="70">
        <v>2668</v>
      </c>
    </row>
    <row r="27" spans="1:7" x14ac:dyDescent="0.3">
      <c r="A27" s="19"/>
      <c r="B27" s="121" t="s">
        <v>151</v>
      </c>
      <c r="C27" s="17">
        <v>1.75</v>
      </c>
      <c r="D27" s="17">
        <v>1.5</v>
      </c>
      <c r="E27" s="39">
        <v>0.65</v>
      </c>
      <c r="F27" s="59">
        <v>5848</v>
      </c>
      <c r="G27" s="70">
        <v>4400</v>
      </c>
    </row>
    <row r="28" spans="1:7" x14ac:dyDescent="0.3">
      <c r="A28" s="19"/>
      <c r="B28" s="25"/>
      <c r="C28" s="17"/>
      <c r="D28" s="17"/>
      <c r="E28" s="39"/>
      <c r="F28" s="59"/>
      <c r="G28" s="70"/>
    </row>
    <row r="29" spans="1:7" x14ac:dyDescent="0.3">
      <c r="A29" s="19"/>
      <c r="B29" s="26"/>
      <c r="C29" s="17"/>
      <c r="D29" s="17"/>
      <c r="E29" s="39"/>
      <c r="F29" s="59"/>
      <c r="G29" s="70"/>
    </row>
    <row r="30" spans="1:7" x14ac:dyDescent="0.3">
      <c r="A30" s="19"/>
      <c r="B30" s="26"/>
      <c r="C30" s="17"/>
      <c r="D30" s="17"/>
      <c r="E30" s="39"/>
      <c r="F30" s="59"/>
      <c r="G30" s="70"/>
    </row>
    <row r="31" spans="1:7" x14ac:dyDescent="0.3">
      <c r="A31" s="19"/>
      <c r="B31" s="26"/>
      <c r="C31" s="17"/>
      <c r="D31" s="17"/>
      <c r="E31" s="39"/>
      <c r="F31" s="59"/>
      <c r="G31" s="70"/>
    </row>
    <row r="32" spans="1:7" x14ac:dyDescent="0.3">
      <c r="A32" s="19"/>
      <c r="B32" s="149" t="s">
        <v>123</v>
      </c>
      <c r="C32" s="143" t="s">
        <v>48</v>
      </c>
      <c r="D32" s="144"/>
      <c r="E32" s="145"/>
      <c r="F32" s="59"/>
      <c r="G32" s="70"/>
    </row>
    <row r="33" spans="1:7" ht="15.6" customHeight="1" x14ac:dyDescent="0.3">
      <c r="A33" s="19"/>
      <c r="B33" s="149"/>
      <c r="C33" s="146"/>
      <c r="D33" s="147"/>
      <c r="E33" s="148"/>
      <c r="F33" s="60"/>
      <c r="G33" s="79"/>
    </row>
    <row r="34" spans="1:7" ht="15.6" customHeight="1" x14ac:dyDescent="0.3">
      <c r="A34" s="19"/>
      <c r="B34" s="16"/>
      <c r="C34" s="23"/>
      <c r="D34" s="23"/>
      <c r="E34" s="45"/>
      <c r="F34" s="74"/>
      <c r="G34" s="85"/>
    </row>
    <row r="35" spans="1:7" ht="15.6" customHeight="1" x14ac:dyDescent="0.3">
      <c r="A35" s="21" t="s">
        <v>9</v>
      </c>
      <c r="B35" s="26"/>
      <c r="C35" s="133" t="s">
        <v>43</v>
      </c>
      <c r="D35" s="134"/>
      <c r="E35" s="135"/>
      <c r="F35" s="139">
        <f>SUM(F24:F34)</f>
        <v>22164</v>
      </c>
      <c r="G35" s="141">
        <f>SUM(G24:G34)</f>
        <v>16519</v>
      </c>
    </row>
    <row r="36" spans="1:7" ht="15.6" customHeight="1" x14ac:dyDescent="0.3">
      <c r="A36" s="119" t="s">
        <v>145</v>
      </c>
      <c r="B36" s="16"/>
      <c r="C36" s="136"/>
      <c r="D36" s="137"/>
      <c r="E36" s="138"/>
      <c r="F36" s="140"/>
      <c r="G36" s="142"/>
    </row>
    <row r="37" spans="1:7" x14ac:dyDescent="0.3">
      <c r="A37" s="9" t="s">
        <v>14</v>
      </c>
      <c r="B37" s="10" t="s">
        <v>0</v>
      </c>
      <c r="C37" s="11" t="s">
        <v>1</v>
      </c>
      <c r="D37" s="11" t="s">
        <v>2</v>
      </c>
      <c r="E37" s="12" t="s">
        <v>3</v>
      </c>
      <c r="F37" s="55" t="s">
        <v>7</v>
      </c>
      <c r="G37" s="68" t="s">
        <v>52</v>
      </c>
    </row>
    <row r="38" spans="1:7" x14ac:dyDescent="0.3">
      <c r="A38" s="15"/>
      <c r="B38" s="26" t="s">
        <v>126</v>
      </c>
      <c r="C38" s="17">
        <v>3.82</v>
      </c>
      <c r="D38" s="17">
        <v>1.01</v>
      </c>
      <c r="E38" s="39">
        <v>0.77</v>
      </c>
      <c r="F38" s="59">
        <v>14929</v>
      </c>
      <c r="G38" s="70">
        <v>11272</v>
      </c>
    </row>
    <row r="39" spans="1:7" x14ac:dyDescent="0.3">
      <c r="A39" s="19"/>
      <c r="B39" s="26"/>
      <c r="C39" s="17"/>
      <c r="D39" s="17"/>
      <c r="E39" s="39"/>
      <c r="F39" s="59"/>
      <c r="G39" s="70"/>
    </row>
    <row r="40" spans="1:7" x14ac:dyDescent="0.3">
      <c r="A40" s="19"/>
      <c r="B40" s="26"/>
      <c r="C40" s="17"/>
      <c r="D40" s="17"/>
      <c r="E40" s="39"/>
      <c r="F40" s="59"/>
      <c r="G40" s="70"/>
    </row>
    <row r="41" spans="1:7" x14ac:dyDescent="0.3">
      <c r="A41" s="19"/>
      <c r="B41" s="26"/>
      <c r="C41" s="17"/>
      <c r="D41" s="17"/>
      <c r="E41" s="39"/>
      <c r="F41" s="59"/>
      <c r="G41" s="70"/>
    </row>
    <row r="42" spans="1:7" x14ac:dyDescent="0.3">
      <c r="A42" s="19"/>
      <c r="B42" s="149" t="s">
        <v>125</v>
      </c>
      <c r="C42" s="143" t="s">
        <v>124</v>
      </c>
      <c r="D42" s="144"/>
      <c r="E42" s="145"/>
      <c r="F42" s="56"/>
      <c r="G42" s="78"/>
    </row>
    <row r="43" spans="1:7" x14ac:dyDescent="0.3">
      <c r="A43" s="19"/>
      <c r="B43" s="149"/>
      <c r="C43" s="146"/>
      <c r="D43" s="147"/>
      <c r="E43" s="148"/>
      <c r="F43" s="56"/>
      <c r="G43" s="78"/>
    </row>
    <row r="44" spans="1:7" x14ac:dyDescent="0.3">
      <c r="A44" s="19"/>
      <c r="B44" s="26"/>
      <c r="C44" s="40"/>
      <c r="D44" s="40"/>
      <c r="E44" s="39"/>
      <c r="F44" s="57"/>
      <c r="G44" s="76"/>
    </row>
    <row r="45" spans="1:7" ht="15.6" customHeight="1" x14ac:dyDescent="0.3">
      <c r="A45" s="19"/>
      <c r="B45" s="16" t="s">
        <v>30</v>
      </c>
      <c r="C45" s="48"/>
      <c r="D45" s="48"/>
      <c r="E45" s="44"/>
      <c r="F45" s="58"/>
      <c r="G45" s="81"/>
    </row>
    <row r="46" spans="1:7" ht="15.6" customHeight="1" x14ac:dyDescent="0.3">
      <c r="A46" s="21" t="s">
        <v>9</v>
      </c>
      <c r="B46" s="26" t="s">
        <v>31</v>
      </c>
      <c r="C46" s="133" t="s">
        <v>43</v>
      </c>
      <c r="D46" s="134"/>
      <c r="E46" s="135"/>
      <c r="F46" s="168">
        <f>SUM(F37:F45)</f>
        <v>14929</v>
      </c>
      <c r="G46" s="167">
        <f>SUM(G37:G45)</f>
        <v>11272</v>
      </c>
    </row>
    <row r="47" spans="1:7" ht="15.6" customHeight="1" x14ac:dyDescent="0.3">
      <c r="A47" s="35" t="s">
        <v>25</v>
      </c>
      <c r="B47" s="16"/>
      <c r="C47" s="136"/>
      <c r="D47" s="137"/>
      <c r="E47" s="138"/>
      <c r="F47" s="168"/>
      <c r="G47" s="167"/>
    </row>
  </sheetData>
  <mergeCells count="16">
    <mergeCell ref="B7:B8"/>
    <mergeCell ref="C7:E8"/>
    <mergeCell ref="C11:E11"/>
    <mergeCell ref="C22:E22"/>
    <mergeCell ref="G46:G47"/>
    <mergeCell ref="B18:B19"/>
    <mergeCell ref="C18:E19"/>
    <mergeCell ref="B42:B43"/>
    <mergeCell ref="C42:E43"/>
    <mergeCell ref="C46:E47"/>
    <mergeCell ref="F46:F47"/>
    <mergeCell ref="B32:B33"/>
    <mergeCell ref="C32:E33"/>
    <mergeCell ref="C35:E36"/>
    <mergeCell ref="F35:F36"/>
    <mergeCell ref="G35:G36"/>
  </mergeCells>
  <hyperlinks>
    <hyperlink ref="A11" r:id="rId1" display="ESTÚDIO KOYO" xr:uid="{E7D93615-90C4-4A27-9145-6C9B876C43D8}"/>
    <hyperlink ref="A36" r:id="rId2" xr:uid="{C06699AA-DE4A-4280-97E6-7CD1A20E4A9A}"/>
  </hyperlinks>
  <pageMargins left="0.511811024" right="0.511811024" top="0.78740157499999996" bottom="0.78740157499999996" header="0.31496062000000002" footer="0.31496062000000002"/>
  <pageSetup paperSize="9" scale="60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BE09-8024-4CFF-A4C6-D1F02129AF40}">
  <dimension ref="A1:G52"/>
  <sheetViews>
    <sheetView tabSelected="1" topLeftCell="A31" workbookViewId="0">
      <selection activeCell="G46" sqref="G46"/>
    </sheetView>
  </sheetViews>
  <sheetFormatPr defaultRowHeight="15.6" x14ac:dyDescent="0.3"/>
  <cols>
    <col min="1" max="1" width="25.33203125" customWidth="1"/>
    <col min="2" max="2" width="33.88671875" style="14" customWidth="1"/>
    <col min="3" max="4" width="8.88671875" style="14"/>
    <col min="5" max="5" width="9.44140625" style="14" customWidth="1"/>
    <col min="6" max="6" width="10.44140625" style="14" customWidth="1"/>
    <col min="7" max="7" width="16.5546875" customWidth="1"/>
  </cols>
  <sheetData>
    <row r="1" spans="1:7" x14ac:dyDescent="0.3">
      <c r="A1" s="1" t="s">
        <v>127</v>
      </c>
      <c r="B1" s="27" t="s">
        <v>0</v>
      </c>
      <c r="C1" s="28" t="s">
        <v>1</v>
      </c>
      <c r="D1" s="28" t="s">
        <v>2</v>
      </c>
      <c r="E1" s="12" t="s">
        <v>3</v>
      </c>
      <c r="F1" s="55" t="s">
        <v>133</v>
      </c>
      <c r="G1" s="68" t="s">
        <v>52</v>
      </c>
    </row>
    <row r="2" spans="1:7" x14ac:dyDescent="0.3">
      <c r="A2" s="2"/>
      <c r="B2" s="29" t="s">
        <v>44</v>
      </c>
      <c r="C2" s="30">
        <v>0.96</v>
      </c>
      <c r="D2" s="30">
        <v>0.92</v>
      </c>
      <c r="E2" s="39">
        <v>0.82</v>
      </c>
      <c r="F2" s="59">
        <v>6210</v>
      </c>
      <c r="G2" s="70">
        <v>5565</v>
      </c>
    </row>
    <row r="3" spans="1:7" x14ac:dyDescent="0.3">
      <c r="A3" s="2"/>
      <c r="B3" s="29"/>
      <c r="C3" s="30"/>
      <c r="D3" s="30"/>
      <c r="E3" s="39"/>
      <c r="F3" s="59"/>
      <c r="G3" s="70"/>
    </row>
    <row r="4" spans="1:7" ht="14.4" customHeight="1" x14ac:dyDescent="0.3">
      <c r="A4" s="2"/>
      <c r="B4" s="29"/>
      <c r="C4" s="30"/>
      <c r="D4" s="159" t="s">
        <v>114</v>
      </c>
      <c r="E4" s="160"/>
      <c r="F4" s="59" t="s">
        <v>8</v>
      </c>
      <c r="G4" s="70" t="s">
        <v>8</v>
      </c>
    </row>
    <row r="5" spans="1:7" ht="14.4" customHeight="1" x14ac:dyDescent="0.3">
      <c r="A5" s="8"/>
      <c r="B5" s="31"/>
      <c r="C5" s="32"/>
      <c r="D5" s="161"/>
      <c r="E5" s="162"/>
      <c r="F5" s="59" t="s">
        <v>8</v>
      </c>
      <c r="G5" s="70" t="s">
        <v>8</v>
      </c>
    </row>
    <row r="6" spans="1:7" x14ac:dyDescent="0.3">
      <c r="A6" s="8"/>
      <c r="B6" s="51"/>
      <c r="C6" s="32"/>
      <c r="D6" s="32"/>
      <c r="E6" s="39"/>
      <c r="F6" s="59"/>
      <c r="G6" s="70"/>
    </row>
    <row r="7" spans="1:7" x14ac:dyDescent="0.3">
      <c r="A7" s="3" t="s">
        <v>9</v>
      </c>
      <c r="B7" s="42" t="s">
        <v>97</v>
      </c>
      <c r="C7" s="30"/>
      <c r="D7" s="30"/>
      <c r="E7" s="39" t="s">
        <v>8</v>
      </c>
      <c r="F7" s="59" t="s">
        <v>8</v>
      </c>
      <c r="G7" s="70" t="s">
        <v>8</v>
      </c>
    </row>
    <row r="8" spans="1:7" x14ac:dyDescent="0.3">
      <c r="A8" s="7" t="s">
        <v>27</v>
      </c>
      <c r="B8" s="31"/>
      <c r="C8" s="30"/>
      <c r="D8" s="30"/>
      <c r="E8" s="39" t="s">
        <v>8</v>
      </c>
      <c r="F8" s="59" t="s">
        <v>8</v>
      </c>
      <c r="G8" s="70" t="s">
        <v>8</v>
      </c>
    </row>
    <row r="9" spans="1:7" x14ac:dyDescent="0.3">
      <c r="A9" s="1" t="s">
        <v>128</v>
      </c>
      <c r="B9" s="27" t="s">
        <v>0</v>
      </c>
      <c r="C9" s="28" t="s">
        <v>1</v>
      </c>
      <c r="D9" s="28" t="s">
        <v>2</v>
      </c>
      <c r="E9" s="12" t="s">
        <v>3</v>
      </c>
      <c r="F9" s="55" t="s">
        <v>7</v>
      </c>
      <c r="G9" s="68" t="s">
        <v>52</v>
      </c>
    </row>
    <row r="10" spans="1:7" x14ac:dyDescent="0.3">
      <c r="A10" s="112"/>
      <c r="B10" s="117" t="s">
        <v>23</v>
      </c>
      <c r="C10" s="107">
        <v>1.1200000000000001</v>
      </c>
      <c r="D10" s="107">
        <v>1.1000000000000001</v>
      </c>
      <c r="E10" s="39">
        <v>0.73</v>
      </c>
      <c r="F10" s="59">
        <v>5154</v>
      </c>
      <c r="G10" s="70">
        <v>4084</v>
      </c>
    </row>
    <row r="11" spans="1:7" x14ac:dyDescent="0.3">
      <c r="A11" s="113"/>
      <c r="B11" s="116"/>
      <c r="C11" s="107"/>
      <c r="D11" s="107"/>
      <c r="E11" s="39"/>
      <c r="F11" s="59"/>
      <c r="G11" s="70"/>
    </row>
    <row r="12" spans="1:7" x14ac:dyDescent="0.3">
      <c r="A12" s="113"/>
      <c r="B12" s="116"/>
      <c r="C12" s="107"/>
      <c r="D12" s="107"/>
      <c r="E12" s="39"/>
      <c r="F12" s="59"/>
      <c r="G12" s="70"/>
    </row>
    <row r="13" spans="1:7" x14ac:dyDescent="0.3">
      <c r="A13" s="113"/>
      <c r="B13" s="116"/>
      <c r="C13" s="107"/>
      <c r="D13" s="107"/>
      <c r="E13" s="39"/>
      <c r="F13" s="59"/>
      <c r="G13" s="70"/>
    </row>
    <row r="14" spans="1:7" ht="15.6" customHeight="1" x14ac:dyDescent="0.3">
      <c r="A14" s="113"/>
      <c r="B14" s="116"/>
      <c r="C14" s="159" t="s">
        <v>132</v>
      </c>
      <c r="D14" s="169"/>
      <c r="E14" s="160"/>
      <c r="F14" s="59"/>
      <c r="G14" s="70"/>
    </row>
    <row r="15" spans="1:7" ht="15.6" customHeight="1" x14ac:dyDescent="0.3">
      <c r="A15" s="113"/>
      <c r="B15" s="116"/>
      <c r="C15" s="161"/>
      <c r="D15" s="170"/>
      <c r="E15" s="162"/>
      <c r="F15" s="59"/>
      <c r="G15" s="70"/>
    </row>
    <row r="16" spans="1:7" x14ac:dyDescent="0.3">
      <c r="A16" s="113"/>
      <c r="B16" s="117" t="s">
        <v>34</v>
      </c>
      <c r="C16" s="107"/>
      <c r="D16" s="107"/>
      <c r="E16" s="39"/>
      <c r="F16" s="59"/>
      <c r="G16" s="70"/>
    </row>
    <row r="17" spans="1:7" ht="16.2" thickBot="1" x14ac:dyDescent="0.35">
      <c r="A17" s="118" t="s">
        <v>25</v>
      </c>
      <c r="B17" s="116"/>
      <c r="C17" s="107"/>
      <c r="D17" s="107"/>
      <c r="E17" s="39"/>
      <c r="F17" s="59"/>
      <c r="G17" s="70"/>
    </row>
    <row r="18" spans="1:7" ht="16.2" thickTop="1" x14ac:dyDescent="0.3">
      <c r="A18" s="1" t="s">
        <v>129</v>
      </c>
      <c r="B18" s="27" t="s">
        <v>0</v>
      </c>
      <c r="C18" s="28" t="s">
        <v>1</v>
      </c>
      <c r="D18" s="28" t="s">
        <v>2</v>
      </c>
      <c r="E18" s="12" t="s">
        <v>3</v>
      </c>
      <c r="F18" s="55" t="s">
        <v>7</v>
      </c>
      <c r="G18" s="68" t="s">
        <v>52</v>
      </c>
    </row>
    <row r="19" spans="1:7" x14ac:dyDescent="0.3">
      <c r="A19" s="5"/>
      <c r="B19" s="29" t="s">
        <v>44</v>
      </c>
      <c r="C19" s="30">
        <v>0.93</v>
      </c>
      <c r="D19" s="41">
        <v>0.9</v>
      </c>
      <c r="E19" s="39">
        <v>0.9</v>
      </c>
      <c r="F19" s="59">
        <v>5282</v>
      </c>
      <c r="G19" s="70">
        <v>4212</v>
      </c>
    </row>
    <row r="20" spans="1:7" x14ac:dyDescent="0.3">
      <c r="A20" s="5"/>
      <c r="B20" s="29"/>
      <c r="C20" s="30"/>
      <c r="D20" s="41"/>
      <c r="E20" s="39"/>
      <c r="F20" s="59"/>
      <c r="G20" s="70"/>
    </row>
    <row r="21" spans="1:7" x14ac:dyDescent="0.3">
      <c r="A21" s="5"/>
      <c r="B21" s="29"/>
      <c r="C21" s="30"/>
      <c r="D21" s="41"/>
      <c r="E21" s="39"/>
      <c r="F21" s="59"/>
      <c r="G21" s="70"/>
    </row>
    <row r="22" spans="1:7" x14ac:dyDescent="0.3">
      <c r="A22" s="6"/>
      <c r="B22" s="31"/>
      <c r="C22" s="32"/>
      <c r="D22" s="50"/>
      <c r="E22" s="39"/>
      <c r="F22" s="59"/>
      <c r="G22" s="70"/>
    </row>
    <row r="23" spans="1:7" x14ac:dyDescent="0.3">
      <c r="A23" s="5"/>
      <c r="B23" s="29"/>
      <c r="C23" s="30"/>
      <c r="D23" s="159" t="s">
        <v>141</v>
      </c>
      <c r="E23" s="160"/>
      <c r="F23" s="59" t="s">
        <v>8</v>
      </c>
      <c r="G23" s="70" t="s">
        <v>8</v>
      </c>
    </row>
    <row r="24" spans="1:7" x14ac:dyDescent="0.3">
      <c r="A24" s="5"/>
      <c r="B24" s="29" t="s">
        <v>33</v>
      </c>
      <c r="C24" s="30"/>
      <c r="D24" s="161"/>
      <c r="E24" s="162"/>
      <c r="F24" s="59" t="s">
        <v>8</v>
      </c>
      <c r="G24" s="70" t="s">
        <v>8</v>
      </c>
    </row>
    <row r="25" spans="1:7" x14ac:dyDescent="0.3">
      <c r="A25" s="3" t="s">
        <v>9</v>
      </c>
      <c r="B25" s="34" t="s">
        <v>135</v>
      </c>
      <c r="C25" s="30"/>
      <c r="D25" s="30"/>
      <c r="E25" s="39" t="s">
        <v>8</v>
      </c>
      <c r="F25" s="59" t="s">
        <v>8</v>
      </c>
      <c r="G25" s="70"/>
    </row>
    <row r="26" spans="1:7" ht="16.2" thickBot="1" x14ac:dyDescent="0.35">
      <c r="A26" s="118" t="s">
        <v>134</v>
      </c>
      <c r="B26" s="34" t="s">
        <v>136</v>
      </c>
      <c r="C26" s="30"/>
      <c r="D26" s="30"/>
      <c r="E26" s="39" t="s">
        <v>8</v>
      </c>
      <c r="F26" s="59" t="s">
        <v>8</v>
      </c>
      <c r="G26" s="70"/>
    </row>
    <row r="27" spans="1:7" ht="16.2" thickTop="1" x14ac:dyDescent="0.3">
      <c r="A27" s="1" t="s">
        <v>130</v>
      </c>
      <c r="B27" s="27" t="s">
        <v>0</v>
      </c>
      <c r="C27" s="28" t="s">
        <v>1</v>
      </c>
      <c r="D27" s="28" t="s">
        <v>2</v>
      </c>
      <c r="E27" s="12" t="s">
        <v>3</v>
      </c>
      <c r="F27" s="55" t="s">
        <v>13</v>
      </c>
      <c r="G27" s="68" t="s">
        <v>52</v>
      </c>
    </row>
    <row r="28" spans="1:7" x14ac:dyDescent="0.3">
      <c r="A28" s="36"/>
      <c r="B28" s="29" t="s">
        <v>23</v>
      </c>
      <c r="C28" s="30">
        <v>1.26</v>
      </c>
      <c r="D28" s="30">
        <v>0.98</v>
      </c>
      <c r="E28" s="39">
        <v>0.78</v>
      </c>
      <c r="F28" s="59">
        <v>3555</v>
      </c>
      <c r="G28" s="70">
        <v>2408</v>
      </c>
    </row>
    <row r="29" spans="1:7" x14ac:dyDescent="0.3">
      <c r="A29" s="5"/>
      <c r="B29" s="29"/>
      <c r="C29" s="30"/>
      <c r="D29" s="30"/>
      <c r="E29" s="39"/>
      <c r="F29" s="59" t="s">
        <v>8</v>
      </c>
      <c r="G29" s="70" t="s">
        <v>8</v>
      </c>
    </row>
    <row r="30" spans="1:7" x14ac:dyDescent="0.3">
      <c r="A30" s="5"/>
      <c r="B30" s="29"/>
      <c r="C30" s="30"/>
      <c r="D30" s="30"/>
      <c r="E30" s="39"/>
      <c r="F30" s="59" t="s">
        <v>8</v>
      </c>
      <c r="G30" s="70"/>
    </row>
    <row r="31" spans="1:7" x14ac:dyDescent="0.3">
      <c r="A31" s="6"/>
      <c r="B31" s="31"/>
      <c r="C31" s="32"/>
      <c r="D31" s="32"/>
      <c r="E31" s="39"/>
      <c r="F31" s="59" t="s">
        <v>8</v>
      </c>
      <c r="G31" s="70"/>
    </row>
    <row r="32" spans="1:7" x14ac:dyDescent="0.3">
      <c r="A32" s="5"/>
      <c r="B32" s="33"/>
      <c r="C32" s="30"/>
      <c r="D32" s="159" t="s">
        <v>138</v>
      </c>
      <c r="E32" s="160"/>
      <c r="F32" s="59" t="s">
        <v>8</v>
      </c>
      <c r="G32" s="70"/>
    </row>
    <row r="33" spans="1:7" x14ac:dyDescent="0.3">
      <c r="A33" s="5"/>
      <c r="B33" s="29" t="s">
        <v>34</v>
      </c>
      <c r="C33" s="30"/>
      <c r="D33" s="161"/>
      <c r="E33" s="162"/>
      <c r="F33" s="59" t="s">
        <v>8</v>
      </c>
      <c r="G33" s="70"/>
    </row>
    <row r="34" spans="1:7" x14ac:dyDescent="0.3">
      <c r="A34" s="3" t="s">
        <v>9</v>
      </c>
      <c r="B34" s="34" t="s">
        <v>135</v>
      </c>
      <c r="C34" s="30"/>
      <c r="D34" s="30"/>
      <c r="E34" s="39" t="s">
        <v>8</v>
      </c>
      <c r="F34" s="59" t="s">
        <v>8</v>
      </c>
      <c r="G34" s="70"/>
    </row>
    <row r="35" spans="1:7" x14ac:dyDescent="0.3">
      <c r="A35" s="119" t="s">
        <v>137</v>
      </c>
      <c r="B35" s="34" t="s">
        <v>136</v>
      </c>
      <c r="C35" s="30"/>
      <c r="D35" s="30"/>
      <c r="E35" s="39" t="s">
        <v>8</v>
      </c>
      <c r="F35" s="59" t="s">
        <v>8</v>
      </c>
      <c r="G35" s="70"/>
    </row>
    <row r="36" spans="1:7" x14ac:dyDescent="0.3">
      <c r="A36" s="1" t="s">
        <v>131</v>
      </c>
      <c r="B36" s="27" t="s">
        <v>0</v>
      </c>
      <c r="C36" s="28" t="s">
        <v>1</v>
      </c>
      <c r="D36" s="28" t="s">
        <v>2</v>
      </c>
      <c r="E36" s="12" t="s">
        <v>3</v>
      </c>
      <c r="F36" s="55" t="s">
        <v>13</v>
      </c>
      <c r="G36" s="68" t="s">
        <v>52</v>
      </c>
    </row>
    <row r="37" spans="1:7" x14ac:dyDescent="0.3">
      <c r="A37" s="36"/>
      <c r="B37" s="29" t="s">
        <v>44</v>
      </c>
      <c r="C37" s="30">
        <v>0.9</v>
      </c>
      <c r="D37" s="30">
        <v>0.84</v>
      </c>
      <c r="E37" s="39">
        <v>0.73</v>
      </c>
      <c r="F37" s="59">
        <v>3542</v>
      </c>
      <c r="G37" s="70">
        <v>2564</v>
      </c>
    </row>
    <row r="38" spans="1:7" x14ac:dyDescent="0.3">
      <c r="A38" s="5"/>
      <c r="B38" s="29"/>
      <c r="C38" s="30"/>
      <c r="D38" s="30"/>
      <c r="E38" s="39"/>
      <c r="F38" s="59"/>
      <c r="G38" s="70"/>
    </row>
    <row r="39" spans="1:7" x14ac:dyDescent="0.3">
      <c r="A39" s="6"/>
      <c r="B39" s="31"/>
      <c r="C39" s="32"/>
      <c r="D39" s="32"/>
      <c r="E39" s="39"/>
      <c r="F39" s="59"/>
      <c r="G39" s="70"/>
    </row>
    <row r="40" spans="1:7" x14ac:dyDescent="0.3">
      <c r="A40" s="5"/>
      <c r="B40" s="31"/>
      <c r="C40" s="30"/>
      <c r="D40" s="159" t="s">
        <v>139</v>
      </c>
      <c r="E40" s="160"/>
      <c r="F40" s="59" t="s">
        <v>8</v>
      </c>
      <c r="G40" s="70" t="s">
        <v>8</v>
      </c>
    </row>
    <row r="41" spans="1:7" x14ac:dyDescent="0.3">
      <c r="A41" s="5"/>
      <c r="B41" s="31"/>
      <c r="C41" s="30"/>
      <c r="D41" s="161"/>
      <c r="E41" s="162"/>
      <c r="F41" s="59" t="s">
        <v>8</v>
      </c>
      <c r="G41" s="70" t="s">
        <v>8</v>
      </c>
    </row>
    <row r="42" spans="1:7" x14ac:dyDescent="0.3">
      <c r="A42" s="3" t="s">
        <v>9</v>
      </c>
      <c r="B42" s="42" t="s">
        <v>140</v>
      </c>
      <c r="C42" s="30"/>
      <c r="D42" s="30"/>
      <c r="E42" s="39" t="s">
        <v>8</v>
      </c>
      <c r="F42" s="59" t="s">
        <v>8</v>
      </c>
      <c r="G42" s="70" t="s">
        <v>8</v>
      </c>
    </row>
    <row r="43" spans="1:7" ht="16.2" thickBot="1" x14ac:dyDescent="0.35">
      <c r="A43" s="118" t="s">
        <v>25</v>
      </c>
      <c r="B43" s="42"/>
      <c r="C43" s="30"/>
      <c r="D43" s="30"/>
      <c r="E43" s="39" t="s">
        <v>8</v>
      </c>
      <c r="F43" s="59" t="s">
        <v>8</v>
      </c>
      <c r="G43" s="70" t="s">
        <v>8</v>
      </c>
    </row>
    <row r="44" spans="1:7" ht="16.2" thickTop="1" x14ac:dyDescent="0.3">
      <c r="A44" s="1" t="s">
        <v>26</v>
      </c>
      <c r="B44" s="27" t="s">
        <v>0</v>
      </c>
      <c r="C44" s="28" t="s">
        <v>1</v>
      </c>
      <c r="D44" s="28" t="s">
        <v>2</v>
      </c>
      <c r="E44" s="12" t="s">
        <v>3</v>
      </c>
      <c r="F44" s="55" t="s">
        <v>7</v>
      </c>
      <c r="G44" s="68" t="s">
        <v>52</v>
      </c>
    </row>
    <row r="45" spans="1:7" x14ac:dyDescent="0.3">
      <c r="A45" s="5"/>
      <c r="B45" s="29" t="s">
        <v>23</v>
      </c>
      <c r="C45" s="30">
        <v>0.96</v>
      </c>
      <c r="D45" s="30">
        <v>0.88</v>
      </c>
      <c r="E45" s="39">
        <v>0.68</v>
      </c>
      <c r="F45" s="59">
        <v>2805</v>
      </c>
      <c r="G45" s="70">
        <v>2270</v>
      </c>
    </row>
    <row r="46" spans="1:7" x14ac:dyDescent="0.3">
      <c r="A46" s="5"/>
      <c r="B46" s="29"/>
      <c r="C46" s="30"/>
      <c r="D46" s="30"/>
      <c r="E46" s="39"/>
      <c r="F46" s="59"/>
      <c r="G46" s="70"/>
    </row>
    <row r="47" spans="1:7" x14ac:dyDescent="0.3">
      <c r="A47" s="5"/>
      <c r="B47" s="29"/>
      <c r="C47" s="30"/>
      <c r="D47" s="30"/>
      <c r="E47" s="39" t="s">
        <v>8</v>
      </c>
      <c r="F47" s="59" t="s">
        <v>8</v>
      </c>
      <c r="G47" s="70" t="s">
        <v>8</v>
      </c>
    </row>
    <row r="48" spans="1:7" x14ac:dyDescent="0.3">
      <c r="A48" s="6"/>
      <c r="B48" s="31"/>
      <c r="C48" s="32"/>
      <c r="D48" s="32"/>
      <c r="E48" s="39"/>
      <c r="F48" s="59" t="s">
        <v>8</v>
      </c>
      <c r="G48" s="70" t="s">
        <v>8</v>
      </c>
    </row>
    <row r="49" spans="1:7" x14ac:dyDescent="0.3">
      <c r="A49" s="5"/>
      <c r="B49" s="29"/>
      <c r="C49" s="30"/>
      <c r="D49" s="159" t="s">
        <v>171</v>
      </c>
      <c r="E49" s="160"/>
      <c r="F49" s="59" t="s">
        <v>8</v>
      </c>
      <c r="G49" s="70" t="s">
        <v>8</v>
      </c>
    </row>
    <row r="50" spans="1:7" x14ac:dyDescent="0.3">
      <c r="A50" s="5"/>
      <c r="B50" s="29" t="s">
        <v>30</v>
      </c>
      <c r="C50" s="30"/>
      <c r="D50" s="161"/>
      <c r="E50" s="162"/>
      <c r="F50" s="59" t="s">
        <v>8</v>
      </c>
      <c r="G50" s="70" t="s">
        <v>8</v>
      </c>
    </row>
    <row r="51" spans="1:7" x14ac:dyDescent="0.3">
      <c r="A51" s="3" t="s">
        <v>9</v>
      </c>
      <c r="B51" s="37" t="s">
        <v>33</v>
      </c>
      <c r="C51" s="30"/>
      <c r="D51" s="30"/>
      <c r="E51" s="39" t="s">
        <v>8</v>
      </c>
      <c r="F51" s="59" t="s">
        <v>8</v>
      </c>
      <c r="G51" s="70" t="s">
        <v>8</v>
      </c>
    </row>
    <row r="52" spans="1:7" x14ac:dyDescent="0.3">
      <c r="A52" s="7" t="s">
        <v>25</v>
      </c>
      <c r="B52" s="29"/>
      <c r="C52" s="30"/>
      <c r="D52" s="30"/>
      <c r="E52" s="39" t="s">
        <v>8</v>
      </c>
      <c r="F52" s="59" t="s">
        <v>8</v>
      </c>
      <c r="G52" s="70" t="s">
        <v>8</v>
      </c>
    </row>
  </sheetData>
  <mergeCells count="6">
    <mergeCell ref="C14:E15"/>
    <mergeCell ref="D49:E50"/>
    <mergeCell ref="D4:E5"/>
    <mergeCell ref="D23:E24"/>
    <mergeCell ref="D32:E33"/>
    <mergeCell ref="D40:E41"/>
  </mergeCells>
  <hyperlinks>
    <hyperlink ref="A8" r:id="rId1" display="JOÃO V. DEMELE" xr:uid="{F84F3211-FAAE-4D63-9E19-43FA8C0C0B68}"/>
    <hyperlink ref="A52" r:id="rId2" display="JOÃO V. DEMELE" xr:uid="{C45E5959-6B50-465E-AFAC-59078D05188B}"/>
    <hyperlink ref="A17" r:id="rId3" display="CARLOS ARRALDE" xr:uid="{90084590-FE64-40C8-8EEE-B0978BFE80C9}"/>
    <hyperlink ref="A26" r:id="rId4" display="CARLOS ARRALDE" xr:uid="{C3681ABD-429A-48ED-A2A6-615FEE37C812}"/>
    <hyperlink ref="A35" r:id="rId5" display="ESTÚDIO KOYO" xr:uid="{5C624FB7-F859-4895-B273-F16605F180AA}"/>
    <hyperlink ref="A43" r:id="rId6" display="CARLOS ARRALDE" xr:uid="{18DD1D25-6802-4430-845C-6B9E9EA1CD18}"/>
  </hyperlinks>
  <pageMargins left="0.511811024" right="0.511811024" top="0.78740157499999996" bottom="0.78740157499999996" header="0.31496062000000002" footer="0.31496062000000002"/>
  <pageSetup paperSize="9" scale="80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Estofados KARAMS</vt:lpstr>
      <vt:lpstr>POLTRONA KARAMS</vt:lpstr>
      <vt:lpstr>COMPLEMENTOS</vt:lpstr>
      <vt:lpstr>ESTOFADOS KOYO</vt:lpstr>
      <vt:lpstr>POLTRONAS KOYO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Kossei Kato</dc:creator>
  <cp:lastModifiedBy>KARAMS</cp:lastModifiedBy>
  <cp:lastPrinted>2026-01-27T00:39:04Z</cp:lastPrinted>
  <dcterms:created xsi:type="dcterms:W3CDTF">2024-01-30T02:33:49Z</dcterms:created>
  <dcterms:modified xsi:type="dcterms:W3CDTF">2026-01-27T01:12:18Z</dcterms:modified>
</cp:coreProperties>
</file>