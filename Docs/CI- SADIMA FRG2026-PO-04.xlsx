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wiseexterior.sharepoint.com/sites/ExportacaoSeawise/Documentos Partilhados/EXPORTAÇÃO/FORNECEDOR/FERGUILE/FEIRA/MOVELPAR - FEV 2026/PEDIDOS/RODRIGO -ARG. 005/"/>
    </mc:Choice>
  </mc:AlternateContent>
  <xr:revisionPtr revIDLastSave="32" documentId="8_{04383099-09CC-4C80-973A-9F4E8E1637A1}" xr6:coauthVersionLast="47" xr6:coauthVersionMax="47" xr10:uidLastSave="{D35C41AA-BDB3-44BB-A96B-ABD178909418}"/>
  <bookViews>
    <workbookView xWindow="-120" yWindow="-120" windowWidth="24240" windowHeight="13020" tabRatio="500" xr2:uid="{00000000-000D-0000-FFFF-FFFF00000000}"/>
  </bookViews>
  <sheets>
    <sheet name="Proforma Invoice" sheetId="1" r:id="rId1"/>
  </sheets>
  <definedNames>
    <definedName name="_xlnm.Print_Area" localSheetId="0">'Proforma Invoice'!$A$1:$Q$57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5" i="1" l="1"/>
  <c r="P36" i="1"/>
  <c r="P37" i="1"/>
  <c r="P39" i="1"/>
  <c r="P38" i="1"/>
  <c r="P35" i="1"/>
  <c r="P40" i="1"/>
  <c r="P41" i="1"/>
  <c r="P44" i="1"/>
  <c r="J45" i="1"/>
  <c r="Q44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O26" i="1"/>
  <c r="K26" i="1"/>
  <c r="K25" i="1"/>
  <c r="K24" i="1"/>
  <c r="O23" i="1"/>
  <c r="K23" i="1"/>
  <c r="K22" i="1"/>
  <c r="K21" i="1"/>
  <c r="O20" i="1"/>
  <c r="K20" i="1"/>
  <c r="K19" i="1"/>
  <c r="K18" i="1"/>
  <c r="K17" i="1"/>
  <c r="K16" i="1"/>
  <c r="O15" i="1"/>
  <c r="K15" i="1"/>
  <c r="K14" i="1"/>
  <c r="S13" i="1"/>
  <c r="K13" i="1"/>
  <c r="K12" i="1"/>
  <c r="S11" i="1"/>
  <c r="O17" i="1" s="1"/>
  <c r="P11" i="1"/>
  <c r="Q11" i="1" s="1"/>
  <c r="O11" i="1"/>
  <c r="K11" i="1"/>
  <c r="O21" i="1" l="1"/>
  <c r="O27" i="1"/>
  <c r="O36" i="1"/>
  <c r="O42" i="1"/>
  <c r="P21" i="1"/>
  <c r="Q21" i="1" s="1"/>
  <c r="P24" i="1"/>
  <c r="Q24" i="1" s="1"/>
  <c r="P27" i="1"/>
  <c r="Q27" i="1" s="1"/>
  <c r="P30" i="1"/>
  <c r="Q30" i="1" s="1"/>
  <c r="P33" i="1"/>
  <c r="Q33" i="1" s="1"/>
  <c r="Q36" i="1"/>
  <c r="Q39" i="1"/>
  <c r="P42" i="1"/>
  <c r="Q42" i="1" s="1"/>
  <c r="O13" i="1"/>
  <c r="P17" i="1"/>
  <c r="Q17" i="1" s="1"/>
  <c r="O24" i="1"/>
  <c r="O30" i="1"/>
  <c r="O33" i="1"/>
  <c r="O39" i="1"/>
  <c r="P13" i="1"/>
  <c r="Q13" i="1" s="1"/>
  <c r="O19" i="1"/>
  <c r="O22" i="1"/>
  <c r="O25" i="1"/>
  <c r="O28" i="1"/>
  <c r="O31" i="1"/>
  <c r="O34" i="1"/>
  <c r="O37" i="1"/>
  <c r="O40" i="1"/>
  <c r="O43" i="1"/>
  <c r="P19" i="1"/>
  <c r="Q19" i="1" s="1"/>
  <c r="P22" i="1"/>
  <c r="Q22" i="1" s="1"/>
  <c r="P25" i="1"/>
  <c r="Q25" i="1" s="1"/>
  <c r="P28" i="1"/>
  <c r="Q28" i="1" s="1"/>
  <c r="P31" i="1"/>
  <c r="Q31" i="1" s="1"/>
  <c r="P34" i="1"/>
  <c r="Q34" i="1" s="1"/>
  <c r="Q37" i="1"/>
  <c r="Q40" i="1"/>
  <c r="P43" i="1"/>
  <c r="Q43" i="1" s="1"/>
  <c r="P15" i="1"/>
  <c r="Q15" i="1" s="1"/>
  <c r="O29" i="1"/>
  <c r="O32" i="1"/>
  <c r="O35" i="1"/>
  <c r="O38" i="1"/>
  <c r="O41" i="1"/>
  <c r="O44" i="1"/>
  <c r="P20" i="1"/>
  <c r="Q20" i="1" s="1"/>
  <c r="P23" i="1"/>
  <c r="Q23" i="1" s="1"/>
  <c r="P26" i="1"/>
  <c r="Q26" i="1" s="1"/>
  <c r="P29" i="1"/>
  <c r="Q29" i="1" s="1"/>
  <c r="P32" i="1"/>
  <c r="Q32" i="1" s="1"/>
  <c r="Q35" i="1"/>
  <c r="Q38" i="1"/>
  <c r="Q41" i="1"/>
</calcChain>
</file>

<file path=xl/sharedStrings.xml><?xml version="1.0" encoding="utf-8"?>
<sst xmlns="http://schemas.openxmlformats.org/spreadsheetml/2006/main" count="144" uniqueCount="88">
  <si>
    <t>FOTO</t>
  </si>
  <si>
    <t>REFERENCIA</t>
  </si>
  <si>
    <t xml:space="preserve">CÓDIGO </t>
  </si>
  <si>
    <t>DESCRIPCIÓN</t>
  </si>
  <si>
    <t>DESC/VOL</t>
  </si>
  <si>
    <t>MARCA</t>
  </si>
  <si>
    <t>LARG.</t>
  </si>
  <si>
    <t>ALT.</t>
  </si>
  <si>
    <t>PROF.</t>
  </si>
  <si>
    <t>CANT.</t>
  </si>
  <si>
    <t>TOTAL M3</t>
  </si>
  <si>
    <t xml:space="preserve">FABRICACIÓN </t>
  </si>
  <si>
    <t xml:space="preserve">TELA </t>
  </si>
  <si>
    <t>OBSERVACIÓN</t>
  </si>
  <si>
    <t>DESPESAS</t>
  </si>
  <si>
    <t>UNIT DOLAR</t>
  </si>
  <si>
    <t>TOTAL USD</t>
  </si>
  <si>
    <t>AREZZO</t>
  </si>
  <si>
    <t>ESTOFADO AREZZO 2LG CHAISE/DIR 2,88 X 2,05 TC-12011</t>
  </si>
  <si>
    <t>02LG.BR/ESQ</t>
  </si>
  <si>
    <t>Ferguile</t>
  </si>
  <si>
    <t>TC-12</t>
  </si>
  <si>
    <t>Chaise, olhando de frente lado direito, sentado lado esquerdo</t>
  </si>
  <si>
    <t>CHESS/DIR</t>
  </si>
  <si>
    <t>ESTOFADO AREZZO 2LG CHAISE/ESQ 2,05 X 2,88 TC-13024</t>
  </si>
  <si>
    <t>02LG.BR/DIR</t>
  </si>
  <si>
    <t>TC-13</t>
  </si>
  <si>
    <t>Chaise, olhando de frente lado esquerdo, sentado lado direito</t>
  </si>
  <si>
    <t>CHESS/ESQ</t>
  </si>
  <si>
    <t>ESTOFADO AREZZO 2LG CHAISE/DIR 2,88 X 2,05 TC-12003</t>
  </si>
  <si>
    <t>Preço dolar 4,57</t>
  </si>
  <si>
    <t>ESTOFADO AREZZO 2LG CHAISE/DIR 2,88 X 2,05 TC-13024</t>
  </si>
  <si>
    <t>KYOTO</t>
  </si>
  <si>
    <t>ESTOFADO KYOTO 2,30 TC-12023</t>
  </si>
  <si>
    <t>PEÇA ÚNICA - 2 ASSENTOS</t>
  </si>
  <si>
    <t>ESTOFADO KYOTO 2,10 TC-12011</t>
  </si>
  <si>
    <t>ESTOFADO KYOTO 2,30 TC-10064</t>
  </si>
  <si>
    <t>TC-10</t>
  </si>
  <si>
    <t>ESTOFADO KYOTO 2,30 TC-10065</t>
  </si>
  <si>
    <t>ESTOFADO KYOTO 2,10 TC-13024</t>
  </si>
  <si>
    <t>ESTOFADO KYOTO 2,10 TC-13025</t>
  </si>
  <si>
    <t>13025</t>
  </si>
  <si>
    <t>ESTOFADO KYOTO 2,10 TC-10065</t>
  </si>
  <si>
    <t>SE 1 DELES NÃO ENTRAR NO CAMINHÃO PODE FICAR</t>
  </si>
  <si>
    <t>ESTOFADO KYOTO 2,30 TC-13008</t>
  </si>
  <si>
    <t>ESTOFADO KYOTO 2,10 TC-12021</t>
  </si>
  <si>
    <t>ESTOFADO KYOTO 2,10 TC-12003</t>
  </si>
  <si>
    <t>SE NÃO ENTRAR NO CAMINHÃO PODE FICAR</t>
  </si>
  <si>
    <t>ESTOFADO KYOTO 2,50 TC-13024</t>
  </si>
  <si>
    <t>BIPARTIDO</t>
  </si>
  <si>
    <t>POLTRONA CONDOR MANUAL</t>
  </si>
  <si>
    <t>POLTRONA CONDOR 0,82 MANUAL TC-13025</t>
  </si>
  <si>
    <t>POLT CONDOR MANUAL</t>
  </si>
  <si>
    <t>TC / ST / NOBUCK</t>
  </si>
  <si>
    <t>POLTRONA CONDOR 0,82 MANUAL TC-10065</t>
  </si>
  <si>
    <t>10065</t>
  </si>
  <si>
    <t>PARMA</t>
  </si>
  <si>
    <t>ESTOFADO PARMA 1,80 TC-13025</t>
  </si>
  <si>
    <t>ESTOFADO PARMA 1,80 TC-12015</t>
  </si>
  <si>
    <t>ESTOFADO PARMA 1,80 TC-12023</t>
  </si>
  <si>
    <t>BLEND</t>
  </si>
  <si>
    <t>ESTOFADO BLEND 2,22 BIP TC-10064</t>
  </si>
  <si>
    <t>BIPARTIDO - 2 ASSENTOS</t>
  </si>
  <si>
    <t>ESTOFADO BLEND 2,22 BIP TC-13004</t>
  </si>
  <si>
    <t>ESTOFADO BLEND 2,22 BIP TC-13025</t>
  </si>
  <si>
    <t>ESTOFADO BLEND 1,82 BIP TC-12003</t>
  </si>
  <si>
    <t>ESTOFADO BLEND 2,22 BIP TC-13024</t>
  </si>
  <si>
    <t>CHANDON GIRATÓRIA</t>
  </si>
  <si>
    <t>POLTRONA CHANDON GIRATORIA COURO 702</t>
  </si>
  <si>
    <t>POLTRONA GIRATÓRIA</t>
  </si>
  <si>
    <t>Livintus</t>
  </si>
  <si>
    <t>C0-7</t>
  </si>
  <si>
    <t>CHABLIS</t>
  </si>
  <si>
    <t>TC-14</t>
  </si>
  <si>
    <t>CHABLIS
CHESS</t>
  </si>
  <si>
    <t>ESTOFADO CHABLIS 3,00 CHAISE/ESQ TC-13002</t>
  </si>
  <si>
    <t>BIPARTIDO - 3 ASSENTOS + CHAISE</t>
  </si>
  <si>
    <t>SANTORINI</t>
  </si>
  <si>
    <t>ESTOFADO SANTORINI 3,00 BIP TC-16005 COM ALMOFADAS DUPLA</t>
  </si>
  <si>
    <t xml:space="preserve">BIPARTIDO - 3
ASSENTOS </t>
  </si>
  <si>
    <t>TC-16</t>
  </si>
  <si>
    <t>TOTAL</t>
  </si>
  <si>
    <t>DETALLES BANCARIOS:
Beneficiary: FERGUILE ESTOFADOS LTDA
CNPJ: 27.499.537/0001-02
BANK: SICREDI 748 
BENEFICIARY ACCOUNT: 0723/032524 
IBAN CODE: BR7001181521007230000003252C1 
SWIFT CODE: BCSIBRRS748</t>
  </si>
  <si>
    <t>ESTOFADO CHABLIS 2,10 BIP TC-14041</t>
  </si>
  <si>
    <t>ESTOFADO BLEND 2,22 BIP TC-12013</t>
  </si>
  <si>
    <t>FERGUILE ESTOFADOS LTDA
CNPJ: 27.499.537/0001-02
ADDRESS: RUA CANÁRIO DO BREJO, 630
RIBEIRÃO BANDEIRANTE DO NORTE
ZIP CODE: 86703-797
ARAPONGAS- PARANA
COUNTRY: BRASIL 
DELIVERY TIME: 
INCOTERM: FCA  - ARAPONGAS PR
PAYMENT TERM: AT SIGHT</t>
  </si>
  <si>
    <t>COMMERCIAL INVOICE: FRG2026-PO-04
DATA: 28/05/2026
PROFORMA INVOICE: FRG2026-PO-04
ORDER DATE: MAI, 06th, 2026
IMPORTER:
Sociedad de industriales del mueble y afines S.R.L. 
 CUIT: 33-71500915-9
ADDRESS: Avenida Belgrano 1991, -1094- Ciudad Autonoma Buenos Aires 
CODIGO POSTAL: 1094
COUNTRY: Argentina 
RESPONSIBLE PERSON: 
TEL.: +54 9 11 5882-4699
E-MAIL: sadimagerencial@gmail.com</t>
  </si>
  <si>
    <t>DATOS GENERALES DEL PRODUCTO
Marca: Ferguile/Livintus
NCM: 94016100
Producto: 39
CBM M³: 90,49
P.N. TOTAL: 2984,00
P.B. TOTAL: 3078,00
VOLUMEN TOTAL: 60
Productos originales de fabrica
Hecho en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</si>
</sst>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.00_-"/>
    <numFmt numFmtId="165" formatCode="_-[$$-409]* #,##0.00_ ;_-[$$-409]* \-#,##0.00\ ;_-[$$-409]* \-??_ ;_-@_ "/>
  </numFmts>
  <fonts count="9" x14ac:knownFonts="1">
    <font>
      <sz val="11"/>
      <name val="Aptos Narrow"/>
      <charset val="1"/>
    </font>
    <font>
      <sz val="10"/>
      <name val="Arial"/>
      <family val="2"/>
      <charset val="1"/>
    </font>
    <font>
      <sz val="20"/>
      <name val="Arial"/>
      <family val="2"/>
      <charset val="1"/>
    </font>
    <font>
      <b/>
      <sz val="48"/>
      <name val="Arial"/>
      <family val="2"/>
    </font>
    <font>
      <b/>
      <sz val="48"/>
      <color rgb="FFFFFFFF"/>
      <name val="Arial"/>
      <family val="2"/>
    </font>
    <font>
      <sz val="48"/>
      <name val="Arial"/>
      <family val="2"/>
    </font>
    <font>
      <sz val="48"/>
      <color rgb="FF000000"/>
      <name val="Arial"/>
      <family val="2"/>
    </font>
    <font>
      <i/>
      <sz val="48"/>
      <name val="Arial"/>
      <family val="2"/>
    </font>
    <font>
      <b/>
      <sz val="7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FF6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CF9E7"/>
        <bgColor rgb="FFEFF6FF"/>
      </patternFill>
    </fill>
    <fill>
      <patternFill patternType="solid">
        <fgColor rgb="FFFFF3F3"/>
        <bgColor rgb="FFF8FAFC"/>
      </patternFill>
    </fill>
    <fill>
      <patternFill patternType="solid">
        <fgColor rgb="FFFFFF00"/>
        <bgColor rgb="FFFFFF00"/>
      </patternFill>
    </fill>
    <fill>
      <patternFill patternType="solid">
        <fgColor rgb="FFF8FAFC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/>
    <xf numFmtId="2" fontId="1" fillId="0" borderId="0" xfId="0" applyNumberFormat="1" applyFont="1"/>
    <xf numFmtId="0" fontId="2" fillId="7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5" fillId="0" borderId="4" xfId="0" applyFont="1" applyBorder="1"/>
    <xf numFmtId="3" fontId="4" fillId="2" borderId="3" xfId="0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0" fontId="3" fillId="8" borderId="7" xfId="0" applyFont="1" applyFill="1" applyBorder="1"/>
    <xf numFmtId="164" fontId="3" fillId="8" borderId="7" xfId="0" applyNumberFormat="1" applyFont="1" applyFill="1" applyBorder="1"/>
    <xf numFmtId="165" fontId="4" fillId="2" borderId="3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5" fillId="4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6" fillId="6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3" fontId="5" fillId="5" borderId="4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9E7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3F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819225</xdr:colOff>
      <xdr:row>12</xdr:row>
      <xdr:rowOff>976140</xdr:rowOff>
    </xdr:from>
    <xdr:to>
      <xdr:col>0</xdr:col>
      <xdr:colOff>4905375</xdr:colOff>
      <xdr:row>14</xdr:row>
      <xdr:rowOff>904875</xdr:rowOff>
    </xdr:to>
    <xdr:pic>
      <xdr:nvPicPr>
        <xdr:cNvPr id="2" name="PicF_611_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9225" y="15882765"/>
          <a:ext cx="4086150" cy="350061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1059720</xdr:colOff>
      <xdr:row>22</xdr:row>
      <xdr:rowOff>1436665</xdr:rowOff>
    </xdr:from>
    <xdr:to>
      <xdr:col>0</xdr:col>
      <xdr:colOff>5143500</xdr:colOff>
      <xdr:row>24</xdr:row>
      <xdr:rowOff>238125</xdr:rowOff>
    </xdr:to>
    <xdr:pic>
      <xdr:nvPicPr>
        <xdr:cNvPr id="3" name="PicF_614_1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59720" y="34917040"/>
          <a:ext cx="4083780" cy="29924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1304775</xdr:colOff>
      <xdr:row>29</xdr:row>
      <xdr:rowOff>976140</xdr:rowOff>
    </xdr:from>
    <xdr:to>
      <xdr:col>0</xdr:col>
      <xdr:colOff>4524375</xdr:colOff>
      <xdr:row>30</xdr:row>
      <xdr:rowOff>952500</xdr:rowOff>
    </xdr:to>
    <xdr:pic>
      <xdr:nvPicPr>
        <xdr:cNvPr id="4" name="PicF_715_2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04775" y="50839515"/>
          <a:ext cx="3219600" cy="25957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1394855</xdr:colOff>
      <xdr:row>43</xdr:row>
      <xdr:rowOff>1070914</xdr:rowOff>
    </xdr:from>
    <xdr:to>
      <xdr:col>0</xdr:col>
      <xdr:colOff>4714875</xdr:colOff>
      <xdr:row>43</xdr:row>
      <xdr:rowOff>3333749</xdr:rowOff>
    </xdr:to>
    <xdr:pic>
      <xdr:nvPicPr>
        <xdr:cNvPr id="5" name="PicF_590_2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394855" y="89272414"/>
          <a:ext cx="3320020" cy="226283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2333625</xdr:colOff>
      <xdr:row>8</xdr:row>
      <xdr:rowOff>1190625</xdr:rowOff>
    </xdr:from>
    <xdr:to>
      <xdr:col>8</xdr:col>
      <xdr:colOff>1143000</xdr:colOff>
      <xdr:row>8</xdr:row>
      <xdr:rowOff>4191000</xdr:rowOff>
    </xdr:to>
    <xdr:pic>
      <xdr:nvPicPr>
        <xdr:cNvPr id="6" name="Imagem 1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5574625" y="12382500"/>
          <a:ext cx="12287250" cy="30003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833475</xdr:colOff>
      <xdr:row>31</xdr:row>
      <xdr:rowOff>1515905</xdr:rowOff>
    </xdr:from>
    <xdr:to>
      <xdr:col>0</xdr:col>
      <xdr:colOff>4714875</xdr:colOff>
      <xdr:row>32</xdr:row>
      <xdr:rowOff>1476375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833475" y="56665655"/>
          <a:ext cx="3881400" cy="29132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758130</xdr:colOff>
      <xdr:row>36</xdr:row>
      <xdr:rowOff>333375</xdr:rowOff>
    </xdr:from>
    <xdr:to>
      <xdr:col>0</xdr:col>
      <xdr:colOff>4476750</xdr:colOff>
      <xdr:row>37</xdr:row>
      <xdr:rowOff>1095375</xdr:rowOff>
    </xdr:to>
    <xdr:pic>
      <xdr:nvPicPr>
        <xdr:cNvPr id="8" name="Imagem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758130" y="67056000"/>
          <a:ext cx="3718620" cy="290512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1666950</xdr:colOff>
      <xdr:row>40</xdr:row>
      <xdr:rowOff>785790</xdr:rowOff>
    </xdr:from>
    <xdr:to>
      <xdr:col>0</xdr:col>
      <xdr:colOff>4286250</xdr:colOff>
      <xdr:row>40</xdr:row>
      <xdr:rowOff>3333750</xdr:rowOff>
    </xdr:to>
    <xdr:pic>
      <xdr:nvPicPr>
        <xdr:cNvPr id="9" name="PicF_697_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1666950" y="76747665"/>
          <a:ext cx="2619300" cy="2547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1293955</xdr:colOff>
      <xdr:row>41</xdr:row>
      <xdr:rowOff>1373224</xdr:rowOff>
    </xdr:from>
    <xdr:to>
      <xdr:col>0</xdr:col>
      <xdr:colOff>4667251</xdr:colOff>
      <xdr:row>41</xdr:row>
      <xdr:rowOff>3762375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293955" y="81240349"/>
          <a:ext cx="3373296" cy="238915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1150870</xdr:colOff>
      <xdr:row>42</xdr:row>
      <xdr:rowOff>777709</xdr:rowOff>
    </xdr:from>
    <xdr:to>
      <xdr:col>0</xdr:col>
      <xdr:colOff>4762500</xdr:colOff>
      <xdr:row>42</xdr:row>
      <xdr:rowOff>3190874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1150870" y="85312084"/>
          <a:ext cx="3611630" cy="24131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75"/>
  <sheetViews>
    <sheetView tabSelected="1" view="pageBreakPreview" topLeftCell="A8" zoomScale="20" zoomScaleNormal="40" zoomScaleSheetLayoutView="20" zoomScalePageLayoutView="40" workbookViewId="0">
      <selection activeCell="J1" sqref="J1:Q9"/>
    </sheetView>
  </sheetViews>
  <sheetFormatPr defaultColWidth="9.140625" defaultRowHeight="15" x14ac:dyDescent="0.25"/>
  <cols>
    <col min="1" max="1" width="90.7109375" style="1" customWidth="1"/>
    <col min="2" max="2" width="66.28515625" style="1" customWidth="1"/>
    <col min="3" max="3" width="59.5703125" style="1" customWidth="1"/>
    <col min="4" max="4" width="132" style="1" customWidth="1"/>
    <col min="5" max="5" width="82.85546875" style="1" customWidth="1"/>
    <col min="6" max="6" width="42.7109375" style="1" customWidth="1"/>
    <col min="7" max="7" width="40.28515625" style="1" customWidth="1"/>
    <col min="8" max="8" width="36.28515625" style="1" customWidth="1"/>
    <col min="9" max="9" width="35.7109375" style="1" customWidth="1"/>
    <col min="10" max="10" width="39" style="1" customWidth="1"/>
    <col min="11" max="11" width="59.7109375" style="1" customWidth="1"/>
    <col min="12" max="12" width="68.28515625" style="1" customWidth="1"/>
    <col min="13" max="13" width="51.5703125" style="1" customWidth="1"/>
    <col min="14" max="14" width="143" style="1" bestFit="1" customWidth="1"/>
    <col min="15" max="15" width="58.7109375" style="1" hidden="1" customWidth="1"/>
    <col min="16" max="16" width="71.5703125" style="1" customWidth="1"/>
    <col min="17" max="17" width="76.7109375" style="1" customWidth="1"/>
    <col min="18" max="18" width="20.7109375" style="1" customWidth="1"/>
    <col min="19" max="19" width="23.5703125" style="1" customWidth="1"/>
    <col min="20" max="1024" width="9.140625" style="1"/>
  </cols>
  <sheetData>
    <row r="1" spans="1:19" ht="15" customHeight="1" x14ac:dyDescent="0.25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52" t="s">
        <v>86</v>
      </c>
      <c r="K1" s="52"/>
      <c r="L1" s="52"/>
      <c r="M1" s="52"/>
      <c r="N1" s="52"/>
      <c r="O1" s="52"/>
      <c r="P1" s="52"/>
      <c r="Q1" s="52"/>
    </row>
    <row r="2" spans="1:19" ht="1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2"/>
      <c r="K2" s="52"/>
      <c r="L2" s="52"/>
      <c r="M2" s="52"/>
      <c r="N2" s="52"/>
      <c r="O2" s="52"/>
      <c r="P2" s="52"/>
      <c r="Q2" s="52"/>
    </row>
    <row r="3" spans="1:19" ht="15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2"/>
      <c r="Q3" s="52"/>
    </row>
    <row r="4" spans="1:19" ht="15" customHeight="1" x14ac:dyDescent="0.25">
      <c r="A4" s="51"/>
      <c r="B4" s="51"/>
      <c r="C4" s="51"/>
      <c r="D4" s="51"/>
      <c r="E4" s="51"/>
      <c r="F4" s="51"/>
      <c r="G4" s="51"/>
      <c r="H4" s="51"/>
      <c r="I4" s="51"/>
      <c r="J4" s="52"/>
      <c r="K4" s="52"/>
      <c r="L4" s="52"/>
      <c r="M4" s="52"/>
      <c r="N4" s="52"/>
      <c r="O4" s="52"/>
      <c r="P4" s="52"/>
      <c r="Q4" s="52"/>
    </row>
    <row r="5" spans="1:19" ht="15" customHeight="1" x14ac:dyDescent="0.25">
      <c r="A5" s="51"/>
      <c r="B5" s="51"/>
      <c r="C5" s="51"/>
      <c r="D5" s="51"/>
      <c r="E5" s="51"/>
      <c r="F5" s="51"/>
      <c r="G5" s="51"/>
      <c r="H5" s="51"/>
      <c r="I5" s="51"/>
      <c r="J5" s="52"/>
      <c r="K5" s="52"/>
      <c r="L5" s="52"/>
      <c r="M5" s="52"/>
      <c r="N5" s="52"/>
      <c r="O5" s="52"/>
      <c r="P5" s="52"/>
      <c r="Q5" s="52"/>
    </row>
    <row r="6" spans="1:19" ht="153.75" customHeight="1" x14ac:dyDescent="0.25">
      <c r="A6" s="51"/>
      <c r="B6" s="51"/>
      <c r="C6" s="51"/>
      <c r="D6" s="51"/>
      <c r="E6" s="51"/>
      <c r="F6" s="51"/>
      <c r="G6" s="51"/>
      <c r="H6" s="51"/>
      <c r="I6" s="51"/>
      <c r="J6" s="52"/>
      <c r="K6" s="52"/>
      <c r="L6" s="52"/>
      <c r="M6" s="52"/>
      <c r="N6" s="52"/>
      <c r="O6" s="52"/>
      <c r="P6" s="52"/>
      <c r="Q6" s="52"/>
    </row>
    <row r="7" spans="1:19" ht="408.75" customHeight="1" x14ac:dyDescent="0.25">
      <c r="A7" s="51"/>
      <c r="B7" s="51"/>
      <c r="C7" s="51"/>
      <c r="D7" s="51"/>
      <c r="E7" s="51"/>
      <c r="F7" s="51"/>
      <c r="G7" s="51"/>
      <c r="H7" s="51"/>
      <c r="I7" s="51"/>
      <c r="J7" s="52"/>
      <c r="K7" s="52"/>
      <c r="L7" s="52"/>
      <c r="M7" s="52"/>
      <c r="N7" s="52"/>
      <c r="O7" s="52"/>
      <c r="P7" s="52"/>
      <c r="Q7" s="52"/>
    </row>
    <row r="8" spans="1:19" ht="243.75" customHeight="1" x14ac:dyDescent="0.25">
      <c r="A8" s="51"/>
      <c r="B8" s="51"/>
      <c r="C8" s="51"/>
      <c r="D8" s="51"/>
      <c r="E8" s="51"/>
      <c r="F8" s="51"/>
      <c r="G8" s="51"/>
      <c r="H8" s="51"/>
      <c r="I8" s="51"/>
      <c r="J8" s="52"/>
      <c r="K8" s="52"/>
      <c r="L8" s="52"/>
      <c r="M8" s="52"/>
      <c r="N8" s="52"/>
      <c r="O8" s="52"/>
      <c r="P8" s="52"/>
      <c r="Q8" s="52"/>
    </row>
    <row r="9" spans="1:19" ht="408.75" customHeight="1" x14ac:dyDescent="0.25">
      <c r="A9" s="51"/>
      <c r="B9" s="51"/>
      <c r="C9" s="51"/>
      <c r="D9" s="51"/>
      <c r="E9" s="51"/>
      <c r="F9" s="51"/>
      <c r="G9" s="51"/>
      <c r="H9" s="51"/>
      <c r="I9" s="51"/>
      <c r="J9" s="52"/>
      <c r="K9" s="52"/>
      <c r="L9" s="52"/>
      <c r="M9" s="52"/>
      <c r="N9" s="52"/>
      <c r="O9" s="52"/>
      <c r="P9" s="52"/>
      <c r="Q9" s="52"/>
    </row>
    <row r="10" spans="1:19" ht="147" customHeight="1" x14ac:dyDescent="0.25">
      <c r="A10" s="8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29" t="s">
        <v>10</v>
      </c>
      <c r="L10" s="8" t="s">
        <v>11</v>
      </c>
      <c r="M10" s="8" t="s">
        <v>12</v>
      </c>
      <c r="N10" s="8" t="s">
        <v>13</v>
      </c>
      <c r="O10" s="8" t="s">
        <v>14</v>
      </c>
      <c r="P10" s="8" t="s">
        <v>15</v>
      </c>
      <c r="Q10" s="8" t="s">
        <v>16</v>
      </c>
    </row>
    <row r="11" spans="1:19" ht="145.5" customHeight="1" x14ac:dyDescent="0.35">
      <c r="A11" s="37"/>
      <c r="B11" s="45" t="s">
        <v>17</v>
      </c>
      <c r="C11" s="46">
        <v>2442</v>
      </c>
      <c r="D11" s="48" t="s">
        <v>18</v>
      </c>
      <c r="E11" s="10" t="s">
        <v>19</v>
      </c>
      <c r="F11" s="34" t="s">
        <v>20</v>
      </c>
      <c r="G11" s="10">
        <v>1.84</v>
      </c>
      <c r="H11" s="11">
        <v>1</v>
      </c>
      <c r="I11" s="10">
        <v>1.04</v>
      </c>
      <c r="J11" s="50">
        <v>1</v>
      </c>
      <c r="K11" s="13">
        <f>G11*H11*I11*J11</f>
        <v>1.9136000000000002</v>
      </c>
      <c r="L11" s="34" t="s">
        <v>21</v>
      </c>
      <c r="M11" s="38">
        <v>12011</v>
      </c>
      <c r="N11" s="40" t="s">
        <v>22</v>
      </c>
      <c r="O11" s="41">
        <f>S11</f>
        <v>7.293846153846153</v>
      </c>
      <c r="P11" s="42">
        <f>612.81+S$11</f>
        <v>620.10384615384612</v>
      </c>
      <c r="Q11" s="44">
        <f>P11*J11</f>
        <v>620.10384615384612</v>
      </c>
      <c r="S11" s="2">
        <f>284.46/39</f>
        <v>7.293846153846153</v>
      </c>
    </row>
    <row r="12" spans="1:19" ht="145.5" customHeight="1" x14ac:dyDescent="0.25">
      <c r="A12" s="37"/>
      <c r="B12" s="45"/>
      <c r="C12" s="47"/>
      <c r="D12" s="49"/>
      <c r="E12" s="10" t="s">
        <v>23</v>
      </c>
      <c r="F12" s="34"/>
      <c r="G12" s="11">
        <v>1</v>
      </c>
      <c r="H12" s="11">
        <v>1</v>
      </c>
      <c r="I12" s="11">
        <v>2.0499999999999998</v>
      </c>
      <c r="J12" s="50"/>
      <c r="K12" s="13">
        <f>G12*H12*I12*J11</f>
        <v>2.0499999999999998</v>
      </c>
      <c r="L12" s="34"/>
      <c r="M12" s="39"/>
      <c r="N12" s="40"/>
      <c r="O12" s="41"/>
      <c r="P12" s="43"/>
      <c r="Q12" s="44"/>
      <c r="S12" s="3"/>
    </row>
    <row r="13" spans="1:19" ht="139.5" customHeight="1" x14ac:dyDescent="0.35">
      <c r="A13" s="37"/>
      <c r="B13" s="45"/>
      <c r="C13" s="46">
        <v>17759</v>
      </c>
      <c r="D13" s="48" t="s">
        <v>24</v>
      </c>
      <c r="E13" s="10" t="s">
        <v>25</v>
      </c>
      <c r="F13" s="34"/>
      <c r="G13" s="11">
        <v>1.84</v>
      </c>
      <c r="H13" s="11">
        <v>1</v>
      </c>
      <c r="I13" s="11">
        <v>1.04</v>
      </c>
      <c r="J13" s="50">
        <v>2</v>
      </c>
      <c r="K13" s="13">
        <f>G13*H13*I13*J13</f>
        <v>3.8272000000000004</v>
      </c>
      <c r="L13" s="34" t="s">
        <v>26</v>
      </c>
      <c r="M13" s="34">
        <v>13024</v>
      </c>
      <c r="N13" s="40" t="s">
        <v>27</v>
      </c>
      <c r="O13" s="41">
        <f>S11</f>
        <v>7.293846153846153</v>
      </c>
      <c r="P13" s="42">
        <f>672.85+S$11</f>
        <v>680.1438461538462</v>
      </c>
      <c r="Q13" s="44">
        <f>P13*J13</f>
        <v>1360.2876923076924</v>
      </c>
      <c r="S13" s="4">
        <f>1300/4.57</f>
        <v>284.46389496717723</v>
      </c>
    </row>
    <row r="14" spans="1:19" ht="141" customHeight="1" x14ac:dyDescent="0.25">
      <c r="A14" s="37"/>
      <c r="B14" s="45"/>
      <c r="C14" s="47"/>
      <c r="D14" s="49"/>
      <c r="E14" s="10" t="s">
        <v>28</v>
      </c>
      <c r="F14" s="34"/>
      <c r="G14" s="11">
        <v>1</v>
      </c>
      <c r="H14" s="11">
        <v>1</v>
      </c>
      <c r="I14" s="11">
        <v>2.0499999999999998</v>
      </c>
      <c r="J14" s="50"/>
      <c r="K14" s="13">
        <f>G14*H14*I14*J13</f>
        <v>4.0999999999999996</v>
      </c>
      <c r="L14" s="34"/>
      <c r="M14" s="34"/>
      <c r="N14" s="40"/>
      <c r="O14" s="41"/>
      <c r="P14" s="43"/>
      <c r="Q14" s="44"/>
      <c r="S14" s="5"/>
    </row>
    <row r="15" spans="1:19" ht="141.75" customHeight="1" x14ac:dyDescent="0.25">
      <c r="A15" s="37"/>
      <c r="B15" s="45"/>
      <c r="C15" s="46">
        <v>3724</v>
      </c>
      <c r="D15" s="48" t="s">
        <v>29</v>
      </c>
      <c r="E15" s="10" t="s">
        <v>19</v>
      </c>
      <c r="F15" s="34"/>
      <c r="G15" s="11">
        <v>1.84</v>
      </c>
      <c r="H15" s="11">
        <v>1</v>
      </c>
      <c r="I15" s="11">
        <v>1.04</v>
      </c>
      <c r="J15" s="50">
        <v>1</v>
      </c>
      <c r="K15" s="13">
        <f>G15*H15*I15*J15</f>
        <v>1.9136000000000002</v>
      </c>
      <c r="L15" s="34" t="s">
        <v>21</v>
      </c>
      <c r="M15" s="34">
        <v>12003</v>
      </c>
      <c r="N15" s="40" t="s">
        <v>22</v>
      </c>
      <c r="O15" s="41">
        <f>S11</f>
        <v>7.293846153846153</v>
      </c>
      <c r="P15" s="42">
        <f>612.81+S$11</f>
        <v>620.10384615384612</v>
      </c>
      <c r="Q15" s="44">
        <f>P15*J15</f>
        <v>620.10384615384612</v>
      </c>
      <c r="S15" s="5"/>
    </row>
    <row r="16" spans="1:19" ht="105.75" customHeight="1" x14ac:dyDescent="0.35">
      <c r="A16" s="37"/>
      <c r="B16" s="45"/>
      <c r="C16" s="47"/>
      <c r="D16" s="49"/>
      <c r="E16" s="10" t="s">
        <v>23</v>
      </c>
      <c r="F16" s="34"/>
      <c r="G16" s="11">
        <v>1</v>
      </c>
      <c r="H16" s="11">
        <v>1</v>
      </c>
      <c r="I16" s="11">
        <v>2.0499999999999998</v>
      </c>
      <c r="J16" s="50"/>
      <c r="K16" s="13">
        <f>G16*H16*I16*J15</f>
        <v>2.0499999999999998</v>
      </c>
      <c r="L16" s="34"/>
      <c r="M16" s="34"/>
      <c r="N16" s="40"/>
      <c r="O16" s="41"/>
      <c r="P16" s="43"/>
      <c r="Q16" s="44"/>
      <c r="R16" s="6" t="s">
        <v>30</v>
      </c>
    </row>
    <row r="17" spans="1:18" ht="143.25" customHeight="1" x14ac:dyDescent="0.25">
      <c r="A17" s="37"/>
      <c r="B17" s="45"/>
      <c r="C17" s="46">
        <v>17728</v>
      </c>
      <c r="D17" s="48" t="s">
        <v>31</v>
      </c>
      <c r="E17" s="10" t="s">
        <v>19</v>
      </c>
      <c r="F17" s="34"/>
      <c r="G17" s="11">
        <v>1.84</v>
      </c>
      <c r="H17" s="11">
        <v>1</v>
      </c>
      <c r="I17" s="11">
        <v>1.04</v>
      </c>
      <c r="J17" s="50">
        <v>2</v>
      </c>
      <c r="K17" s="13">
        <f>G17*H17*I17*J17</f>
        <v>3.8272000000000004</v>
      </c>
      <c r="L17" s="34" t="s">
        <v>26</v>
      </c>
      <c r="M17" s="34">
        <v>13024</v>
      </c>
      <c r="N17" s="40" t="s">
        <v>22</v>
      </c>
      <c r="O17" s="41">
        <f>S11</f>
        <v>7.293846153846153</v>
      </c>
      <c r="P17" s="42">
        <f>672.85+S$11</f>
        <v>680.1438461538462</v>
      </c>
      <c r="Q17" s="44">
        <f>P17*J17</f>
        <v>1360.2876923076924</v>
      </c>
      <c r="R17" s="7"/>
    </row>
    <row r="18" spans="1:18" ht="139.5" customHeight="1" x14ac:dyDescent="0.25">
      <c r="A18" s="37"/>
      <c r="B18" s="45"/>
      <c r="C18" s="47"/>
      <c r="D18" s="49"/>
      <c r="E18" s="10" t="s">
        <v>23</v>
      </c>
      <c r="F18" s="34"/>
      <c r="G18" s="11">
        <v>1</v>
      </c>
      <c r="H18" s="11">
        <v>1</v>
      </c>
      <c r="I18" s="11">
        <v>2.0499999999999998</v>
      </c>
      <c r="J18" s="50"/>
      <c r="K18" s="13">
        <f>G18*H18*I18*J17</f>
        <v>4.0999999999999996</v>
      </c>
      <c r="L18" s="34"/>
      <c r="M18" s="34"/>
      <c r="N18" s="40"/>
      <c r="O18" s="41"/>
      <c r="P18" s="43"/>
      <c r="Q18" s="44"/>
      <c r="R18" s="7"/>
    </row>
    <row r="19" spans="1:18" ht="194.25" customHeight="1" x14ac:dyDescent="0.25">
      <c r="A19" s="37"/>
      <c r="B19" s="45" t="s">
        <v>32</v>
      </c>
      <c r="C19" s="18">
        <v>4439</v>
      </c>
      <c r="D19" s="19" t="s">
        <v>33</v>
      </c>
      <c r="E19" s="14" t="s">
        <v>34</v>
      </c>
      <c r="F19" s="34" t="s">
        <v>20</v>
      </c>
      <c r="G19" s="11">
        <v>2.2999999999999998</v>
      </c>
      <c r="H19" s="11">
        <v>1.08</v>
      </c>
      <c r="I19" s="11">
        <v>0.98</v>
      </c>
      <c r="J19" s="12">
        <v>1</v>
      </c>
      <c r="K19" s="13">
        <f t="shared" ref="K19:K44" si="0">G19*H19*I19*J19</f>
        <v>2.43432</v>
      </c>
      <c r="L19" s="10" t="s">
        <v>21</v>
      </c>
      <c r="M19" s="10">
        <v>12023</v>
      </c>
      <c r="N19" s="14"/>
      <c r="O19" s="15">
        <f>S11</f>
        <v>7.293846153846153</v>
      </c>
      <c r="P19" s="15">
        <f>325.58+S$11</f>
        <v>332.87384615384616</v>
      </c>
      <c r="Q19" s="16">
        <f t="shared" ref="Q19:Q43" si="1">P19*J19</f>
        <v>332.87384615384616</v>
      </c>
    </row>
    <row r="20" spans="1:18" ht="180.75" customHeight="1" x14ac:dyDescent="0.25">
      <c r="A20" s="37"/>
      <c r="B20" s="45"/>
      <c r="C20" s="18">
        <v>8520</v>
      </c>
      <c r="D20" s="19" t="s">
        <v>35</v>
      </c>
      <c r="E20" s="14" t="s">
        <v>34</v>
      </c>
      <c r="F20" s="34"/>
      <c r="G20" s="11">
        <v>2.1</v>
      </c>
      <c r="H20" s="11">
        <v>1.08</v>
      </c>
      <c r="I20" s="11">
        <v>0.98</v>
      </c>
      <c r="J20" s="12">
        <v>1</v>
      </c>
      <c r="K20" s="13">
        <f t="shared" si="0"/>
        <v>2.2226400000000002</v>
      </c>
      <c r="L20" s="10" t="s">
        <v>21</v>
      </c>
      <c r="M20" s="10">
        <v>12011</v>
      </c>
      <c r="N20" s="14"/>
      <c r="O20" s="15">
        <f>S11</f>
        <v>7.293846153846153</v>
      </c>
      <c r="P20" s="15">
        <f>303.35+S$11</f>
        <v>310.6438461538462</v>
      </c>
      <c r="Q20" s="16">
        <f t="shared" si="1"/>
        <v>310.6438461538462</v>
      </c>
    </row>
    <row r="21" spans="1:18" ht="188.25" customHeight="1" x14ac:dyDescent="0.25">
      <c r="A21" s="37"/>
      <c r="B21" s="45"/>
      <c r="C21" s="18">
        <v>19610</v>
      </c>
      <c r="D21" s="19" t="s">
        <v>36</v>
      </c>
      <c r="E21" s="14" t="s">
        <v>34</v>
      </c>
      <c r="F21" s="34"/>
      <c r="G21" s="11">
        <v>2.2999999999999998</v>
      </c>
      <c r="H21" s="11">
        <v>1.08</v>
      </c>
      <c r="I21" s="11">
        <v>0.98</v>
      </c>
      <c r="J21" s="12">
        <v>1</v>
      </c>
      <c r="K21" s="13">
        <f t="shared" si="0"/>
        <v>2.43432</v>
      </c>
      <c r="L21" s="10" t="s">
        <v>37</v>
      </c>
      <c r="M21" s="10">
        <v>10064</v>
      </c>
      <c r="N21" s="14"/>
      <c r="O21" s="15">
        <f>S11</f>
        <v>7.293846153846153</v>
      </c>
      <c r="P21" s="15">
        <f>346+S$11</f>
        <v>353.29384615384618</v>
      </c>
      <c r="Q21" s="16">
        <f t="shared" si="1"/>
        <v>353.29384615384618</v>
      </c>
    </row>
    <row r="22" spans="1:18" ht="162" customHeight="1" x14ac:dyDescent="0.25">
      <c r="A22" s="37"/>
      <c r="B22" s="45"/>
      <c r="C22" s="18">
        <v>19833</v>
      </c>
      <c r="D22" s="19" t="s">
        <v>38</v>
      </c>
      <c r="E22" s="14" t="s">
        <v>34</v>
      </c>
      <c r="F22" s="34"/>
      <c r="G22" s="11">
        <v>2.2999999999999998</v>
      </c>
      <c r="H22" s="11">
        <v>1.08</v>
      </c>
      <c r="I22" s="11">
        <v>0.98</v>
      </c>
      <c r="J22" s="12">
        <v>1</v>
      </c>
      <c r="K22" s="13">
        <f t="shared" si="0"/>
        <v>2.43432</v>
      </c>
      <c r="L22" s="10" t="s">
        <v>37</v>
      </c>
      <c r="M22" s="10">
        <v>10065</v>
      </c>
      <c r="N22" s="14"/>
      <c r="O22" s="15">
        <f>S11</f>
        <v>7.293846153846153</v>
      </c>
      <c r="P22" s="15">
        <f>346+S$11</f>
        <v>353.29384615384618</v>
      </c>
      <c r="Q22" s="16">
        <f t="shared" si="1"/>
        <v>353.29384615384618</v>
      </c>
    </row>
    <row r="23" spans="1:18" ht="172.5" customHeight="1" x14ac:dyDescent="0.25">
      <c r="A23" s="37"/>
      <c r="B23" s="45"/>
      <c r="C23" s="18">
        <v>17723</v>
      </c>
      <c r="D23" s="19" t="s">
        <v>39</v>
      </c>
      <c r="E23" s="14" t="s">
        <v>34</v>
      </c>
      <c r="F23" s="34"/>
      <c r="G23" s="11">
        <v>2.1</v>
      </c>
      <c r="H23" s="11">
        <v>1.08</v>
      </c>
      <c r="I23" s="11">
        <v>0.98</v>
      </c>
      <c r="J23" s="12">
        <v>2</v>
      </c>
      <c r="K23" s="13">
        <f t="shared" si="0"/>
        <v>4.4452800000000003</v>
      </c>
      <c r="L23" s="10" t="s">
        <v>26</v>
      </c>
      <c r="M23" s="10">
        <v>13024</v>
      </c>
      <c r="N23" s="14"/>
      <c r="O23" s="15">
        <f>S11</f>
        <v>7.293846153846153</v>
      </c>
      <c r="P23" s="15">
        <f>335.94+S$11</f>
        <v>343.23384615384617</v>
      </c>
      <c r="Q23" s="16">
        <f t="shared" si="1"/>
        <v>686.46769230769235</v>
      </c>
    </row>
    <row r="24" spans="1:18" ht="157.5" customHeight="1" x14ac:dyDescent="0.25">
      <c r="A24" s="37"/>
      <c r="B24" s="45"/>
      <c r="C24" s="18">
        <v>9449</v>
      </c>
      <c r="D24" s="19" t="s">
        <v>40</v>
      </c>
      <c r="E24" s="14" t="s">
        <v>34</v>
      </c>
      <c r="F24" s="34"/>
      <c r="G24" s="11">
        <v>2.1</v>
      </c>
      <c r="H24" s="11">
        <v>1.08</v>
      </c>
      <c r="I24" s="11">
        <v>0.98</v>
      </c>
      <c r="J24" s="12">
        <v>1</v>
      </c>
      <c r="K24" s="13">
        <f t="shared" si="0"/>
        <v>2.2226400000000002</v>
      </c>
      <c r="L24" s="10" t="s">
        <v>26</v>
      </c>
      <c r="M24" s="10" t="s">
        <v>41</v>
      </c>
      <c r="N24" s="14"/>
      <c r="O24" s="15">
        <f>S11</f>
        <v>7.293846153846153</v>
      </c>
      <c r="P24" s="15">
        <f>335.94+S$11</f>
        <v>343.23384615384617</v>
      </c>
      <c r="Q24" s="16">
        <f t="shared" si="1"/>
        <v>343.23384615384617</v>
      </c>
    </row>
    <row r="25" spans="1:18" ht="221.25" customHeight="1" x14ac:dyDescent="0.25">
      <c r="A25" s="37"/>
      <c r="B25" s="45"/>
      <c r="C25" s="18">
        <v>17725</v>
      </c>
      <c r="D25" s="19" t="s">
        <v>42</v>
      </c>
      <c r="E25" s="14" t="s">
        <v>34</v>
      </c>
      <c r="F25" s="34"/>
      <c r="G25" s="11">
        <v>2.1</v>
      </c>
      <c r="H25" s="11">
        <v>1.08</v>
      </c>
      <c r="I25" s="11">
        <v>0.98</v>
      </c>
      <c r="J25" s="12">
        <v>2</v>
      </c>
      <c r="K25" s="13">
        <f t="shared" si="0"/>
        <v>4.4452800000000003</v>
      </c>
      <c r="L25" s="10" t="s">
        <v>37</v>
      </c>
      <c r="M25" s="10">
        <v>10065</v>
      </c>
      <c r="N25" s="14" t="s">
        <v>43</v>
      </c>
      <c r="O25" s="15">
        <f>S11</f>
        <v>7.293846153846153</v>
      </c>
      <c r="P25" s="15">
        <f>323.47+S$11</f>
        <v>330.7638461538462</v>
      </c>
      <c r="Q25" s="16">
        <f t="shared" si="1"/>
        <v>661.5276923076924</v>
      </c>
    </row>
    <row r="26" spans="1:18" ht="153.75" customHeight="1" x14ac:dyDescent="0.25">
      <c r="A26" s="37"/>
      <c r="B26" s="45"/>
      <c r="C26" s="18">
        <v>19834</v>
      </c>
      <c r="D26" s="19" t="s">
        <v>44</v>
      </c>
      <c r="E26" s="14" t="s">
        <v>34</v>
      </c>
      <c r="F26" s="34"/>
      <c r="G26" s="11">
        <v>2.2999999999999998</v>
      </c>
      <c r="H26" s="11">
        <v>1.08</v>
      </c>
      <c r="I26" s="11">
        <v>0.98</v>
      </c>
      <c r="J26" s="12">
        <v>1</v>
      </c>
      <c r="K26" s="13">
        <f t="shared" si="0"/>
        <v>2.43432</v>
      </c>
      <c r="L26" s="10" t="s">
        <v>26</v>
      </c>
      <c r="M26" s="10">
        <v>13008</v>
      </c>
      <c r="N26" s="14"/>
      <c r="O26" s="15">
        <f>S11</f>
        <v>7.293846153846153</v>
      </c>
      <c r="P26" s="15">
        <f>361.09+S$11</f>
        <v>368.38384615384615</v>
      </c>
      <c r="Q26" s="16">
        <f t="shared" si="1"/>
        <v>368.38384615384615</v>
      </c>
    </row>
    <row r="27" spans="1:18" ht="191.25" customHeight="1" x14ac:dyDescent="0.25">
      <c r="A27" s="37"/>
      <c r="B27" s="45"/>
      <c r="C27" s="18">
        <v>10646</v>
      </c>
      <c r="D27" s="19" t="s">
        <v>45</v>
      </c>
      <c r="E27" s="14" t="s">
        <v>34</v>
      </c>
      <c r="F27" s="34"/>
      <c r="G27" s="11">
        <v>2.1</v>
      </c>
      <c r="H27" s="11">
        <v>1.08</v>
      </c>
      <c r="I27" s="11">
        <v>0.98</v>
      </c>
      <c r="J27" s="12">
        <v>1</v>
      </c>
      <c r="K27" s="13">
        <f t="shared" si="0"/>
        <v>2.2226400000000002</v>
      </c>
      <c r="L27" s="10" t="s">
        <v>21</v>
      </c>
      <c r="M27" s="10">
        <v>12021</v>
      </c>
      <c r="N27" s="14"/>
      <c r="O27" s="15">
        <f>S11</f>
        <v>7.293846153846153</v>
      </c>
      <c r="P27" s="15">
        <f>303.35+S$11</f>
        <v>310.6438461538462</v>
      </c>
      <c r="Q27" s="16">
        <f t="shared" si="1"/>
        <v>310.6438461538462</v>
      </c>
    </row>
    <row r="28" spans="1:18" ht="202.5" customHeight="1" x14ac:dyDescent="0.25">
      <c r="A28" s="37"/>
      <c r="B28" s="45"/>
      <c r="C28" s="18">
        <v>8622</v>
      </c>
      <c r="D28" s="19" t="s">
        <v>46</v>
      </c>
      <c r="E28" s="14" t="s">
        <v>34</v>
      </c>
      <c r="F28" s="34"/>
      <c r="G28" s="11">
        <v>2.1</v>
      </c>
      <c r="H28" s="11">
        <v>1.08</v>
      </c>
      <c r="I28" s="11">
        <v>0.98</v>
      </c>
      <c r="J28" s="12">
        <v>1</v>
      </c>
      <c r="K28" s="13">
        <f t="shared" si="0"/>
        <v>2.2226400000000002</v>
      </c>
      <c r="L28" s="10" t="s">
        <v>21</v>
      </c>
      <c r="M28" s="10">
        <v>12003</v>
      </c>
      <c r="N28" s="14" t="s">
        <v>47</v>
      </c>
      <c r="O28" s="15">
        <f>S11</f>
        <v>7.293846153846153</v>
      </c>
      <c r="P28" s="15">
        <f>303.35+S$11</f>
        <v>310.6438461538462</v>
      </c>
      <c r="Q28" s="16">
        <f t="shared" si="1"/>
        <v>310.6438461538462</v>
      </c>
    </row>
    <row r="29" spans="1:18" ht="191.25" customHeight="1" x14ac:dyDescent="0.25">
      <c r="A29" s="37"/>
      <c r="B29" s="45"/>
      <c r="C29" s="18">
        <v>19835</v>
      </c>
      <c r="D29" s="19" t="s">
        <v>48</v>
      </c>
      <c r="E29" s="14" t="s">
        <v>49</v>
      </c>
      <c r="F29" s="34"/>
      <c r="G29" s="11">
        <v>2.5</v>
      </c>
      <c r="H29" s="11">
        <v>1.08</v>
      </c>
      <c r="I29" s="11">
        <v>0.98</v>
      </c>
      <c r="J29" s="12">
        <v>1</v>
      </c>
      <c r="K29" s="13">
        <f t="shared" si="0"/>
        <v>2.6459999999999999</v>
      </c>
      <c r="L29" s="10" t="s">
        <v>26</v>
      </c>
      <c r="M29" s="10">
        <v>13024</v>
      </c>
      <c r="N29" s="14"/>
      <c r="O29" s="15">
        <f>S11</f>
        <v>7.293846153846153</v>
      </c>
      <c r="P29" s="15">
        <f>405.92+S$11</f>
        <v>413.21384615384619</v>
      </c>
      <c r="Q29" s="16">
        <f t="shared" si="1"/>
        <v>413.21384615384619</v>
      </c>
    </row>
    <row r="30" spans="1:18" ht="207" customHeight="1" x14ac:dyDescent="0.25">
      <c r="A30" s="37"/>
      <c r="B30" s="33" t="s">
        <v>50</v>
      </c>
      <c r="C30" s="18">
        <v>15856</v>
      </c>
      <c r="D30" s="19" t="s">
        <v>51</v>
      </c>
      <c r="E30" s="14" t="s">
        <v>52</v>
      </c>
      <c r="F30" s="38" t="s">
        <v>20</v>
      </c>
      <c r="G30" s="11">
        <v>0.82</v>
      </c>
      <c r="H30" s="11">
        <v>1.02</v>
      </c>
      <c r="I30" s="11">
        <v>0.97</v>
      </c>
      <c r="J30" s="12">
        <v>2</v>
      </c>
      <c r="K30" s="13">
        <f t="shared" si="0"/>
        <v>1.6226159999999998</v>
      </c>
      <c r="L30" s="14" t="s">
        <v>53</v>
      </c>
      <c r="M30" s="10">
        <v>13025</v>
      </c>
      <c r="N30" s="14"/>
      <c r="O30" s="15">
        <f>S11</f>
        <v>7.293846153846153</v>
      </c>
      <c r="P30" s="15">
        <f>339.6+S$11</f>
        <v>346.8938461538462</v>
      </c>
      <c r="Q30" s="16">
        <f t="shared" si="1"/>
        <v>693.7876923076924</v>
      </c>
    </row>
    <row r="31" spans="1:18" ht="208.5" customHeight="1" x14ac:dyDescent="0.25">
      <c r="A31" s="37"/>
      <c r="B31" s="33"/>
      <c r="C31" s="18">
        <v>19588</v>
      </c>
      <c r="D31" s="19" t="s">
        <v>54</v>
      </c>
      <c r="E31" s="14" t="s">
        <v>52</v>
      </c>
      <c r="F31" s="39"/>
      <c r="G31" s="11">
        <v>0.82</v>
      </c>
      <c r="H31" s="11">
        <v>1.02</v>
      </c>
      <c r="I31" s="11">
        <v>0.97</v>
      </c>
      <c r="J31" s="12">
        <v>1</v>
      </c>
      <c r="K31" s="13">
        <f t="shared" si="0"/>
        <v>0.81130799999999992</v>
      </c>
      <c r="L31" s="14" t="s">
        <v>53</v>
      </c>
      <c r="M31" s="10" t="s">
        <v>55</v>
      </c>
      <c r="N31" s="14"/>
      <c r="O31" s="15">
        <f>S11</f>
        <v>7.293846153846153</v>
      </c>
      <c r="P31" s="15">
        <f>339.6+S$11</f>
        <v>346.8938461538462</v>
      </c>
      <c r="Q31" s="16">
        <f t="shared" si="1"/>
        <v>346.8938461538462</v>
      </c>
    </row>
    <row r="32" spans="1:18" ht="234" customHeight="1" x14ac:dyDescent="0.25">
      <c r="A32" s="32"/>
      <c r="B32" s="33" t="s">
        <v>56</v>
      </c>
      <c r="C32" s="18">
        <v>19836</v>
      </c>
      <c r="D32" s="19" t="s">
        <v>57</v>
      </c>
      <c r="E32" s="14" t="s">
        <v>34</v>
      </c>
      <c r="F32" s="34" t="s">
        <v>20</v>
      </c>
      <c r="G32" s="11">
        <v>1.8</v>
      </c>
      <c r="H32" s="11">
        <v>1.1000000000000001</v>
      </c>
      <c r="I32" s="11">
        <v>0.98</v>
      </c>
      <c r="J32" s="12">
        <v>1</v>
      </c>
      <c r="K32" s="13">
        <f t="shared" si="0"/>
        <v>1.9404000000000001</v>
      </c>
      <c r="L32" s="10" t="s">
        <v>26</v>
      </c>
      <c r="M32" s="10">
        <v>13025</v>
      </c>
      <c r="N32" s="14"/>
      <c r="O32" s="15">
        <f>S11</f>
        <v>7.293846153846153</v>
      </c>
      <c r="P32" s="15">
        <f>310.75+S$11</f>
        <v>318.04384615384618</v>
      </c>
      <c r="Q32" s="16">
        <f t="shared" si="1"/>
        <v>318.04384615384618</v>
      </c>
    </row>
    <row r="33" spans="1:17" ht="166.5" customHeight="1" x14ac:dyDescent="0.25">
      <c r="A33" s="32"/>
      <c r="B33" s="33"/>
      <c r="C33" s="18">
        <v>7888</v>
      </c>
      <c r="D33" s="19" t="s">
        <v>58</v>
      </c>
      <c r="E33" s="14" t="s">
        <v>34</v>
      </c>
      <c r="F33" s="34"/>
      <c r="G33" s="11">
        <v>1.8</v>
      </c>
      <c r="H33" s="11">
        <v>1.1000000000000001</v>
      </c>
      <c r="I33" s="11">
        <v>0.98</v>
      </c>
      <c r="J33" s="12">
        <v>1</v>
      </c>
      <c r="K33" s="13">
        <f t="shared" si="0"/>
        <v>1.9404000000000001</v>
      </c>
      <c r="L33" s="10" t="s">
        <v>21</v>
      </c>
      <c r="M33" s="10">
        <v>12015</v>
      </c>
      <c r="N33" s="14"/>
      <c r="O33" s="15">
        <f>S11</f>
        <v>7.293846153846153</v>
      </c>
      <c r="P33" s="15">
        <f>278.39+S$11</f>
        <v>285.68384615384616</v>
      </c>
      <c r="Q33" s="16">
        <f t="shared" si="1"/>
        <v>285.68384615384616</v>
      </c>
    </row>
    <row r="34" spans="1:17" ht="159" customHeight="1" x14ac:dyDescent="0.25">
      <c r="A34" s="32"/>
      <c r="B34" s="33"/>
      <c r="C34" s="18">
        <v>7894</v>
      </c>
      <c r="D34" s="19" t="s">
        <v>59</v>
      </c>
      <c r="E34" s="14" t="s">
        <v>34</v>
      </c>
      <c r="F34" s="34"/>
      <c r="G34" s="11">
        <v>1.8</v>
      </c>
      <c r="H34" s="11">
        <v>1.1000000000000001</v>
      </c>
      <c r="I34" s="11">
        <v>0.98</v>
      </c>
      <c r="J34" s="12">
        <v>1</v>
      </c>
      <c r="K34" s="13">
        <f t="shared" si="0"/>
        <v>1.9404000000000001</v>
      </c>
      <c r="L34" s="10" t="s">
        <v>21</v>
      </c>
      <c r="M34" s="10">
        <v>12023</v>
      </c>
      <c r="N34" s="14"/>
      <c r="O34" s="15">
        <f>S11</f>
        <v>7.293846153846153</v>
      </c>
      <c r="P34" s="15">
        <f>278.39+S$11</f>
        <v>285.68384615384616</v>
      </c>
      <c r="Q34" s="16">
        <f t="shared" si="1"/>
        <v>285.68384615384616</v>
      </c>
    </row>
    <row r="35" spans="1:17" ht="195.75" customHeight="1" x14ac:dyDescent="0.25">
      <c r="A35" s="32"/>
      <c r="B35" s="33" t="s">
        <v>60</v>
      </c>
      <c r="C35" s="18">
        <v>17717</v>
      </c>
      <c r="D35" s="19" t="s">
        <v>61</v>
      </c>
      <c r="E35" s="14" t="s">
        <v>62</v>
      </c>
      <c r="F35" s="34" t="s">
        <v>20</v>
      </c>
      <c r="G35" s="11">
        <v>2.2200000000000002</v>
      </c>
      <c r="H35" s="11">
        <v>0.93</v>
      </c>
      <c r="I35" s="11">
        <v>1.07</v>
      </c>
      <c r="J35" s="12">
        <v>1</v>
      </c>
      <c r="K35" s="13">
        <f t="shared" si="0"/>
        <v>2.2091220000000007</v>
      </c>
      <c r="L35" s="10" t="s">
        <v>37</v>
      </c>
      <c r="M35" s="10">
        <v>10064</v>
      </c>
      <c r="N35" s="14"/>
      <c r="O35" s="15">
        <f>S11</f>
        <v>7.293846153846153</v>
      </c>
      <c r="P35" s="15">
        <f>(514.14+S$11)-16.9</f>
        <v>504.53384615384618</v>
      </c>
      <c r="Q35" s="16">
        <f t="shared" si="1"/>
        <v>504.53384615384618</v>
      </c>
    </row>
    <row r="36" spans="1:17" ht="162.75" customHeight="1" x14ac:dyDescent="0.25">
      <c r="A36" s="32"/>
      <c r="B36" s="33"/>
      <c r="C36" s="18">
        <v>19932</v>
      </c>
      <c r="D36" s="19" t="s">
        <v>63</v>
      </c>
      <c r="E36" s="14" t="s">
        <v>62</v>
      </c>
      <c r="F36" s="34"/>
      <c r="G36" s="11">
        <v>2.2200000000000002</v>
      </c>
      <c r="H36" s="11">
        <v>0.93</v>
      </c>
      <c r="I36" s="11">
        <v>1.07</v>
      </c>
      <c r="J36" s="12">
        <v>1</v>
      </c>
      <c r="K36" s="13">
        <f t="shared" si="0"/>
        <v>2.2091220000000007</v>
      </c>
      <c r="L36" s="10" t="s">
        <v>26</v>
      </c>
      <c r="M36" s="10">
        <v>13004</v>
      </c>
      <c r="N36" s="14"/>
      <c r="O36" s="15">
        <f>S11</f>
        <v>7.293846153846153</v>
      </c>
      <c r="P36" s="15">
        <f>531.65+S$11</f>
        <v>538.94384615384615</v>
      </c>
      <c r="Q36" s="16">
        <f t="shared" si="1"/>
        <v>538.94384615384615</v>
      </c>
    </row>
    <row r="37" spans="1:17" ht="170.25" customHeight="1" x14ac:dyDescent="0.25">
      <c r="A37" s="32"/>
      <c r="B37" s="33"/>
      <c r="C37" s="18">
        <v>12951</v>
      </c>
      <c r="D37" s="19" t="s">
        <v>64</v>
      </c>
      <c r="E37" s="14" t="s">
        <v>62</v>
      </c>
      <c r="F37" s="34"/>
      <c r="G37" s="11">
        <v>2.2200000000000002</v>
      </c>
      <c r="H37" s="11">
        <v>0.93</v>
      </c>
      <c r="I37" s="11">
        <v>1.07</v>
      </c>
      <c r="J37" s="12">
        <v>2</v>
      </c>
      <c r="K37" s="13">
        <f t="shared" si="0"/>
        <v>4.4182440000000014</v>
      </c>
      <c r="L37" s="10" t="s">
        <v>26</v>
      </c>
      <c r="M37" s="10">
        <v>13025</v>
      </c>
      <c r="N37" s="14"/>
      <c r="O37" s="15">
        <f>S11</f>
        <v>7.293846153846153</v>
      </c>
      <c r="P37" s="15">
        <f>531.65+S$11</f>
        <v>538.94384615384615</v>
      </c>
      <c r="Q37" s="16">
        <f t="shared" si="1"/>
        <v>1077.8876923076923</v>
      </c>
    </row>
    <row r="38" spans="1:17" ht="204" customHeight="1" x14ac:dyDescent="0.25">
      <c r="A38" s="32"/>
      <c r="B38" s="33"/>
      <c r="C38" s="18">
        <v>19724</v>
      </c>
      <c r="D38" s="19" t="s">
        <v>84</v>
      </c>
      <c r="E38" s="14" t="s">
        <v>62</v>
      </c>
      <c r="F38" s="34"/>
      <c r="G38" s="11">
        <v>2.2200000000000002</v>
      </c>
      <c r="H38" s="11">
        <v>0.93</v>
      </c>
      <c r="I38" s="11">
        <v>1.07</v>
      </c>
      <c r="J38" s="12">
        <v>1</v>
      </c>
      <c r="K38" s="13">
        <f t="shared" si="0"/>
        <v>2.2091220000000007</v>
      </c>
      <c r="L38" s="10" t="s">
        <v>21</v>
      </c>
      <c r="M38" s="10">
        <v>12013</v>
      </c>
      <c r="N38" s="14"/>
      <c r="O38" s="15">
        <f>S11</f>
        <v>7.293846153846153</v>
      </c>
      <c r="P38" s="15">
        <f>(496.42+S$11)-16.9</f>
        <v>486.81384615384621</v>
      </c>
      <c r="Q38" s="16">
        <f t="shared" si="1"/>
        <v>486.81384615384621</v>
      </c>
    </row>
    <row r="39" spans="1:17" ht="159" customHeight="1" x14ac:dyDescent="0.25">
      <c r="A39" s="32"/>
      <c r="B39" s="33"/>
      <c r="C39" s="18">
        <v>19837</v>
      </c>
      <c r="D39" s="19" t="s">
        <v>65</v>
      </c>
      <c r="E39" s="14" t="s">
        <v>62</v>
      </c>
      <c r="F39" s="34"/>
      <c r="G39" s="11">
        <v>1.82</v>
      </c>
      <c r="H39" s="11">
        <v>0.93</v>
      </c>
      <c r="I39" s="11">
        <v>1.07</v>
      </c>
      <c r="J39" s="12">
        <v>1</v>
      </c>
      <c r="K39" s="13">
        <f t="shared" si="0"/>
        <v>1.8110820000000003</v>
      </c>
      <c r="L39" s="10" t="s">
        <v>21</v>
      </c>
      <c r="M39" s="10">
        <v>12003</v>
      </c>
      <c r="N39" s="14"/>
      <c r="O39" s="15">
        <f>S11</f>
        <v>7.293846153846153</v>
      </c>
      <c r="P39" s="15">
        <f>(458.81+S$11)-16.9</f>
        <v>449.2038461538462</v>
      </c>
      <c r="Q39" s="16">
        <f t="shared" si="1"/>
        <v>449.2038461538462</v>
      </c>
    </row>
    <row r="40" spans="1:17" ht="200.25" customHeight="1" x14ac:dyDescent="0.25">
      <c r="A40" s="32"/>
      <c r="B40" s="33"/>
      <c r="C40" s="18">
        <v>10541</v>
      </c>
      <c r="D40" s="19" t="s">
        <v>66</v>
      </c>
      <c r="E40" s="14" t="s">
        <v>62</v>
      </c>
      <c r="F40" s="34"/>
      <c r="G40" s="11">
        <v>2.2200000000000002</v>
      </c>
      <c r="H40" s="11">
        <v>0.93</v>
      </c>
      <c r="I40" s="11">
        <v>1.07</v>
      </c>
      <c r="J40" s="12">
        <v>3</v>
      </c>
      <c r="K40" s="13">
        <f t="shared" si="0"/>
        <v>6.6273660000000021</v>
      </c>
      <c r="L40" s="10" t="s">
        <v>26</v>
      </c>
      <c r="M40" s="10">
        <v>13024</v>
      </c>
      <c r="N40" s="14"/>
      <c r="O40" s="15">
        <f>S11</f>
        <v>7.293846153846153</v>
      </c>
      <c r="P40" s="15">
        <f>531.65+S$11</f>
        <v>538.94384615384615</v>
      </c>
      <c r="Q40" s="16">
        <f t="shared" si="1"/>
        <v>1616.8315384615385</v>
      </c>
    </row>
    <row r="41" spans="1:17" ht="307.5" customHeight="1" x14ac:dyDescent="0.75">
      <c r="A41" s="20"/>
      <c r="B41" s="21" t="s">
        <v>67</v>
      </c>
      <c r="C41" s="18">
        <v>12220</v>
      </c>
      <c r="D41" s="19" t="s">
        <v>68</v>
      </c>
      <c r="E41" s="14" t="s">
        <v>69</v>
      </c>
      <c r="F41" s="17" t="s">
        <v>70</v>
      </c>
      <c r="G41" s="11">
        <v>0.86</v>
      </c>
      <c r="H41" s="11">
        <v>0.78</v>
      </c>
      <c r="I41" s="11">
        <v>0.9</v>
      </c>
      <c r="J41" s="12">
        <v>2</v>
      </c>
      <c r="K41" s="13">
        <f t="shared" si="0"/>
        <v>1.2074400000000001</v>
      </c>
      <c r="L41" s="10" t="s">
        <v>71</v>
      </c>
      <c r="M41" s="10">
        <v>702</v>
      </c>
      <c r="N41" s="14"/>
      <c r="O41" s="15">
        <f>S11</f>
        <v>7.293846153846153</v>
      </c>
      <c r="P41" s="15">
        <f>398.4+S$11</f>
        <v>405.69384615384615</v>
      </c>
      <c r="Q41" s="16">
        <f t="shared" si="1"/>
        <v>811.3876923076923</v>
      </c>
    </row>
    <row r="42" spans="1:17" ht="367.5" customHeight="1" x14ac:dyDescent="0.75">
      <c r="A42" s="20"/>
      <c r="B42" s="21" t="s">
        <v>72</v>
      </c>
      <c r="C42" s="18">
        <v>19901</v>
      </c>
      <c r="D42" s="19" t="s">
        <v>83</v>
      </c>
      <c r="E42" s="14" t="s">
        <v>62</v>
      </c>
      <c r="F42" s="17" t="s">
        <v>20</v>
      </c>
      <c r="G42" s="11">
        <v>2.1</v>
      </c>
      <c r="H42" s="11">
        <v>0.86</v>
      </c>
      <c r="I42" s="11">
        <v>0.92</v>
      </c>
      <c r="J42" s="12">
        <v>1</v>
      </c>
      <c r="K42" s="13">
        <f t="shared" si="0"/>
        <v>1.6615200000000001</v>
      </c>
      <c r="L42" s="10" t="s">
        <v>73</v>
      </c>
      <c r="M42" s="10">
        <v>14041</v>
      </c>
      <c r="N42" s="14" t="s">
        <v>27</v>
      </c>
      <c r="O42" s="15">
        <f>S11</f>
        <v>7.293846153846153</v>
      </c>
      <c r="P42" s="15">
        <f>468.81+S$11</f>
        <v>476.10384615384618</v>
      </c>
      <c r="Q42" s="16">
        <f t="shared" si="1"/>
        <v>476.10384615384618</v>
      </c>
    </row>
    <row r="43" spans="1:17" ht="288" customHeight="1" x14ac:dyDescent="0.75">
      <c r="A43" s="20"/>
      <c r="B43" s="21" t="s">
        <v>74</v>
      </c>
      <c r="C43" s="18">
        <v>19902</v>
      </c>
      <c r="D43" s="19" t="s">
        <v>75</v>
      </c>
      <c r="E43" s="14" t="s">
        <v>76</v>
      </c>
      <c r="F43" s="17" t="s">
        <v>20</v>
      </c>
      <c r="G43" s="11">
        <v>3</v>
      </c>
      <c r="H43" s="11">
        <v>0.86</v>
      </c>
      <c r="I43" s="11">
        <v>0.92</v>
      </c>
      <c r="J43" s="12">
        <v>1</v>
      </c>
      <c r="K43" s="13">
        <f t="shared" si="0"/>
        <v>2.3736000000000002</v>
      </c>
      <c r="L43" s="10" t="s">
        <v>26</v>
      </c>
      <c r="M43" s="10">
        <v>13002</v>
      </c>
      <c r="N43" s="14"/>
      <c r="O43" s="15">
        <f>S11</f>
        <v>7.293846153846153</v>
      </c>
      <c r="P43" s="15">
        <f>739.77+S$11</f>
        <v>747.06384615384616</v>
      </c>
      <c r="Q43" s="16">
        <f t="shared" si="1"/>
        <v>747.06384615384616</v>
      </c>
    </row>
    <row r="44" spans="1:17" ht="322.5" customHeight="1" x14ac:dyDescent="0.75">
      <c r="A44" s="22"/>
      <c r="B44" s="9" t="s">
        <v>77</v>
      </c>
      <c r="C44" s="18">
        <v>19592</v>
      </c>
      <c r="D44" s="19" t="s">
        <v>78</v>
      </c>
      <c r="E44" s="14" t="s">
        <v>79</v>
      </c>
      <c r="F44" s="10" t="s">
        <v>20</v>
      </c>
      <c r="G44" s="11">
        <v>3</v>
      </c>
      <c r="H44" s="11">
        <v>0.95</v>
      </c>
      <c r="I44" s="11">
        <v>1.25</v>
      </c>
      <c r="J44" s="12">
        <v>1</v>
      </c>
      <c r="K44" s="13">
        <f t="shared" si="0"/>
        <v>3.5624999999999996</v>
      </c>
      <c r="L44" s="10" t="s">
        <v>80</v>
      </c>
      <c r="M44" s="10">
        <v>16005</v>
      </c>
      <c r="N44" s="14"/>
      <c r="O44" s="15">
        <f>S11</f>
        <v>7.293846153846153</v>
      </c>
      <c r="P44" s="15">
        <f>(814.77+S$11)-45.77</f>
        <v>776.29384615384618</v>
      </c>
      <c r="Q44" s="16">
        <f>P44*J44</f>
        <v>776.29384615384618</v>
      </c>
    </row>
    <row r="45" spans="1:17" ht="144" customHeight="1" x14ac:dyDescent="0.8">
      <c r="A45" s="14" t="s">
        <v>81</v>
      </c>
      <c r="B45" s="14"/>
      <c r="C45" s="14"/>
      <c r="D45" s="14"/>
      <c r="E45" s="14"/>
      <c r="F45" s="14"/>
      <c r="G45" s="14"/>
      <c r="H45" s="14"/>
      <c r="I45" s="14"/>
      <c r="J45" s="23">
        <f>SUM(J11:J44)</f>
        <v>39</v>
      </c>
      <c r="K45" s="24">
        <f>SUM(K11:K44)</f>
        <v>90.490241999999967</v>
      </c>
      <c r="L45" s="25"/>
      <c r="M45" s="25"/>
      <c r="N45" s="14"/>
      <c r="O45" s="26"/>
      <c r="P45" s="26"/>
      <c r="Q45" s="27">
        <v>17820.09</v>
      </c>
    </row>
    <row r="46" spans="1:17" ht="78" customHeight="1" x14ac:dyDescent="0.7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ht="12.75" customHeight="1" x14ac:dyDescent="0.25">
      <c r="A47" s="35" t="s">
        <v>82</v>
      </c>
      <c r="B47" s="35"/>
      <c r="C47" s="35"/>
      <c r="D47" s="35"/>
      <c r="E47" s="35"/>
      <c r="F47" s="35"/>
      <c r="G47" s="35"/>
      <c r="H47" s="35"/>
      <c r="I47" s="35"/>
      <c r="J47" s="36" t="s">
        <v>87</v>
      </c>
      <c r="K47" s="36"/>
      <c r="L47" s="36"/>
      <c r="M47" s="36"/>
      <c r="N47" s="36"/>
      <c r="O47" s="36"/>
      <c r="P47" s="36"/>
      <c r="Q47" s="36"/>
    </row>
    <row r="48" spans="1:17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6"/>
      <c r="K48" s="36"/>
      <c r="L48" s="36"/>
      <c r="M48" s="36"/>
      <c r="N48" s="36"/>
      <c r="O48" s="36"/>
      <c r="P48" s="36"/>
      <c r="Q48" s="36"/>
    </row>
    <row r="49" spans="1:17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6"/>
      <c r="K49" s="36"/>
      <c r="L49" s="36"/>
      <c r="M49" s="36"/>
      <c r="N49" s="36"/>
      <c r="O49" s="36"/>
      <c r="P49" s="36"/>
      <c r="Q49" s="36"/>
    </row>
    <row r="50" spans="1:17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6"/>
      <c r="K50" s="36"/>
      <c r="L50" s="36"/>
      <c r="M50" s="36"/>
      <c r="N50" s="36"/>
      <c r="O50" s="36"/>
      <c r="P50" s="36"/>
      <c r="Q50" s="36"/>
    </row>
    <row r="51" spans="1:17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6"/>
      <c r="K51" s="36"/>
      <c r="L51" s="36"/>
      <c r="M51" s="36"/>
      <c r="N51" s="36"/>
      <c r="O51" s="36"/>
      <c r="P51" s="36"/>
      <c r="Q51" s="36"/>
    </row>
    <row r="52" spans="1:17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6"/>
      <c r="K52" s="36"/>
      <c r="L52" s="36"/>
      <c r="M52" s="36"/>
      <c r="N52" s="36"/>
      <c r="O52" s="36"/>
      <c r="P52" s="36"/>
      <c r="Q52" s="36"/>
    </row>
    <row r="53" spans="1:17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6"/>
      <c r="K53" s="36"/>
      <c r="L53" s="36"/>
      <c r="M53" s="36"/>
      <c r="N53" s="36"/>
      <c r="O53" s="36"/>
      <c r="P53" s="36"/>
      <c r="Q53" s="36"/>
    </row>
    <row r="54" spans="1:17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6"/>
      <c r="K54" s="36"/>
      <c r="L54" s="36"/>
      <c r="M54" s="36"/>
      <c r="N54" s="36"/>
      <c r="O54" s="36"/>
      <c r="P54" s="36"/>
      <c r="Q54" s="36"/>
    </row>
    <row r="55" spans="1:17" ht="52.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6"/>
      <c r="K55" s="36"/>
      <c r="L55" s="36"/>
      <c r="M55" s="36"/>
      <c r="N55" s="36"/>
      <c r="O55" s="36"/>
      <c r="P55" s="36"/>
      <c r="Q55" s="36"/>
    </row>
    <row r="56" spans="1:17" ht="408.7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6"/>
      <c r="K56" s="36"/>
      <c r="L56" s="36"/>
      <c r="M56" s="36"/>
      <c r="N56" s="36"/>
      <c r="O56" s="36"/>
      <c r="P56" s="36"/>
      <c r="Q56" s="36"/>
    </row>
    <row r="57" spans="1:17" ht="409.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6"/>
      <c r="K57" s="36"/>
      <c r="L57" s="36"/>
      <c r="M57" s="36"/>
      <c r="N57" s="36"/>
      <c r="O57" s="36"/>
      <c r="P57" s="36"/>
      <c r="Q57" s="36"/>
    </row>
    <row r="58" spans="1:17" ht="117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spans="1:17" ht="59.25" x14ac:dyDescent="0.7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</row>
    <row r="68" spans="9:13" x14ac:dyDescent="0.25">
      <c r="I68" s="31"/>
      <c r="J68" s="31"/>
      <c r="K68" s="31"/>
      <c r="L68" s="31"/>
      <c r="M68" s="31"/>
    </row>
    <row r="69" spans="9:13" x14ac:dyDescent="0.25">
      <c r="I69" s="31"/>
      <c r="J69" s="31"/>
      <c r="K69" s="31"/>
      <c r="L69" s="31"/>
      <c r="M69" s="31"/>
    </row>
    <row r="70" spans="9:13" x14ac:dyDescent="0.25">
      <c r="I70" s="31"/>
      <c r="J70" s="31"/>
      <c r="K70" s="31"/>
      <c r="L70" s="31"/>
      <c r="M70" s="31"/>
    </row>
    <row r="71" spans="9:13" x14ac:dyDescent="0.25">
      <c r="I71" s="31"/>
      <c r="J71" s="31"/>
      <c r="K71" s="31"/>
      <c r="L71" s="31"/>
      <c r="M71" s="31"/>
    </row>
    <row r="72" spans="9:13" x14ac:dyDescent="0.25">
      <c r="I72" s="31"/>
      <c r="J72" s="31"/>
      <c r="K72" s="31"/>
      <c r="L72" s="31"/>
      <c r="M72" s="31"/>
    </row>
    <row r="73" spans="9:13" x14ac:dyDescent="0.25">
      <c r="I73" s="31"/>
      <c r="J73" s="31"/>
      <c r="K73" s="31"/>
      <c r="L73" s="31"/>
      <c r="M73" s="31"/>
    </row>
    <row r="74" spans="9:13" x14ac:dyDescent="0.25">
      <c r="I74" s="31"/>
      <c r="J74" s="31"/>
      <c r="K74" s="31"/>
      <c r="L74" s="31"/>
      <c r="M74" s="31"/>
    </row>
    <row r="75" spans="9:13" x14ac:dyDescent="0.25">
      <c r="I75" s="31"/>
      <c r="J75" s="31"/>
      <c r="K75" s="31"/>
      <c r="L75" s="31"/>
      <c r="M75" s="31"/>
    </row>
  </sheetData>
  <mergeCells count="57">
    <mergeCell ref="A1:I9"/>
    <mergeCell ref="J1:Q9"/>
    <mergeCell ref="A11:A18"/>
    <mergeCell ref="B11:B18"/>
    <mergeCell ref="C11:C12"/>
    <mergeCell ref="D11:D12"/>
    <mergeCell ref="F11:F18"/>
    <mergeCell ref="J11:J12"/>
    <mergeCell ref="L11:L12"/>
    <mergeCell ref="M11:M12"/>
    <mergeCell ref="N11:N12"/>
    <mergeCell ref="O11:O12"/>
    <mergeCell ref="P11:P12"/>
    <mergeCell ref="Q11:Q12"/>
    <mergeCell ref="C13:C14"/>
    <mergeCell ref="D13:D14"/>
    <mergeCell ref="P13:P14"/>
    <mergeCell ref="Q13:Q14"/>
    <mergeCell ref="C15:C16"/>
    <mergeCell ref="D15:D16"/>
    <mergeCell ref="J15:J16"/>
    <mergeCell ref="L15:L16"/>
    <mergeCell ref="M15:M16"/>
    <mergeCell ref="N15:N16"/>
    <mergeCell ref="O15:O16"/>
    <mergeCell ref="P15:P16"/>
    <mergeCell ref="Q15:Q16"/>
    <mergeCell ref="J13:J14"/>
    <mergeCell ref="L13:L14"/>
    <mergeCell ref="M13:M14"/>
    <mergeCell ref="N13:N14"/>
    <mergeCell ref="O13:O14"/>
    <mergeCell ref="N17:N18"/>
    <mergeCell ref="O17:O18"/>
    <mergeCell ref="P17:P18"/>
    <mergeCell ref="Q17:Q18"/>
    <mergeCell ref="A19:A29"/>
    <mergeCell ref="B19:B29"/>
    <mergeCell ref="F19:F29"/>
    <mergeCell ref="C17:C18"/>
    <mergeCell ref="D17:D18"/>
    <mergeCell ref="J17:J18"/>
    <mergeCell ref="L17:L18"/>
    <mergeCell ref="M17:M18"/>
    <mergeCell ref="A30:A31"/>
    <mergeCell ref="B30:B31"/>
    <mergeCell ref="F30:F31"/>
    <mergeCell ref="A32:A34"/>
    <mergeCell ref="B32:B34"/>
    <mergeCell ref="F32:F34"/>
    <mergeCell ref="A58:Q58"/>
    <mergeCell ref="I68:M75"/>
    <mergeCell ref="A35:A40"/>
    <mergeCell ref="B35:B40"/>
    <mergeCell ref="F35:F40"/>
    <mergeCell ref="A47:I57"/>
    <mergeCell ref="J47:Q57"/>
  </mergeCells>
  <pageMargins left="0.51" right="0.41" top="0.62" bottom="0.39" header="0.51181102362204722" footer="0.51181102362204722"/>
  <pageSetup paperSize="9" scale="10" orientation="landscape" horizontalDpi="300" verticalDpi="300" r:id="rId1"/>
  <rowBreaks count="1" manualBreakCount="1">
    <brk id="31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48DDFB46BA2446B91B1066F03ACED5" ma:contentTypeVersion="13" ma:contentTypeDescription="Crie um novo documento." ma:contentTypeScope="" ma:versionID="32a2ae6582d0d0a2f98b8911e0e8a758">
  <xsd:schema xmlns:xsd="http://www.w3.org/2001/XMLSchema" xmlns:xs="http://www.w3.org/2001/XMLSchema" xmlns:p="http://schemas.microsoft.com/office/2006/metadata/properties" xmlns:ns2="1dd2071a-0d66-40c7-805d-7b6172ce3bad" xmlns:ns3="b82b9e14-75a1-4f33-bde2-0f8299375a82" targetNamespace="http://schemas.microsoft.com/office/2006/metadata/properties" ma:root="true" ma:fieldsID="7c9131323d284f8faf752eb243b0e6a6" ns2:_="" ns3:_="">
    <xsd:import namespace="1dd2071a-0d66-40c7-805d-7b6172ce3bad"/>
    <xsd:import namespace="b82b9e14-75a1-4f33-bde2-0f8299375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2071a-0d66-40c7-805d-7b6172ce3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fa8fb37-cb7c-4fcf-9922-39972c96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b9e14-75a1-4f33-bde2-0f8299375a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6aa24d-f13a-4531-97de-9969e0b5e960}" ma:internalName="TaxCatchAll" ma:showField="CatchAllData" ma:web="b82b9e14-75a1-4f33-bde2-0f8299375a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d2071a-0d66-40c7-805d-7b6172ce3bad">
      <Terms xmlns="http://schemas.microsoft.com/office/infopath/2007/PartnerControls"/>
    </lcf76f155ced4ddcb4097134ff3c332f>
    <TaxCatchAll xmlns="b82b9e14-75a1-4f33-bde2-0f8299375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0E2F81-6884-4323-A5AB-DD3CF5EB3374}"/>
</file>

<file path=customXml/itemProps2.xml><?xml version="1.0" encoding="utf-8"?>
<ds:datastoreItem xmlns:ds="http://schemas.openxmlformats.org/officeDocument/2006/customXml" ds:itemID="{81ECC44E-924B-49B2-B99A-9EBF6553884D}">
  <ds:schemaRefs>
    <ds:schemaRef ds:uri="http://schemas.microsoft.com/office/2006/metadata/properties"/>
    <ds:schemaRef ds:uri="http://schemas.microsoft.com/office/infopath/2007/PartnerControls"/>
    <ds:schemaRef ds:uri="1dd2071a-0d66-40c7-805d-7b6172ce3bad"/>
    <ds:schemaRef ds:uri="b82b9e14-75a1-4f33-bde2-0f8299375a82"/>
  </ds:schemaRefs>
</ds:datastoreItem>
</file>

<file path=customXml/itemProps3.xml><?xml version="1.0" encoding="utf-8"?>
<ds:datastoreItem xmlns:ds="http://schemas.openxmlformats.org/officeDocument/2006/customXml" ds:itemID="{5A718263-24BA-4467-ADE2-10957E3EC9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Proforma Invoice</vt:lpstr>
      <vt:lpstr>'Proforma Invoice'!Area_de_impressao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 Web User</dc:creator>
  <cp:keywords>EPPlus EPPlus EPPlus EPPlus EPPlus EPPlus EPPlus noncommercial use</cp:keywords>
  <dc:description>This workbook has been created with EPPlus licensed to PI Web User under The Polyform Noncommercial License: See https://polyformproject.org/licenses/noncommercial/1.0.0</dc:description>
  <cp:lastModifiedBy>Operacional 3</cp:lastModifiedBy>
  <cp:revision>9</cp:revision>
  <cp:lastPrinted>2026-06-01T13:58:57Z</cp:lastPrinted>
  <dcterms:created xsi:type="dcterms:W3CDTF">2026-04-01T15:00:48Z</dcterms:created>
  <dcterms:modified xsi:type="dcterms:W3CDTF">2026-06-09T18:08:00Z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0x0101002548DDFB46BA2446B91B1066F03ACED5</vt:lpwstr>
  </property>
  <property fmtid="{D5CDD505-2E9C-101B-9397-08002B2CF9AE}" pid="3" name="MediaServiceImageTags">
    <vt:lpwstr/>
  </property>
</Properties>
</file>