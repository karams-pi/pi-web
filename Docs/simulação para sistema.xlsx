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Plan1" sheetId="1" r:id="rId1"/>
    <sheet name="Plan2" sheetId="2" r:id="rId2"/>
    <sheet name="Plan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<sst xmlns="http://schemas.openxmlformats.org/spreadsheetml/2006/main" count="26" uniqueCount="23">
  <si>
    <t>Cliente</t>
  </si>
  <si>
    <t>Categoria</t>
  </si>
  <si>
    <t>Modelo</t>
  </si>
  <si>
    <t>Modulo</t>
  </si>
  <si>
    <t>Valor do Tecido</t>
  </si>
  <si>
    <t>Largura</t>
  </si>
  <si>
    <t>Profundidade</t>
  </si>
  <si>
    <t>Altura</t>
  </si>
  <si>
    <t>M3</t>
  </si>
  <si>
    <t>Valor (EXW)</t>
  </si>
  <si>
    <t>Cotação Dólar</t>
  </si>
  <si>
    <t>Cotação de Risco</t>
  </si>
  <si>
    <t>Comissao</t>
  </si>
  <si>
    <t>FOB USD</t>
  </si>
  <si>
    <t>FOB</t>
  </si>
  <si>
    <t>FCA</t>
  </si>
  <si>
    <t>CIF</t>
  </si>
  <si>
    <t>Quantidade</t>
  </si>
  <si>
    <t>Paulo Takeda</t>
  </si>
  <si>
    <t>Estofado</t>
  </si>
  <si>
    <t>Affair</t>
  </si>
  <si>
    <t>Modulo (1Ass:081 - S/Br) - 0,81</t>
  </si>
  <si>
    <t>Modulo (1Ass:091 - S/Br) - 0,91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</si>
</sst>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&quot;R$&quot;\ #,##0.00"/>
  </numFmts>
  <fonts count="21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180" fontId="0" fillId="0" borderId="0" xfId="0" applyNumberFormat="1"/>
    <xf numFmtId="0" fontId="0" fillId="0" borderId="1" xfId="0" applyBorder="1"/>
    <xf numFmtId="0" fontId="0" fillId="0" borderId="0" xfId="0" applyFill="1" applyBorder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tabSelected="1" topLeftCell="B1" workbookViewId="0">
      <selection activeCell="J21" sqref="J21"/>
    </sheetView>
  </sheetViews>
  <sheetFormatPr defaultColWidth="9" defaultRowHeight="15" outlineLevelRow="2"/>
  <cols>
    <col min="1" max="1" width="15.5714285714286" customWidth="1"/>
    <col min="2" max="2" width="11" customWidth="1"/>
    <col min="3" max="3" width="11.7142857142857" customWidth="1"/>
    <col min="4" max="4" width="28.2857142857143" customWidth="1"/>
    <col min="5" max="5" width="21.5714285714286" customWidth="1"/>
    <col min="6" max="6" width="13.7142857142857" customWidth="1"/>
    <col min="7" max="7" width="13.2857142857143" customWidth="1"/>
    <col min="8" max="8" width="15.7142857142857" customWidth="1"/>
    <col min="9" max="10" width="14" customWidth="1"/>
    <col min="11" max="11" width="16.4285714285714" style="1" customWidth="1"/>
    <col min="12" max="12" width="17.7142857142857" customWidth="1"/>
    <col min="13" max="13" width="17.2857142857143" customWidth="1"/>
    <col min="14" max="16" width="9.42857142857143" customWidth="1"/>
    <col min="17" max="17" width="15.1428571428571" customWidth="1"/>
    <col min="20" max="20" width="14.7142857142857" customWidth="1"/>
    <col min="21" max="21" width="21.4285714285714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s="1" t="s">
        <v>9</v>
      </c>
      <c r="L1" t="s">
        <v>10</v>
      </c>
      <c r="M1" t="s">
        <v>11</v>
      </c>
      <c r="N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>
      <c r="A2" t="s">
        <v>18</v>
      </c>
      <c r="B2" t="s">
        <v>19</v>
      </c>
      <c r="C2" t="s">
        <v>20</v>
      </c>
      <c r="D2" s="2" t="s">
        <v>21</v>
      </c>
      <c r="E2" s="3">
        <v>515.96</v>
      </c>
      <c r="F2" s="3">
        <v>0.81</v>
      </c>
      <c r="G2" s="3">
        <v>1</v>
      </c>
      <c r="H2" s="3">
        <v>0.88</v>
      </c>
      <c r="I2" s="3">
        <f>F2*G2*H2</f>
        <v>0.7128</v>
      </c>
      <c r="J2" s="3"/>
      <c r="K2" s="1">
        <f>(E2/M2)+(E2/M2)*N2</f>
        <v>111.943984220907</v>
      </c>
      <c r="L2">
        <v>5.32</v>
      </c>
      <c r="M2">
        <f>L2-0.25</f>
        <v>5.07</v>
      </c>
      <c r="N2">
        <f>10/100</f>
        <v>0.1</v>
      </c>
      <c r="P2">
        <f>Q2/M2</f>
        <v>3078.89546351085</v>
      </c>
      <c r="Q2">
        <v>15610</v>
      </c>
      <c r="T2">
        <v>2</v>
      </c>
    </row>
    <row r="3" spans="1:14">
      <c r="A3" t="s">
        <v>18</v>
      </c>
      <c r="B3" t="s">
        <v>19</v>
      </c>
      <c r="C3" t="s">
        <v>20</v>
      </c>
      <c r="D3" s="2" t="s">
        <v>22</v>
      </c>
      <c r="E3">
        <v>528.97</v>
      </c>
      <c r="F3">
        <v>0.91</v>
      </c>
      <c r="G3">
        <v>1</v>
      </c>
      <c r="H3">
        <v>0.88</v>
      </c>
      <c r="I3" s="3">
        <f>F3*G3*H3</f>
        <v>0.8008</v>
      </c>
      <c r="J3" s="3"/>
      <c r="K3" s="1">
        <f>(E3/M3)+(E3/M3)*N3</f>
        <v>114.766666666667</v>
      </c>
      <c r="L3">
        <v>5.32</v>
      </c>
      <c r="M3">
        <f>L3-0.25</f>
        <v>5.07</v>
      </c>
      <c r="N3">
        <f>10/100</f>
        <v>0.1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Takeda</cp:lastModifiedBy>
  <dcterms:created xsi:type="dcterms:W3CDTF">2006-09-16T00:00:00Z</dcterms:created>
  <dcterms:modified xsi:type="dcterms:W3CDTF">2026-01-22T18:24:55Z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EAE7955F5C604E4192FB2787CE025333_12</vt:lpwstr>
  </property>
  <property fmtid="{D5CDD505-2E9C-101B-9397-08002B2CF9AE}" pid="3" name="KSOProductBuildVer">
    <vt:lpwstr>1046-12.2.0.23196</vt:lpwstr>
  </property>
</Properties>
</file>