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 iterateDelta="1E-4"/>
</workbook>
</file>

<file path=xl/calcChain.xml><?xml version="1.0" encoding="utf-8"?>
<calcChain xmlns="http://schemas.openxmlformats.org/spreadsheetml/2006/main">
  <c r="I3" i="1" l="1"/>
  <c r="I2" i="1"/>
  <c r="N3" i="1"/>
  <c r="K3" i="1"/>
  <c r="M3" i="1"/>
  <c r="N2" i="1"/>
  <c r="M2" i="1"/>
  <c r="P2" i="1" s="1"/>
  <c r="K2" i="1" l="1"/>
</calcChain>
</file>

<file path=xl/sharedStrings.xml><?xml version="1.0" encoding="utf-8"?>
<sst xmlns="http://schemas.openxmlformats.org/spreadsheetml/2006/main" count="26" uniqueCount="23">
  <si>
    <t>Categoria</t>
  </si>
  <si>
    <t>Modelo</t>
  </si>
  <si>
    <t>Valor (EXW)</t>
  </si>
  <si>
    <t>Cotação Dólar</t>
  </si>
  <si>
    <t>Cotação de Risco</t>
  </si>
  <si>
    <t>FOB</t>
  </si>
  <si>
    <t>FCA</t>
  </si>
  <si>
    <t>Quantidade</t>
  </si>
  <si>
    <t>Cliente</t>
  </si>
  <si>
    <t>Paulo Takeda</t>
  </si>
  <si>
    <t>Estofado</t>
  </si>
  <si>
    <t>Valor do Tecido</t>
  </si>
  <si>
    <t>Affair</t>
  </si>
  <si>
    <t>Modulo (1Ass:081 - S/Br) - 0,81</t>
  </si>
  <si>
    <t>Comissao</t>
  </si>
  <si>
    <t>Modulo</t>
  </si>
  <si>
    <t>CIF</t>
  </si>
  <si>
    <t>FOB USD</t>
  </si>
  <si>
    <t>Modulo (1Ass:091 - S/Br) - 0,91</t>
  </si>
  <si>
    <t>Largura</t>
  </si>
  <si>
    <t>Profundidade</t>
  </si>
  <si>
    <t>Altura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</si>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</sst>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topLeftCell="B1" workbookViewId="0">
      <selection activeCell="J21" sqref="J21"/>
    </sheetView>
  </sheetViews>
  <sheetFormatPr defaultRowHeight="15" x14ac:dyDescent="0.25"/>
  <cols>
    <col min="1" max="1" width="15.5703125" customWidth="1"/>
    <col min="2" max="2" width="11" customWidth="1"/>
    <col min="3" max="3" width="11.7109375" customWidth="1"/>
    <col min="4" max="4" width="28.28515625" bestFit="1" customWidth="1"/>
    <col min="5" max="5" width="21.5703125" customWidth="1"/>
    <col min="6" max="6" width="13.7109375" customWidth="1"/>
    <col min="7" max="7" width="13.28515625" customWidth="1"/>
    <col min="8" max="8" width="15.7109375" customWidth="1"/>
    <col min="9" max="10" width="14" customWidth="1"/>
    <col min="11" max="11" width="16.42578125" style="3" customWidth="1"/>
    <col min="12" max="12" width="17.7109375" customWidth="1"/>
    <col min="13" max="13" width="17.28515625" customWidth="1"/>
    <col min="14" max="14" width="9.42578125" bestFit="1" customWidth="1"/>
    <col min="15" max="16" width="9.42578125" customWidth="1"/>
    <col min="17" max="17" width="15.140625" customWidth="1"/>
    <col min="20" max="20" width="14.7109375" customWidth="1"/>
    <col min="21" max="21" width="21.42578125" customWidth="1"/>
  </cols>
  <sheetData>
    <row r="1" spans="1:20" x14ac:dyDescent="0.25">
      <c r="A1" t="s">
        <v>8</v>
      </c>
      <c r="B1" t="s">
        <v>0</v>
      </c>
      <c r="C1" t="s">
        <v>1</v>
      </c>
      <c r="D1" t="s">
        <v>15</v>
      </c>
      <c r="E1" t="s">
        <v>11</v>
      </c>
      <c r="F1" t="s">
        <v>19</v>
      </c>
      <c r="G1" t="s">
        <v>20</v>
      </c>
      <c r="H1" t="s">
        <v>21</v>
      </c>
      <c r="I1" t="s">
        <v>22</v>
      </c>
      <c r="K1" s="3" t="s">
        <v>2</v>
      </c>
      <c r="L1" t="s">
        <v>3</v>
      </c>
      <c r="M1" t="s">
        <v>4</v>
      </c>
      <c r="N1" t="s">
        <v>14</v>
      </c>
      <c r="P1" t="s">
        <v>17</v>
      </c>
      <c r="Q1" t="s">
        <v>5</v>
      </c>
      <c r="R1" t="s">
        <v>6</v>
      </c>
      <c r="S1" t="s">
        <v>16</v>
      </c>
      <c r="T1" t="s">
        <v>7</v>
      </c>
    </row>
    <row r="2" spans="1:20" x14ac:dyDescent="0.25">
      <c r="A2" t="s">
        <v>9</v>
      </c>
      <c r="B2" t="s">
        <v>10</v>
      </c>
      <c r="C2" t="s">
        <v>12</v>
      </c>
      <c r="D2" s="1" t="s">
        <v>13</v>
      </c>
      <c r="E2" s="2">
        <v>515.96</v>
      </c>
      <c r="F2" s="2">
        <v>0.81</v>
      </c>
      <c r="G2" s="2">
        <v>1</v>
      </c>
      <c r="H2" s="2">
        <v>0.88</v>
      </c>
      <c r="I2" s="2">
        <f>F2*G2*H2</f>
        <v>0.7128000000000001</v>
      </c>
      <c r="J2" s="2"/>
      <c r="K2" s="3">
        <f>(E2/M2)+(E2/M2)*N2</f>
        <v>111.9439842209073</v>
      </c>
      <c r="L2">
        <v>5.32</v>
      </c>
      <c r="M2">
        <f>L2-0.25</f>
        <v>5.07</v>
      </c>
      <c r="N2">
        <f>10/100</f>
        <v>0.1</v>
      </c>
      <c r="P2">
        <f>Q2/M2</f>
        <v>3078.895463510848</v>
      </c>
      <c r="Q2">
        <v>15610</v>
      </c>
      <c r="T2">
        <v>2</v>
      </c>
    </row>
    <row r="3" spans="1:20" x14ac:dyDescent="0.25">
      <c r="A3" t="s">
        <v>9</v>
      </c>
      <c r="B3" t="s">
        <v>10</v>
      </c>
      <c r="C3" t="s">
        <v>12</v>
      </c>
      <c r="D3" s="1" t="s">
        <v>18</v>
      </c>
      <c r="E3">
        <v>528.97</v>
      </c>
      <c r="F3">
        <v>0.91</v>
      </c>
      <c r="G3">
        <v>1</v>
      </c>
      <c r="H3">
        <v>0.88</v>
      </c>
      <c r="I3" s="2">
        <f>F3*G3*H3</f>
        <v>0.80080000000000007</v>
      </c>
      <c r="J3" s="2"/>
      <c r="K3" s="3">
        <f>(E3/M3)+(E3/M3)*N3</f>
        <v>114.76666666666667</v>
      </c>
      <c r="L3">
        <v>5.32</v>
      </c>
      <c r="M3">
        <f>L3-0.25</f>
        <v>5.07</v>
      </c>
      <c r="N3">
        <f>10/100</f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2026-01-21T23:14:25Z</dcterms:modified>
</cp:coreProperties>
</file>