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<sst xmlns="http://schemas.openxmlformats.org/spreadsheetml/2006/main" count="64" uniqueCount="64">
  <si>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</si>
  <si>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</si>
  <si>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</si>
  <si>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</si>
  <si>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</si>
  <si>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</si>
  <si>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</si>
  <si>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</si>
  <si>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Módulo (1Ass:110 - 1Me:055)</t>
  </si>
  <si>
    <t>Módulo (2Ass:110 - 1Br:020)</t>
  </si>
  <si>
    <t>Puff 1,10 com mesa 0,55</t>
  </si>
  <si>
    <t>Puff 1,10 x 0,80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</si>
  <si>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</si>
  <si>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</si>
  <si>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</si>
  <si>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</si>
  <si>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</si>
  <si>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</si>
  <si>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</si>
  <si>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</si>
  <si>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</si>
  <si>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</si>
  <si>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(1Ass:235 - 1Me:030)</t>
  </si>
  <si>
    <t>TECIDO: SK1390 / BASE: MEL</t>
  </si>
  <si>
    <t>MEDIDA TOTAL: 480 X 175</t>
  </si>
  <si>
    <t>PÉS: -</t>
  </si>
  <si>
    <t>ESTOFADO MIWA</t>
  </si>
  <si>
    <t>G1</t>
  </si>
  <si>
    <t>Tapeçado - Bipartido (1Ass:246 - 2Br:20) - 8 Almofadas</t>
  </si>
  <si>
    <t xml:space="preserve">TECIDO: SK1397 /  ACAB:CARVALHO</t>
  </si>
  <si>
    <t>MEDIDA TOTAL: 3,00</t>
  </si>
  <si>
    <t>CAPA: SK3195</t>
  </si>
  <si>
    <t>ESTOFADO MOA</t>
  </si>
  <si>
    <t>Bipartido (2Ass:130 - 2Br:015)</t>
  </si>
  <si>
    <t>TECIDO: SK4184 / ACAB: MEL</t>
  </si>
  <si>
    <t>MEDIDA TOTAL: 2,90</t>
  </si>
  <si>
    <t>ESTOFADO NINHO</t>
  </si>
  <si>
    <t>Modulo (1Ass:137 - 1Br:023)</t>
  </si>
  <si>
    <t>Poltrona</t>
  </si>
  <si>
    <t>TECIDO: SK5111 / ACAB: IMBUIA</t>
  </si>
  <si>
    <t>MEDIDA TOTAL: 3,20</t>
  </si>
  <si>
    <t>ESTOFADO TIBAGI</t>
  </si>
  <si>
    <t>Modulo (1Ass:095 - 1Br:25)</t>
  </si>
  <si>
    <t>Modulo Curvo</t>
  </si>
  <si>
    <t>TECIDO: SK5134 / ACAB: IMBUIA</t>
  </si>
  <si>
    <t>MEDIDA TOTAL: 450</t>
  </si>
  <si>
    <t>ESTOFADO ZENITH</t>
  </si>
  <si>
    <t>MECANISMO 3 ASS</t>
  </si>
  <si>
    <t>Módulo (1Ass:110 - S/br)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</si>
  <si>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</si>
  <si>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</si>
  <si>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</si>
  <si>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</si>
  <si>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</si>
  <si>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</si>
  <si>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</si>
  <si>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SEMENTE</t>
  </si>
  <si>
    <t>BANCO TOAD</t>
  </si>
  <si>
    <t>Puff</t>
  </si>
  <si>
    <t>BANCO TORUS</t>
  </si>
  <si>
    <t>Banco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</si>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</sst>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1000125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</xdr:row>
      <xdr:rowOff>428625</xdr:rowOff>
    </xdr:from>
    <xdr:ext cx="2381250" cy="1019175"/>
    <xdr:pic>
      <xdr:nvPicPr>
        <xdr:cNvPr id="4" descr="" name="PicC_440_1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819150</xdr:colOff>
      <xdr:row>29</xdr:row>
      <xdr:rowOff>19050</xdr:rowOff>
    </xdr:from>
    <xdr:ext cx="847725" cy="1276350"/>
    <xdr:pic>
      <xdr:nvPicPr>
        <xdr:cNvPr id="5" descr="" name="PicC_733_2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38</xdr:row>
      <xdr:rowOff>76200</xdr:rowOff>
    </xdr:from>
    <xdr:ext cx="2381250" cy="876300"/>
    <xdr:pic>
      <xdr:nvPicPr>
        <xdr:cNvPr id="6" descr="" name="PicC_548_3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46</xdr:row>
      <xdr:rowOff>19050</xdr:rowOff>
    </xdr:from>
    <xdr:ext cx="1381125" cy="1552575"/>
    <xdr:pic>
      <xdr:nvPicPr>
        <xdr:cNvPr id="7" descr="" name="PicC_734_4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56</xdr:row>
      <xdr:rowOff>57150</xdr:rowOff>
    </xdr:from>
    <xdr:ext cx="2381250" cy="1466850"/>
    <xdr:pic>
      <xdr:nvPicPr>
        <xdr:cNvPr id="8" descr="" name="PicC_735_5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66</xdr:row>
      <xdr:rowOff>400050</xdr:rowOff>
    </xdr:from>
    <xdr:ext cx="2381250" cy="1066800"/>
    <xdr:pic>
      <xdr:nvPicPr>
        <xdr:cNvPr id="9" descr="" name="PicC_550_66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10</xdr:row>
      <xdr:rowOff>19050</xdr:rowOff>
    </xdr:from>
    <xdr:ext cx="1162050" cy="904875"/>
    <xdr:pic>
      <xdr:nvPicPr>
        <xdr:cNvPr id="6" descr="" name="PicC_73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1</xdr:row>
      <xdr:rowOff>19050</xdr:rowOff>
    </xdr:from>
    <xdr:ext cx="1600200" cy="904875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4</xdr:row>
      <xdr:rowOff>19050</xdr:rowOff>
    </xdr:from>
    <xdr:ext cx="1428750" cy="904875"/>
    <xdr:pic>
      <xdr:nvPicPr>
        <xdr:cNvPr id="4" descr="" name="PicC_731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990600</xdr:rowOff>
    </xdr:from>
    <xdr:ext cx="2381250" cy="1247775"/>
    <xdr:pic>
      <xdr:nvPicPr>
        <xdr:cNvPr id="5" descr="" name="PicC_732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7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52.7</v>
      </c>
      <c r="G2" s="16">
        <v>35.21</v>
      </c>
      <c r="H2" s="16">
        <f>F2*0.85</f>
        <v>44.795</v>
      </c>
      <c r="I2" s="17">
        <f>G2*0.85</f>
        <v>29.9285</v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52.7</v>
      </c>
      <c r="G3" s="16">
        <v>35.21</v>
      </c>
      <c r="H3" s="16">
        <f>F3*0.85</f>
        <v>44.795</v>
      </c>
      <c r="I3" s="17">
        <f>G3*0.85</f>
        <v>29.9285</v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52.7</v>
      </c>
      <c r="G4" s="16">
        <v>35.21</v>
      </c>
      <c r="H4" s="16">
        <f>F4*0.85</f>
        <v>44.795</v>
      </c>
      <c r="I4" s="17">
        <f>G4*0.85</f>
        <v>29.9285</v>
      </c>
      <c r="J4" s="2"/>
    </row>
    <row r="5" ht="22" customHeight="1">
      <c r="A5" s="10"/>
      <c r="B5" s="4" t="s">
        <v>8</v>
      </c>
      <c r="C5" s="27">
        <v>1.65</v>
      </c>
      <c r="D5" s="27">
        <v>1.08</v>
      </c>
      <c r="E5" s="27">
        <v>0.86</v>
      </c>
      <c r="F5" s="16">
        <v>602.74</v>
      </c>
      <c r="G5" s="16">
        <v>515.4</v>
      </c>
      <c r="H5" s="16">
        <f>F5*0.85</f>
        <v>512.329</v>
      </c>
      <c r="I5" s="17">
        <f>G5*0.85</f>
        <v>438.09</v>
      </c>
      <c r="J5" s="2"/>
    </row>
    <row r="6" ht="22" customHeight="1">
      <c r="A6" s="10"/>
      <c r="B6" s="4" t="s">
        <v>9</v>
      </c>
      <c r="C6" s="27">
        <v>2.4</v>
      </c>
      <c r="D6" s="27">
        <v>1.08</v>
      </c>
      <c r="E6" s="27">
        <v>0.86</v>
      </c>
      <c r="F6" s="16">
        <v>959.79</v>
      </c>
      <c r="G6" s="16">
        <v>806.18</v>
      </c>
      <c r="H6" s="16">
        <f>F6*0.85</f>
        <v>815.8214999999999</v>
      </c>
      <c r="I6" s="17">
        <f>G6*0.85</f>
        <v>685.2529999999999</v>
      </c>
      <c r="J6" s="2"/>
    </row>
    <row r="7" ht="22" customHeight="1">
      <c r="A7" s="10"/>
      <c r="B7" s="4" t="s">
        <v>10</v>
      </c>
      <c r="C7" s="27">
        <v>1.65</v>
      </c>
      <c r="D7" s="27">
        <v>0.8</v>
      </c>
      <c r="E7" s="27">
        <v>0.45</v>
      </c>
      <c r="F7" s="16">
        <v>385.55</v>
      </c>
      <c r="G7" s="16">
        <v>354.22</v>
      </c>
      <c r="H7" s="16">
        <f>F7*0.85</f>
        <v>327.7175</v>
      </c>
      <c r="I7" s="17">
        <f>G7*0.85</f>
        <v>301.087</v>
      </c>
      <c r="J7" s="2"/>
    </row>
    <row r="8" ht="22" customHeight="1">
      <c r="A8" s="10"/>
      <c r="B8" s="4" t="s">
        <v>11</v>
      </c>
      <c r="C8" s="27">
        <v>1.1</v>
      </c>
      <c r="D8" s="27">
        <v>0.8</v>
      </c>
      <c r="E8" s="27">
        <v>0.45</v>
      </c>
      <c r="F8" s="16">
        <v>328.56</v>
      </c>
      <c r="G8" s="16">
        <v>289.21</v>
      </c>
      <c r="H8" s="16">
        <f>F8*0.85</f>
        <v>279.276</v>
      </c>
      <c r="I8" s="17">
        <f>G8*0.85</f>
        <v>245.82849999999996</v>
      </c>
      <c r="J8" s="2"/>
    </row>
    <row r="9" ht="22" customHeight="1">
      <c r="A9" s="10"/>
      <c r="B9" s="5" t="s">
        <v>11</v>
      </c>
      <c r="C9" s="28">
        <v>1.1</v>
      </c>
      <c r="D9" s="28">
        <v>0.8</v>
      </c>
      <c r="E9" s="28">
        <v>0.45</v>
      </c>
      <c r="F9" s="18">
        <v>328.56</v>
      </c>
      <c r="G9" s="18">
        <v>289.21</v>
      </c>
      <c r="H9" s="18">
        <f>F9*0.85</f>
        <v>279.276</v>
      </c>
      <c r="I9" s="19">
        <f>G9*0.85</f>
        <v>245.82849999999996</v>
      </c>
      <c r="J9" s="2"/>
    </row>
    <row r="10">
      <c r="A10" s="10"/>
      <c r="B10" s="2"/>
      <c r="C10" s="29"/>
      <c r="D10" s="29"/>
      <c r="E10" s="29"/>
      <c r="F10" s="20"/>
      <c r="G10" s="20"/>
      <c r="H10" s="20"/>
      <c r="I10" s="20"/>
    </row>
    <row r="11">
      <c r="A11" s="10"/>
      <c r="B11" s="6" t="s">
        <v>12</v>
      </c>
      <c r="C11" s="30" t="s">
        <v>13</v>
      </c>
      <c r="D11" s="29"/>
      <c r="E11" s="31"/>
      <c r="F11" s="21"/>
      <c r="G11" s="21"/>
      <c r="H11" s="21"/>
      <c r="I11" s="21"/>
    </row>
    <row r="12">
      <c r="A12" s="10"/>
      <c r="B12" s="7"/>
      <c r="C12" s="32"/>
      <c r="D12" s="29"/>
      <c r="E12" s="31"/>
      <c r="F12" s="20"/>
      <c r="G12" s="20"/>
      <c r="H12" s="20"/>
      <c r="I12" s="20"/>
    </row>
    <row r="13">
      <c r="A13" s="10"/>
      <c r="B13" s="6" t="s">
        <v>14</v>
      </c>
      <c r="C13" s="33" t="s">
        <v>15</v>
      </c>
      <c r="D13" s="29"/>
      <c r="E13" s="29"/>
      <c r="F13" s="22">
        <f>SUM(F2:F9)</f>
        <v>2763.3</v>
      </c>
      <c r="G13" s="22">
        <f>SUM(G2:G9)</f>
        <v>2359.85</v>
      </c>
      <c r="H13" s="22">
        <f>SUM(H2:H9)</f>
        <v>2348.805</v>
      </c>
      <c r="I13" s="23">
        <f>SUM(I2:I9)</f>
        <v>2005.8724999999997</v>
      </c>
      <c r="J13" s="2"/>
    </row>
    <row r="14">
      <c r="A14" s="9"/>
      <c r="B14" s="8"/>
      <c r="C14" s="34"/>
      <c r="D14" s="29"/>
      <c r="E14" s="29"/>
      <c r="F14" s="24"/>
      <c r="G14" s="24"/>
      <c r="H14" s="24"/>
      <c r="I14" s="25"/>
      <c r="J14" s="2"/>
    </row>
    <row r="15">
      <c r="A15" s="12" t="s">
        <v>16</v>
      </c>
      <c r="B15" s="2"/>
      <c r="C15" s="29"/>
      <c r="D15" s="31"/>
      <c r="E15" s="31"/>
      <c r="F15" s="20"/>
      <c r="G15" s="20"/>
      <c r="H15" s="20"/>
      <c r="I15" s="20"/>
    </row>
    <row r="16">
      <c r="A16" s="13" t="s">
        <v>17</v>
      </c>
      <c r="C16" s="31"/>
      <c r="D16" s="31"/>
      <c r="E16" s="31"/>
      <c r="F16" s="21"/>
      <c r="G16" s="21"/>
      <c r="H16" s="21"/>
      <c r="I16" s="21"/>
    </row>
    <row r="17">
      <c r="A17" s="2"/>
      <c r="B17" s="2"/>
      <c r="C17" s="29"/>
      <c r="D17" s="29"/>
      <c r="E17" s="29"/>
      <c r="F17" s="20"/>
      <c r="G17" s="20"/>
      <c r="H17" s="20"/>
      <c r="I17" s="20"/>
    </row>
    <row r="18" ht="25" customHeight="1">
      <c r="A18" s="11" t="s">
        <v>18</v>
      </c>
      <c r="B18" s="3" t="s">
        <v>1</v>
      </c>
      <c r="C18" s="26" t="s">
        <v>2</v>
      </c>
      <c r="D18" s="26" t="s">
        <v>3</v>
      </c>
      <c r="E18" s="26" t="s">
        <v>4</v>
      </c>
      <c r="F18" s="14" t="s">
        <v>5</v>
      </c>
      <c r="G18" s="14" t="s">
        <v>6</v>
      </c>
      <c r="H18" s="14" t="s">
        <v>5</v>
      </c>
      <c r="I18" s="15" t="s">
        <v>6</v>
      </c>
      <c r="J18" s="2"/>
    </row>
    <row r="19" ht="22" customHeight="1">
      <c r="A19" s="10"/>
      <c r="B19" s="4" t="s">
        <v>19</v>
      </c>
      <c r="C19" s="27">
        <v>0.3</v>
      </c>
      <c r="D19" s="27">
        <v>0.6</v>
      </c>
      <c r="E19" s="27">
        <v>0.3</v>
      </c>
      <c r="F19" s="16">
        <v>215.48</v>
      </c>
      <c r="G19" s="16">
        <v>159.52</v>
      </c>
      <c r="H19" s="16">
        <f>F19*0.85</f>
        <v>183.158</v>
      </c>
      <c r="I19" s="17">
        <f>G19*0.85</f>
        <v>135.592</v>
      </c>
      <c r="J19" s="2"/>
    </row>
    <row r="20" ht="22" customHeight="1">
      <c r="A20" s="10"/>
      <c r="B20" s="4" t="s">
        <v>20</v>
      </c>
      <c r="C20" s="27">
        <v>1.15</v>
      </c>
      <c r="D20" s="27">
        <v>1.75</v>
      </c>
      <c r="E20" s="27">
        <v>0.78</v>
      </c>
      <c r="F20" s="16">
        <v>1040.43</v>
      </c>
      <c r="G20" s="16">
        <v>897.84</v>
      </c>
      <c r="H20" s="16">
        <f>F20*0.85</f>
        <v>884.3655</v>
      </c>
      <c r="I20" s="17">
        <f>G20*0.85</f>
        <v>763.164</v>
      </c>
      <c r="J20" s="2"/>
    </row>
    <row r="21" ht="22" customHeight="1">
      <c r="A21" s="10"/>
      <c r="B21" s="4" t="s">
        <v>21</v>
      </c>
      <c r="C21" s="27">
        <v>1.15</v>
      </c>
      <c r="D21" s="27">
        <v>0.94</v>
      </c>
      <c r="E21" s="27">
        <v>0.78</v>
      </c>
      <c r="F21" s="16">
        <v>853.11</v>
      </c>
      <c r="G21" s="16">
        <v>766.47</v>
      </c>
      <c r="H21" s="16">
        <f>F21*0.85</f>
        <v>725.1435</v>
      </c>
      <c r="I21" s="17">
        <f>G21*0.85</f>
        <v>651.4995</v>
      </c>
      <c r="J21" s="2"/>
    </row>
    <row r="22" ht="22" customHeight="1">
      <c r="A22" s="10"/>
      <c r="B22" s="5" t="s">
        <v>22</v>
      </c>
      <c r="C22" s="28">
        <v>2.65</v>
      </c>
      <c r="D22" s="28">
        <v>0.94</v>
      </c>
      <c r="E22" s="28">
        <v>0.78</v>
      </c>
      <c r="F22" s="18">
        <v>1389.48</v>
      </c>
      <c r="G22" s="18">
        <v>1227.03</v>
      </c>
      <c r="H22" s="18">
        <f>F22*0.85</f>
        <v>1181.058</v>
      </c>
      <c r="I22" s="19">
        <f>G22*0.85</f>
        <v>1042.9755</v>
      </c>
      <c r="J22" s="2"/>
    </row>
    <row r="23">
      <c r="A23" s="10"/>
      <c r="B23" s="2"/>
      <c r="C23" s="29"/>
      <c r="D23" s="29"/>
      <c r="E23" s="29"/>
      <c r="F23" s="20"/>
      <c r="G23" s="20"/>
      <c r="H23" s="20"/>
      <c r="I23" s="20"/>
    </row>
    <row r="24">
      <c r="A24" s="10"/>
      <c r="B24" s="6" t="s">
        <v>23</v>
      </c>
      <c r="C24" s="30" t="s">
        <v>24</v>
      </c>
      <c r="D24" s="29"/>
      <c r="E24" s="31"/>
      <c r="F24" s="21"/>
      <c r="G24" s="21"/>
      <c r="H24" s="21"/>
      <c r="I24" s="21"/>
    </row>
    <row r="25">
      <c r="A25" s="10"/>
      <c r="B25" s="7"/>
      <c r="C25" s="32"/>
      <c r="D25" s="29"/>
      <c r="E25" s="31"/>
      <c r="F25" s="20"/>
      <c r="G25" s="20"/>
      <c r="H25" s="20"/>
      <c r="I25" s="20"/>
    </row>
    <row r="26">
      <c r="A26" s="10"/>
      <c r="B26" s="6" t="s">
        <v>25</v>
      </c>
      <c r="C26" s="33" t="s">
        <v>15</v>
      </c>
      <c r="D26" s="29"/>
      <c r="E26" s="29"/>
      <c r="F26" s="22">
        <f>SUM(F19:F22)</f>
        <v>3498.5</v>
      </c>
      <c r="G26" s="22">
        <f>SUM(G19:G22)</f>
        <v>3050.86</v>
      </c>
      <c r="H26" s="22">
        <f>SUM(H19:H22)</f>
        <v>2973.725</v>
      </c>
      <c r="I26" s="23">
        <f>SUM(I19:I22)</f>
        <v>2593.231</v>
      </c>
      <c r="J26" s="2"/>
    </row>
    <row r="27">
      <c r="A27" s="9"/>
      <c r="B27" s="8"/>
      <c r="C27" s="34"/>
      <c r="D27" s="29"/>
      <c r="E27" s="29"/>
      <c r="F27" s="24"/>
      <c r="G27" s="24"/>
      <c r="H27" s="24"/>
      <c r="I27" s="25"/>
      <c r="J27" s="2"/>
    </row>
    <row r="28">
      <c r="A28" s="2"/>
      <c r="B28" s="2"/>
      <c r="C28" s="29"/>
      <c r="D28" s="29"/>
      <c r="E28" s="29"/>
      <c r="F28" s="20"/>
      <c r="G28" s="20"/>
      <c r="H28" s="20"/>
      <c r="I28" s="20"/>
    </row>
    <row r="29" ht="25" customHeight="1">
      <c r="A29" s="11" t="s">
        <v>26</v>
      </c>
      <c r="B29" s="3" t="s">
        <v>1</v>
      </c>
      <c r="C29" s="26" t="s">
        <v>2</v>
      </c>
      <c r="D29" s="26" t="s">
        <v>3</v>
      </c>
      <c r="E29" s="26" t="s">
        <v>4</v>
      </c>
      <c r="F29" s="14" t="s">
        <v>27</v>
      </c>
      <c r="G29" s="14" t="s">
        <v>6</v>
      </c>
      <c r="H29" s="14" t="s">
        <v>27</v>
      </c>
      <c r="I29" s="15" t="s">
        <v>6</v>
      </c>
      <c r="J29" s="2"/>
    </row>
    <row r="30" ht="22" customHeight="1">
      <c r="A30" s="10"/>
      <c r="B30" s="4" t="s">
        <v>28</v>
      </c>
      <c r="C30" s="27">
        <v>2.86</v>
      </c>
      <c r="D30" s="27">
        <v>0.98</v>
      </c>
      <c r="E30" s="27">
        <v>0.87</v>
      </c>
      <c r="F30" s="16">
        <v>1718.32</v>
      </c>
      <c r="G30" s="16">
        <v>1677.55</v>
      </c>
      <c r="H30" s="16">
        <f>F30*0.85</f>
        <v>1460.572</v>
      </c>
      <c r="I30" s="17">
        <f>G30*0.85</f>
        <v>1425.9175</v>
      </c>
      <c r="J30" s="2"/>
    </row>
    <row r="31" ht="22" customHeight="1">
      <c r="A31" s="10"/>
      <c r="B31" s="5" t="s">
        <v>28</v>
      </c>
      <c r="C31" s="28">
        <v>2.86</v>
      </c>
      <c r="D31" s="28">
        <v>0.98</v>
      </c>
      <c r="E31" s="28">
        <v>0.87</v>
      </c>
      <c r="F31" s="18">
        <v>1718.32</v>
      </c>
      <c r="G31" s="18">
        <v>1677.55</v>
      </c>
      <c r="H31" s="18">
        <f>F31*0.85</f>
        <v>1460.572</v>
      </c>
      <c r="I31" s="19">
        <f>G31*0.85</f>
        <v>1425.9175</v>
      </c>
      <c r="J31" s="2"/>
    </row>
    <row r="32">
      <c r="A32" s="10"/>
      <c r="B32" s="2"/>
      <c r="C32" s="29"/>
      <c r="D32" s="29"/>
      <c r="E32" s="29"/>
      <c r="F32" s="20"/>
      <c r="G32" s="20"/>
      <c r="H32" s="20"/>
      <c r="I32" s="20"/>
    </row>
    <row r="33">
      <c r="A33" s="10"/>
      <c r="B33" s="6" t="s">
        <v>29</v>
      </c>
      <c r="C33" s="30" t="s">
        <v>30</v>
      </c>
      <c r="D33" s="29"/>
      <c r="E33" s="31"/>
      <c r="F33" s="21"/>
      <c r="G33" s="21"/>
      <c r="H33" s="21"/>
      <c r="I33" s="21"/>
    </row>
    <row r="34">
      <c r="A34" s="10"/>
      <c r="B34" s="7"/>
      <c r="C34" s="32"/>
      <c r="D34" s="29"/>
      <c r="E34" s="31"/>
      <c r="F34" s="20"/>
      <c r="G34" s="20"/>
      <c r="H34" s="20"/>
      <c r="I34" s="20"/>
    </row>
    <row r="35">
      <c r="A35" s="10"/>
      <c r="B35" s="6" t="s">
        <v>31</v>
      </c>
      <c r="C35" s="33" t="s">
        <v>15</v>
      </c>
      <c r="D35" s="29"/>
      <c r="E35" s="29"/>
      <c r="F35" s="22">
        <f>SUM(F30:F31)</f>
        <v>3436.64</v>
      </c>
      <c r="G35" s="22">
        <f>SUM(G30:G31)</f>
        <v>3355.1</v>
      </c>
      <c r="H35" s="22">
        <f>SUM(H30:H31)</f>
        <v>2921.144</v>
      </c>
      <c r="I35" s="23">
        <f>SUM(I30:I31)</f>
        <v>2851.835</v>
      </c>
      <c r="J35" s="2"/>
    </row>
    <row r="36">
      <c r="A36" s="9"/>
      <c r="B36" s="8"/>
      <c r="C36" s="34"/>
      <c r="D36" s="29"/>
      <c r="E36" s="29"/>
      <c r="F36" s="24"/>
      <c r="G36" s="24"/>
      <c r="H36" s="24"/>
      <c r="I36" s="25"/>
      <c r="J36" s="2"/>
    </row>
    <row r="37">
      <c r="A37" s="2"/>
      <c r="B37" s="2"/>
      <c r="C37" s="29"/>
      <c r="D37" s="29"/>
      <c r="E37" s="29"/>
      <c r="F37" s="20"/>
      <c r="G37" s="20"/>
      <c r="H37" s="20"/>
      <c r="I37" s="20"/>
    </row>
    <row r="38" ht="25" customHeight="1">
      <c r="A38" s="11" t="s">
        <v>32</v>
      </c>
      <c r="B38" s="3" t="s">
        <v>1</v>
      </c>
      <c r="C38" s="26" t="s">
        <v>2</v>
      </c>
      <c r="D38" s="26" t="s">
        <v>3</v>
      </c>
      <c r="E38" s="26" t="s">
        <v>4</v>
      </c>
      <c r="F38" s="14" t="s">
        <v>27</v>
      </c>
      <c r="G38" s="14" t="s">
        <v>6</v>
      </c>
      <c r="H38" s="14" t="s">
        <v>27</v>
      </c>
      <c r="I38" s="15" t="s">
        <v>6</v>
      </c>
      <c r="J38" s="2"/>
    </row>
    <row r="39" ht="22" customHeight="1">
      <c r="A39" s="10"/>
      <c r="B39" s="5" t="s">
        <v>33</v>
      </c>
      <c r="C39" s="28">
        <v>2.9</v>
      </c>
      <c r="D39" s="28">
        <v>1.05</v>
      </c>
      <c r="E39" s="28">
        <v>1</v>
      </c>
      <c r="F39" s="18">
        <v>1453.62</v>
      </c>
      <c r="G39" s="18">
        <v>1426.64</v>
      </c>
      <c r="H39" s="18">
        <f>F39*0.85</f>
        <v>1235.5769999999998</v>
      </c>
      <c r="I39" s="19">
        <f>G39*0.85</f>
        <v>1212.644</v>
      </c>
      <c r="J39" s="2"/>
    </row>
    <row r="40">
      <c r="A40" s="10"/>
      <c r="B40" s="2"/>
      <c r="C40" s="29"/>
      <c r="D40" s="29"/>
      <c r="E40" s="29"/>
      <c r="F40" s="20"/>
      <c r="G40" s="20"/>
      <c r="H40" s="20"/>
      <c r="I40" s="20"/>
    </row>
    <row r="41">
      <c r="A41" s="10"/>
      <c r="B41" s="6" t="s">
        <v>34</v>
      </c>
      <c r="C41" s="30" t="s">
        <v>35</v>
      </c>
      <c r="D41" s="29"/>
      <c r="E41" s="31"/>
      <c r="F41" s="21"/>
      <c r="G41" s="21"/>
      <c r="H41" s="21"/>
      <c r="I41" s="21"/>
    </row>
    <row r="42">
      <c r="A42" s="10"/>
      <c r="B42" s="7"/>
      <c r="C42" s="32"/>
      <c r="D42" s="29"/>
      <c r="E42" s="31"/>
      <c r="F42" s="20"/>
      <c r="G42" s="20"/>
      <c r="H42" s="20"/>
      <c r="I42" s="20"/>
    </row>
    <row r="43">
      <c r="A43" s="10"/>
      <c r="B43" s="6" t="s">
        <v>25</v>
      </c>
      <c r="C43" s="33" t="s">
        <v>15</v>
      </c>
      <c r="D43" s="29"/>
      <c r="E43" s="29"/>
      <c r="F43" s="22">
        <f>SUM(F39:F39)</f>
        <v>1453.62</v>
      </c>
      <c r="G43" s="22">
        <f>SUM(G39:G39)</f>
        <v>1426.64</v>
      </c>
      <c r="H43" s="22">
        <f>SUM(H39:H39)</f>
        <v>1235.5769999999998</v>
      </c>
      <c r="I43" s="23">
        <f>SUM(I39:I39)</f>
        <v>1212.644</v>
      </c>
      <c r="J43" s="2"/>
    </row>
    <row r="44">
      <c r="A44" s="9"/>
      <c r="B44" s="8"/>
      <c r="C44" s="34"/>
      <c r="D44" s="29"/>
      <c r="E44" s="29"/>
      <c r="F44" s="24"/>
      <c r="G44" s="24"/>
      <c r="H44" s="24"/>
      <c r="I44" s="25"/>
      <c r="J44" s="2"/>
    </row>
    <row r="45">
      <c r="A45" s="2"/>
      <c r="B45" s="2"/>
      <c r="C45" s="29"/>
      <c r="D45" s="29"/>
      <c r="E45" s="29"/>
      <c r="F45" s="20"/>
      <c r="G45" s="20"/>
      <c r="H45" s="20"/>
      <c r="I45" s="20"/>
    </row>
    <row r="46" ht="25" customHeight="1">
      <c r="A46" s="11" t="s">
        <v>36</v>
      </c>
      <c r="B46" s="3" t="s">
        <v>1</v>
      </c>
      <c r="C46" s="26" t="s">
        <v>2</v>
      </c>
      <c r="D46" s="26" t="s">
        <v>3</v>
      </c>
      <c r="E46" s="26" t="s">
        <v>4</v>
      </c>
      <c r="F46" s="14" t="s">
        <v>27</v>
      </c>
      <c r="G46" s="14" t="s">
        <v>6</v>
      </c>
      <c r="H46" s="14" t="s">
        <v>27</v>
      </c>
      <c r="I46" s="15" t="s">
        <v>6</v>
      </c>
      <c r="J46" s="2"/>
    </row>
    <row r="47" ht="22" customHeight="1">
      <c r="A47" s="10"/>
      <c r="B47" s="4" t="s">
        <v>37</v>
      </c>
      <c r="C47" s="27">
        <v>1.6</v>
      </c>
      <c r="D47" s="27">
        <v>1.02</v>
      </c>
      <c r="E47" s="27">
        <v>0.8</v>
      </c>
      <c r="F47" s="16">
        <v>1221.54</v>
      </c>
      <c r="G47" s="16">
        <v>1203.31</v>
      </c>
      <c r="H47" s="16">
        <f>F47*0.85</f>
        <v>1038.309</v>
      </c>
      <c r="I47" s="17">
        <f>G47*0.85</f>
        <v>1022.8135</v>
      </c>
      <c r="J47" s="2"/>
    </row>
    <row r="48" ht="22" customHeight="1">
      <c r="A48" s="10"/>
      <c r="B48" s="4" t="s">
        <v>37</v>
      </c>
      <c r="C48" s="27">
        <v>1.6</v>
      </c>
      <c r="D48" s="27">
        <v>1.02</v>
      </c>
      <c r="E48" s="27">
        <v>0.8</v>
      </c>
      <c r="F48" s="16">
        <v>1221.54</v>
      </c>
      <c r="G48" s="16">
        <v>1203.31</v>
      </c>
      <c r="H48" s="16">
        <f>F48*0.85</f>
        <v>1038.309</v>
      </c>
      <c r="I48" s="17">
        <f>G48*0.85</f>
        <v>1022.8135</v>
      </c>
      <c r="J48" s="2"/>
    </row>
    <row r="49" ht="22" customHeight="1">
      <c r="A49" s="10"/>
      <c r="B49" s="5" t="s">
        <v>38</v>
      </c>
      <c r="C49" s="28">
        <v>1.14</v>
      </c>
      <c r="D49" s="28">
        <v>1.02</v>
      </c>
      <c r="E49" s="28">
        <v>0.8</v>
      </c>
      <c r="F49" s="18">
        <v>1038.05</v>
      </c>
      <c r="G49" s="18">
        <v>1026.06</v>
      </c>
      <c r="H49" s="18">
        <f>F49*0.85</f>
        <v>882.3425</v>
      </c>
      <c r="I49" s="19">
        <f>G49*0.85</f>
        <v>872.151</v>
      </c>
      <c r="J49" s="2"/>
    </row>
    <row r="50">
      <c r="A50" s="10"/>
      <c r="B50" s="2"/>
      <c r="C50" s="29"/>
      <c r="D50" s="29"/>
      <c r="E50" s="29"/>
      <c r="F50" s="20"/>
      <c r="G50" s="20"/>
      <c r="H50" s="20"/>
      <c r="I50" s="20"/>
    </row>
    <row r="51">
      <c r="A51" s="10"/>
      <c r="B51" s="6" t="s">
        <v>39</v>
      </c>
      <c r="C51" s="30" t="s">
        <v>40</v>
      </c>
      <c r="D51" s="29"/>
      <c r="E51" s="31"/>
      <c r="F51" s="21"/>
      <c r="G51" s="21"/>
      <c r="H51" s="21"/>
      <c r="I51" s="21"/>
    </row>
    <row r="52">
      <c r="A52" s="10"/>
      <c r="B52" s="7"/>
      <c r="C52" s="32"/>
      <c r="D52" s="29"/>
      <c r="E52" s="31"/>
      <c r="F52" s="20"/>
      <c r="G52" s="20"/>
      <c r="H52" s="20"/>
      <c r="I52" s="20"/>
    </row>
    <row r="53">
      <c r="A53" s="10"/>
      <c r="B53" s="6" t="s">
        <v>25</v>
      </c>
      <c r="C53" s="33" t="s">
        <v>15</v>
      </c>
      <c r="D53" s="29"/>
      <c r="E53" s="29"/>
      <c r="F53" s="22">
        <f>SUM(F47:F49)</f>
        <v>3481.13</v>
      </c>
      <c r="G53" s="22">
        <f>SUM(G47:G49)</f>
        <v>3432.68</v>
      </c>
      <c r="H53" s="22">
        <f>SUM(H47:H49)</f>
        <v>2958.9605</v>
      </c>
      <c r="I53" s="23">
        <f>SUM(I47:I49)</f>
        <v>2917.778</v>
      </c>
      <c r="J53" s="2"/>
    </row>
    <row r="54">
      <c r="A54" s="9"/>
      <c r="B54" s="8"/>
      <c r="C54" s="34"/>
      <c r="D54" s="29"/>
      <c r="E54" s="29"/>
      <c r="F54" s="24"/>
      <c r="G54" s="24"/>
      <c r="H54" s="24"/>
      <c r="I54" s="25"/>
      <c r="J54" s="2"/>
    </row>
    <row r="55">
      <c r="A55" s="2"/>
      <c r="B55" s="2"/>
      <c r="C55" s="29"/>
      <c r="D55" s="29"/>
      <c r="E55" s="29"/>
      <c r="F55" s="20"/>
      <c r="G55" s="20"/>
      <c r="H55" s="20"/>
      <c r="I55" s="20"/>
    </row>
    <row r="56" ht="25" customHeight="1">
      <c r="A56" s="11" t="s">
        <v>41</v>
      </c>
      <c r="B56" s="3" t="s">
        <v>1</v>
      </c>
      <c r="C56" s="26" t="s">
        <v>2</v>
      </c>
      <c r="D56" s="26" t="s">
        <v>3</v>
      </c>
      <c r="E56" s="26" t="s">
        <v>4</v>
      </c>
      <c r="F56" s="14" t="s">
        <v>27</v>
      </c>
      <c r="G56" s="14" t="s">
        <v>6</v>
      </c>
      <c r="H56" s="14" t="s">
        <v>27</v>
      </c>
      <c r="I56" s="15" t="s">
        <v>6</v>
      </c>
      <c r="J56" s="2"/>
    </row>
    <row r="57" ht="22" customHeight="1">
      <c r="A57" s="10"/>
      <c r="B57" s="4" t="s">
        <v>42</v>
      </c>
      <c r="C57" s="27">
        <v>1.2</v>
      </c>
      <c r="D57" s="27">
        <v>0.95</v>
      </c>
      <c r="E57" s="27">
        <v>0.93</v>
      </c>
      <c r="F57" s="16">
        <v>701.59</v>
      </c>
      <c r="G57" s="16">
        <v>686.09</v>
      </c>
      <c r="H57" s="16">
        <f>F57*0.85</f>
        <v>596.3515</v>
      </c>
      <c r="I57" s="17">
        <f>G57*0.85</f>
        <v>583.1765</v>
      </c>
      <c r="J57" s="2"/>
    </row>
    <row r="58" ht="22" customHeight="1">
      <c r="A58" s="10"/>
      <c r="B58" s="4" t="s">
        <v>42</v>
      </c>
      <c r="C58" s="27">
        <v>1.2</v>
      </c>
      <c r="D58" s="27">
        <v>0.95</v>
      </c>
      <c r="E58" s="27">
        <v>0.93</v>
      </c>
      <c r="F58" s="16">
        <v>701.59</v>
      </c>
      <c r="G58" s="16">
        <v>686.09</v>
      </c>
      <c r="H58" s="16">
        <f>F58*0.85</f>
        <v>596.3515</v>
      </c>
      <c r="I58" s="17">
        <f>G58*0.85</f>
        <v>583.1765</v>
      </c>
      <c r="J58" s="2"/>
    </row>
    <row r="59" ht="22" customHeight="1">
      <c r="A59" s="10"/>
      <c r="B59" s="5" t="s">
        <v>43</v>
      </c>
      <c r="C59" s="28">
        <v>2.1</v>
      </c>
      <c r="D59" s="28">
        <v>1.14</v>
      </c>
      <c r="E59" s="28">
        <v>0.93</v>
      </c>
      <c r="F59" s="18">
        <v>1100.35</v>
      </c>
      <c r="G59" s="18">
        <v>1074.76</v>
      </c>
      <c r="H59" s="18">
        <f>F59*0.85</f>
        <v>935.2974999999999</v>
      </c>
      <c r="I59" s="19">
        <f>G59*0.85</f>
        <v>913.5459999999999</v>
      </c>
      <c r="J59" s="2"/>
    </row>
    <row r="60">
      <c r="A60" s="10"/>
      <c r="B60" s="2"/>
      <c r="C60" s="29"/>
      <c r="D60" s="29"/>
      <c r="E60" s="29"/>
      <c r="F60" s="20"/>
      <c r="G60" s="20"/>
      <c r="H60" s="20"/>
      <c r="I60" s="20"/>
    </row>
    <row r="61">
      <c r="A61" s="10"/>
      <c r="B61" s="6" t="s">
        <v>44</v>
      </c>
      <c r="C61" s="30" t="s">
        <v>45</v>
      </c>
      <c r="D61" s="29"/>
      <c r="E61" s="31"/>
      <c r="F61" s="21"/>
      <c r="G61" s="21"/>
      <c r="H61" s="21"/>
      <c r="I61" s="21"/>
    </row>
    <row r="62">
      <c r="A62" s="10"/>
      <c r="B62" s="7"/>
      <c r="C62" s="32"/>
      <c r="D62" s="29"/>
      <c r="E62" s="31"/>
      <c r="F62" s="20"/>
      <c r="G62" s="20"/>
      <c r="H62" s="20"/>
      <c r="I62" s="20"/>
    </row>
    <row r="63">
      <c r="A63" s="10"/>
      <c r="B63" s="6" t="s">
        <v>25</v>
      </c>
      <c r="C63" s="33" t="s">
        <v>15</v>
      </c>
      <c r="D63" s="29"/>
      <c r="E63" s="29"/>
      <c r="F63" s="22">
        <f>SUM(F57:F59)</f>
        <v>2503.5299999999997</v>
      </c>
      <c r="G63" s="22">
        <f>SUM(G57:G59)</f>
        <v>2446.94</v>
      </c>
      <c r="H63" s="22">
        <f>SUM(H57:H59)</f>
        <v>2128.0005</v>
      </c>
      <c r="I63" s="23">
        <f>SUM(I57:I59)</f>
        <v>2079.899</v>
      </c>
      <c r="J63" s="2"/>
    </row>
    <row r="64">
      <c r="A64" s="9"/>
      <c r="B64" s="8"/>
      <c r="C64" s="34"/>
      <c r="D64" s="29"/>
      <c r="E64" s="29"/>
      <c r="F64" s="24"/>
      <c r="G64" s="24"/>
      <c r="H64" s="24"/>
      <c r="I64" s="25"/>
      <c r="J64" s="2"/>
    </row>
    <row r="65">
      <c r="A65" s="2"/>
      <c r="B65" s="2"/>
      <c r="C65" s="29"/>
      <c r="D65" s="29"/>
      <c r="E65" s="29"/>
      <c r="F65" s="20"/>
      <c r="G65" s="20"/>
      <c r="H65" s="20"/>
      <c r="I65" s="20"/>
    </row>
    <row r="66" ht="25" customHeight="1">
      <c r="A66" s="11" t="s">
        <v>46</v>
      </c>
      <c r="B66" s="3" t="s">
        <v>1</v>
      </c>
      <c r="C66" s="26" t="s">
        <v>2</v>
      </c>
      <c r="D66" s="26" t="s">
        <v>3</v>
      </c>
      <c r="E66" s="26" t="s">
        <v>4</v>
      </c>
      <c r="F66" s="14" t="s">
        <v>5</v>
      </c>
      <c r="G66" s="14" t="s">
        <v>6</v>
      </c>
      <c r="H66" s="14" t="s">
        <v>5</v>
      </c>
      <c r="I66" s="15" t="s">
        <v>6</v>
      </c>
      <c r="J66" s="2"/>
    </row>
    <row r="67" ht="22" customHeight="1">
      <c r="A67" s="10"/>
      <c r="B67" s="4" t="s">
        <v>47</v>
      </c>
      <c r="C67" s="27">
        <v>1</v>
      </c>
      <c r="D67" s="27">
        <v>1</v>
      </c>
      <c r="E67" s="27">
        <v>0</v>
      </c>
      <c r="F67" s="16">
        <v>1100.38</v>
      </c>
      <c r="G67" s="16">
        <v>1100.38</v>
      </c>
      <c r="H67" s="16">
        <f>F67*0.85</f>
        <v>935.3230000000001</v>
      </c>
      <c r="I67" s="17">
        <f>G67*0.85</f>
        <v>935.3230000000001</v>
      </c>
      <c r="J67" s="2"/>
    </row>
    <row r="68" ht="22" customHeight="1">
      <c r="A68" s="10"/>
      <c r="B68" s="4" t="s">
        <v>48</v>
      </c>
      <c r="C68" s="27">
        <v>1.1</v>
      </c>
      <c r="D68" s="27">
        <v>1.04</v>
      </c>
      <c r="E68" s="27">
        <v>1</v>
      </c>
      <c r="F68" s="16">
        <v>689.74</v>
      </c>
      <c r="G68" s="16">
        <v>570.09</v>
      </c>
      <c r="H68" s="16">
        <f>F68*0.85</f>
        <v>586.279</v>
      </c>
      <c r="I68" s="17">
        <f>G68*0.85</f>
        <v>484.5765</v>
      </c>
      <c r="J68" s="2"/>
    </row>
    <row r="69" ht="22" customHeight="1">
      <c r="A69" s="10"/>
      <c r="B69" s="4" t="s">
        <v>48</v>
      </c>
      <c r="C69" s="27">
        <v>1.1</v>
      </c>
      <c r="D69" s="27">
        <v>1.04</v>
      </c>
      <c r="E69" s="27">
        <v>1</v>
      </c>
      <c r="F69" s="16">
        <v>689.74</v>
      </c>
      <c r="G69" s="16">
        <v>570.09</v>
      </c>
      <c r="H69" s="16">
        <f>F69*0.85</f>
        <v>586.279</v>
      </c>
      <c r="I69" s="17">
        <f>G69*0.85</f>
        <v>484.5765</v>
      </c>
      <c r="J69" s="2"/>
    </row>
    <row r="70" ht="22" customHeight="1">
      <c r="A70" s="10"/>
      <c r="B70" s="5" t="s">
        <v>48</v>
      </c>
      <c r="C70" s="28">
        <v>1.1</v>
      </c>
      <c r="D70" s="28">
        <v>1.04</v>
      </c>
      <c r="E70" s="28">
        <v>1</v>
      </c>
      <c r="F70" s="18">
        <v>689.74</v>
      </c>
      <c r="G70" s="18">
        <v>570.09</v>
      </c>
      <c r="H70" s="18">
        <f>F70*0.85</f>
        <v>586.279</v>
      </c>
      <c r="I70" s="19">
        <f>G70*0.85</f>
        <v>484.5765</v>
      </c>
      <c r="J70" s="2"/>
    </row>
    <row r="71">
      <c r="A71" s="10"/>
      <c r="B71" s="2"/>
      <c r="C71" s="29"/>
      <c r="D71" s="29"/>
      <c r="E71" s="29"/>
      <c r="F71" s="20"/>
      <c r="G71" s="20"/>
      <c r="H71" s="20"/>
      <c r="I71" s="20"/>
    </row>
    <row r="72">
      <c r="A72" s="10"/>
      <c r="B72" s="6" t="s">
        <v>49</v>
      </c>
      <c r="C72" s="30" t="s">
        <v>50</v>
      </c>
      <c r="D72" s="29"/>
      <c r="E72" s="31"/>
      <c r="F72" s="21"/>
      <c r="G72" s="21"/>
      <c r="H72" s="21"/>
      <c r="I72" s="21"/>
    </row>
    <row r="73">
      <c r="A73" s="10"/>
      <c r="B73" s="7"/>
      <c r="C73" s="32"/>
      <c r="D73" s="29"/>
      <c r="E73" s="31"/>
      <c r="F73" s="20"/>
      <c r="G73" s="20"/>
      <c r="H73" s="20"/>
      <c r="I73" s="20"/>
    </row>
    <row r="74">
      <c r="A74" s="10"/>
      <c r="B74" s="6" t="s">
        <v>25</v>
      </c>
      <c r="C74" s="33" t="s">
        <v>15</v>
      </c>
      <c r="D74" s="29"/>
      <c r="E74" s="29"/>
      <c r="F74" s="22">
        <f>SUM(F67:F70)</f>
        <v>3169.6000000000004</v>
      </c>
      <c r="G74" s="22">
        <f>SUM(G67:G70)</f>
        <v>2810.65</v>
      </c>
      <c r="H74" s="22">
        <f>SUM(H67:H70)</f>
        <v>2694.16</v>
      </c>
      <c r="I74" s="23">
        <f>SUM(I67:I70)</f>
        <v>2389.0525000000002</v>
      </c>
      <c r="J74" s="2"/>
    </row>
    <row r="75">
      <c r="A75" s="9"/>
      <c r="B75" s="8"/>
      <c r="C75" s="34"/>
      <c r="D75" s="29"/>
      <c r="E75" s="29"/>
      <c r="F75" s="24"/>
      <c r="G75" s="24"/>
      <c r="H75" s="24"/>
      <c r="I75" s="25"/>
      <c r="J75" s="2"/>
    </row>
    <row r="76">
      <c r="A76" s="12" t="s">
        <v>51</v>
      </c>
      <c r="B76" s="2"/>
      <c r="C76" s="29"/>
      <c r="D76" s="31"/>
      <c r="E76" s="31"/>
      <c r="F76" s="20"/>
      <c r="G76" s="20"/>
      <c r="H76" s="20"/>
      <c r="I76" s="20"/>
    </row>
    <row r="77">
      <c r="A77" s="13" t="s">
        <v>52</v>
      </c>
      <c r="C77" s="31"/>
      <c r="D77" s="31"/>
      <c r="E77" s="31"/>
      <c r="F77" s="21"/>
      <c r="G77" s="21"/>
      <c r="H77" s="21"/>
      <c r="I77" s="21"/>
    </row>
    <row r="78">
      <c r="C78" s="31"/>
      <c r="D78" s="31"/>
      <c r="E78" s="31"/>
      <c r="F78" s="21"/>
      <c r="G78" s="21"/>
      <c r="H78" s="21"/>
      <c r="I78" s="21"/>
    </row>
    <row r="79">
      <c r="C79" s="31"/>
      <c r="D79" s="31"/>
      <c r="E79" s="31"/>
      <c r="F79" s="21"/>
      <c r="G79" s="21"/>
      <c r="H79" s="21"/>
      <c r="I79" s="21"/>
    </row>
  </sheetData>
  <mergeCells>
    <mergeCell ref="B11:B12"/>
    <mergeCell ref="C11:E12"/>
    <mergeCell ref="B13:B14"/>
    <mergeCell ref="C13:E14"/>
    <mergeCell ref="F13:F14"/>
    <mergeCell ref="G13:G14"/>
    <mergeCell ref="H13:H14"/>
    <mergeCell ref="I13:I14"/>
    <mergeCell ref="A2:A14"/>
    <mergeCell ref="B24:B25"/>
    <mergeCell ref="C24:E25"/>
    <mergeCell ref="B26:B27"/>
    <mergeCell ref="C26:E27"/>
    <mergeCell ref="F26:F27"/>
    <mergeCell ref="G26:G27"/>
    <mergeCell ref="H26:H27"/>
    <mergeCell ref="I26:I27"/>
    <mergeCell ref="A19:A27"/>
    <mergeCell ref="B33:B34"/>
    <mergeCell ref="C33:E34"/>
    <mergeCell ref="B35:B36"/>
    <mergeCell ref="C35:E36"/>
    <mergeCell ref="F35:F36"/>
    <mergeCell ref="G35:G36"/>
    <mergeCell ref="H35:H36"/>
    <mergeCell ref="I35:I36"/>
    <mergeCell ref="A30:A36"/>
    <mergeCell ref="B41:B42"/>
    <mergeCell ref="C41:E42"/>
    <mergeCell ref="B43:B44"/>
    <mergeCell ref="C43:E44"/>
    <mergeCell ref="F43:F44"/>
    <mergeCell ref="G43:G44"/>
    <mergeCell ref="H43:H44"/>
    <mergeCell ref="I43:I44"/>
    <mergeCell ref="A39:A44"/>
    <mergeCell ref="B51:B52"/>
    <mergeCell ref="C51:E52"/>
    <mergeCell ref="B53:B54"/>
    <mergeCell ref="C53:E54"/>
    <mergeCell ref="F53:F54"/>
    <mergeCell ref="G53:G54"/>
    <mergeCell ref="H53:H54"/>
    <mergeCell ref="I53:I54"/>
    <mergeCell ref="A47:A54"/>
    <mergeCell ref="B61:B62"/>
    <mergeCell ref="C61:E62"/>
    <mergeCell ref="B63:B64"/>
    <mergeCell ref="C63:E64"/>
    <mergeCell ref="F63:F64"/>
    <mergeCell ref="G63:G64"/>
    <mergeCell ref="H63:H64"/>
    <mergeCell ref="I63:I64"/>
    <mergeCell ref="A57:A64"/>
    <mergeCell ref="B72:B73"/>
    <mergeCell ref="C72:E73"/>
    <mergeCell ref="B74:B75"/>
    <mergeCell ref="C74:E75"/>
    <mergeCell ref="F74:F75"/>
    <mergeCell ref="G74:G75"/>
    <mergeCell ref="H74:H75"/>
    <mergeCell ref="I74:I75"/>
    <mergeCell ref="A67:A75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3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53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38</v>
      </c>
      <c r="C2" s="28">
        <v>0.9</v>
      </c>
      <c r="D2" s="28">
        <v>0.93</v>
      </c>
      <c r="E2" s="28">
        <v>0.77</v>
      </c>
      <c r="F2" s="18">
        <v>487.31</v>
      </c>
      <c r="G2" s="18">
        <v>424.16</v>
      </c>
      <c r="H2" s="18">
        <f>F2*0.85</f>
        <v>414.2135</v>
      </c>
      <c r="I2" s="19">
        <f>G2*0.85</f>
        <v>360.536</v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54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38</v>
      </c>
      <c r="C5" s="28">
        <v>1.16</v>
      </c>
      <c r="D5" s="28">
        <v>1.05</v>
      </c>
      <c r="E5" s="28">
        <v>0.78</v>
      </c>
      <c r="F5" s="18">
        <v>784.21</v>
      </c>
      <c r="G5" s="18">
        <v>766.53</v>
      </c>
      <c r="H5" s="18">
        <f>F5*0.85</f>
        <v>666.5785</v>
      </c>
      <c r="I5" s="19">
        <f>G5*0.85</f>
        <v>651.5504999999999</v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55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27</v>
      </c>
      <c r="G7" s="14" t="s">
        <v>6</v>
      </c>
      <c r="H7" s="14" t="s">
        <v>27</v>
      </c>
      <c r="I7" s="15" t="s">
        <v>6</v>
      </c>
      <c r="J7" s="2"/>
    </row>
    <row r="8" ht="90" customHeight="1">
      <c r="A8" s="9"/>
      <c r="B8" s="5" t="s">
        <v>38</v>
      </c>
      <c r="C8" s="28">
        <v>0.94</v>
      </c>
      <c r="D8" s="28">
        <v>0.87</v>
      </c>
      <c r="E8" s="28">
        <v>0.81</v>
      </c>
      <c r="F8" s="18">
        <v>518.48</v>
      </c>
      <c r="G8" s="18">
        <v>506.49</v>
      </c>
      <c r="H8" s="18">
        <f>F8*0.85</f>
        <v>440.708</v>
      </c>
      <c r="I8" s="19">
        <f>G8*0.85</f>
        <v>430.5165</v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56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27</v>
      </c>
      <c r="G10" s="14" t="s">
        <v>6</v>
      </c>
      <c r="H10" s="14" t="s">
        <v>27</v>
      </c>
      <c r="I10" s="15" t="s">
        <v>6</v>
      </c>
      <c r="J10" s="2"/>
    </row>
    <row r="11" ht="90" customHeight="1">
      <c r="A11" s="9"/>
      <c r="B11" s="5" t="s">
        <v>38</v>
      </c>
      <c r="C11" s="28">
        <v>0.84</v>
      </c>
      <c r="D11" s="28">
        <v>0.93</v>
      </c>
      <c r="E11" s="28">
        <v>0.82</v>
      </c>
      <c r="F11" s="18">
        <v>701.17</v>
      </c>
      <c r="G11" s="18">
        <v>685.02</v>
      </c>
      <c r="H11" s="18">
        <f>F11*0.85</f>
        <v>595.9944999999999</v>
      </c>
      <c r="I11" s="19">
        <f>G11*0.85</f>
        <v>582.2669999999999</v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>
      <c r="C13" s="31"/>
      <c r="D13" s="31"/>
      <c r="E13" s="31"/>
      <c r="F13" s="21"/>
      <c r="G13" s="21"/>
      <c r="H13" s="21"/>
      <c r="I13" s="21"/>
    </row>
  </sheetData>
  <mergeCells>
    <mergeCell ref="A2"/>
    <mergeCell ref="A5"/>
    <mergeCell ref="A8"/>
    <mergeCell ref="A11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2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57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27</v>
      </c>
      <c r="G1" s="14" t="s">
        <v>6</v>
      </c>
      <c r="H1" s="14" t="s">
        <v>27</v>
      </c>
      <c r="I1" s="15" t="s">
        <v>6</v>
      </c>
      <c r="J1" s="2"/>
    </row>
    <row r="2" ht="90" customHeight="1">
      <c r="A2" s="9"/>
      <c r="B2" s="5" t="s">
        <v>58</v>
      </c>
      <c r="C2" s="28">
        <v>0.58</v>
      </c>
      <c r="D2" s="28">
        <v>0.5</v>
      </c>
      <c r="E2" s="28">
        <v>0.45</v>
      </c>
      <c r="F2" s="18">
        <v>133.55</v>
      </c>
      <c r="G2" s="18">
        <v>128.74</v>
      </c>
      <c r="H2" s="18">
        <f>F2*0.85</f>
        <v>113.51750000000001</v>
      </c>
      <c r="I2" s="19">
        <f>G2*0.85</f>
        <v>109.429</v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59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60</v>
      </c>
      <c r="C5" s="28">
        <v>1.8</v>
      </c>
      <c r="D5" s="28">
        <v>0.6</v>
      </c>
      <c r="E5" s="28">
        <v>0.46</v>
      </c>
      <c r="F5" s="18">
        <v>668.01</v>
      </c>
      <c r="G5" s="18">
        <v>658.62</v>
      </c>
      <c r="H5" s="18">
        <f>F5*0.85</f>
        <v>567.8085</v>
      </c>
      <c r="I5" s="19">
        <f>G5*0.85</f>
        <v>559.827</v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5</v>
      </c>
      <c r="G7" s="14" t="s">
        <v>6</v>
      </c>
      <c r="H7" s="14" t="s">
        <v>5</v>
      </c>
      <c r="I7" s="15" t="s">
        <v>6</v>
      </c>
      <c r="J7" s="2"/>
    </row>
    <row r="8" ht="90" customHeight="1">
      <c r="A8" s="10"/>
      <c r="B8" s="4" t="s">
        <v>62</v>
      </c>
      <c r="C8" s="27">
        <v>2.8</v>
      </c>
      <c r="D8" s="27">
        <v>2.18</v>
      </c>
      <c r="E8" s="27">
        <v>1.05</v>
      </c>
      <c r="F8" s="16">
        <v>1751.31</v>
      </c>
      <c r="G8" s="16">
        <v>1483.07</v>
      </c>
      <c r="H8" s="16">
        <f>F8*0.85</f>
        <v>1488.6135</v>
      </c>
      <c r="I8" s="17">
        <f>G8*0.85</f>
        <v>1260.6095</v>
      </c>
      <c r="J8" s="2"/>
    </row>
    <row r="9" ht="90" customHeight="1">
      <c r="A9" s="10"/>
      <c r="B9" s="4" t="s">
        <v>63</v>
      </c>
      <c r="C9" s="27">
        <v>1</v>
      </c>
      <c r="D9" s="27">
        <v>1</v>
      </c>
      <c r="E9" s="27">
        <v>0</v>
      </c>
      <c r="F9" s="16">
        <v>87.99</v>
      </c>
      <c r="G9" s="16">
        <v>87.99</v>
      </c>
      <c r="H9" s="16">
        <f>F9*0.85</f>
        <v>74.7915</v>
      </c>
      <c r="I9" s="17">
        <f>G9*0.85</f>
        <v>74.7915</v>
      </c>
      <c r="J9" s="2"/>
    </row>
    <row r="10" ht="90" customHeight="1">
      <c r="A10" s="9"/>
      <c r="B10" s="5" t="s">
        <v>63</v>
      </c>
      <c r="C10" s="28">
        <v>1</v>
      </c>
      <c r="D10" s="28">
        <v>1</v>
      </c>
      <c r="E10" s="28">
        <v>0</v>
      </c>
      <c r="F10" s="18">
        <v>87.99</v>
      </c>
      <c r="G10" s="18">
        <v>87.99</v>
      </c>
      <c r="H10" s="18">
        <f>F10*0.85</f>
        <v>74.7915</v>
      </c>
      <c r="I10" s="19">
        <f>G10*0.85</f>
        <v>74.7915</v>
      </c>
      <c r="J10" s="2"/>
    </row>
    <row r="11">
      <c r="A11" s="2"/>
      <c r="B11" s="2"/>
      <c r="C11" s="29"/>
      <c r="D11" s="29"/>
      <c r="E11" s="29"/>
      <c r="F11" s="20"/>
      <c r="G11" s="20"/>
      <c r="H11" s="20"/>
      <c r="I11" s="20"/>
    </row>
    <row r="12">
      <c r="C12" s="31"/>
      <c r="D12" s="31"/>
      <c r="E12" s="31"/>
      <c r="F12" s="21"/>
      <c r="G12" s="21"/>
      <c r="H12" s="21"/>
      <c r="I12" s="21"/>
    </row>
  </sheetData>
  <mergeCells>
    <mergeCell ref="A2"/>
    <mergeCell ref="A5"/>
    <mergeCell ref="A8:A1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