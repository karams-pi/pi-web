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MS\Desktop\FEIRAS\5 - ABIMAD 42\COLINHA ABIMAD 42\"/>
    </mc:Choice>
  </mc:AlternateContent>
  <xr:revisionPtr revIDLastSave="0" documentId="13_ncr:1_{4E9BBA40-5973-49A0-BCAB-B0D2FCBCEECC}" xr6:coauthVersionLast="45" xr6:coauthVersionMax="45" xr10:uidLastSave="{00000000-0000-0000-0000-000000000000}"/>
  <bookViews>
    <workbookView xWindow="-108" yWindow="-108" windowWidth="23256" windowHeight="12576" tabRatio="786" xr2:uid="{2FC73436-76C9-4593-BADC-6F0F331C81A9}"/>
  </bookViews>
  <sheets>
    <sheet name="Estofados KARAMS" sheetId="1" r:id="rId1"/>
    <sheet name="POLTRONA KARAMS" sheetId="14" r:id="rId2"/>
    <sheet name="COMPLEMENTOS" sheetId="1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0" i="13" l="1"/>
  <c r="J20" i="13"/>
  <c r="I20" i="13"/>
  <c r="J11" i="13"/>
  <c r="J18" i="13" s="1"/>
  <c r="I11" i="13"/>
  <c r="I18" i="13" s="1"/>
  <c r="J2" i="13"/>
  <c r="I2" i="13"/>
  <c r="I51" i="14"/>
  <c r="H51" i="14"/>
  <c r="I41" i="14"/>
  <c r="H41" i="14"/>
  <c r="I32" i="14"/>
  <c r="H32" i="14"/>
  <c r="I21" i="14"/>
  <c r="H21" i="14"/>
  <c r="I11" i="14"/>
  <c r="H11" i="14"/>
  <c r="I2" i="14"/>
  <c r="H2" i="14"/>
  <c r="I90" i="1"/>
  <c r="H90" i="1"/>
  <c r="H97" i="1" s="1"/>
  <c r="I89" i="1"/>
  <c r="I97" i="1" s="1"/>
  <c r="H89" i="1"/>
  <c r="I88" i="1"/>
  <c r="H88" i="1"/>
  <c r="I69" i="1"/>
  <c r="H69" i="1"/>
  <c r="I68" i="1"/>
  <c r="H68" i="1"/>
  <c r="I67" i="1"/>
  <c r="I78" i="1" s="1"/>
  <c r="H67" i="1"/>
  <c r="H78" i="1" s="1"/>
  <c r="I56" i="1"/>
  <c r="I64" i="1" s="1"/>
  <c r="H56" i="1"/>
  <c r="I55" i="1"/>
  <c r="H55" i="1"/>
  <c r="I43" i="1"/>
  <c r="I52" i="1" s="1"/>
  <c r="H43" i="1"/>
  <c r="H52" i="1" s="1"/>
  <c r="I30" i="1"/>
  <c r="H30" i="1"/>
  <c r="I29" i="1"/>
  <c r="I40" i="1" s="1"/>
  <c r="H29" i="1"/>
  <c r="H40" i="1" s="1"/>
  <c r="I20" i="1"/>
  <c r="H20" i="1"/>
  <c r="I19" i="1"/>
  <c r="H19" i="1"/>
  <c r="I18" i="1"/>
  <c r="H18" i="1"/>
  <c r="I17" i="1"/>
  <c r="I25" i="1" s="1"/>
  <c r="H17" i="1"/>
  <c r="H25" i="1" s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H64" i="1"/>
  <c r="I13" i="1" l="1"/>
  <c r="H13" i="1"/>
  <c r="G18" i="13"/>
  <c r="F18" i="13"/>
  <c r="G25" i="1"/>
  <c r="F25" i="1"/>
  <c r="G13" i="1"/>
  <c r="F13" i="1"/>
  <c r="G97" i="1" l="1"/>
  <c r="F97" i="1"/>
  <c r="G78" i="1"/>
  <c r="F78" i="1"/>
  <c r="G64" i="1" l="1"/>
  <c r="F64" i="1"/>
  <c r="F40" i="1" l="1"/>
  <c r="G52" i="1" l="1"/>
  <c r="F52" i="1"/>
  <c r="G40" i="1"/>
</calcChain>
</file>

<file path=xl/sharedStrings.xml><?xml version="1.0" encoding="utf-8"?>
<sst xmlns="http://schemas.openxmlformats.org/spreadsheetml/2006/main" count="377" uniqueCount="99">
  <si>
    <t>Descrição</t>
  </si>
  <si>
    <t>Larg</t>
  </si>
  <si>
    <t>Prof</t>
  </si>
  <si>
    <t>Altura</t>
  </si>
  <si>
    <t>G5</t>
  </si>
  <si>
    <t>G4</t>
  </si>
  <si>
    <t>G8</t>
  </si>
  <si>
    <t/>
  </si>
  <si>
    <t>PEÇA ASSINADA DESIGN:</t>
  </si>
  <si>
    <t>JOÃO V. DEMELE</t>
  </si>
  <si>
    <t>ESTUDIO KARAMS</t>
  </si>
  <si>
    <t>JOÃO DEMELE</t>
  </si>
  <si>
    <t>LUCIANO SANTELLI</t>
  </si>
  <si>
    <t>POLTRONA</t>
  </si>
  <si>
    <t>PUFF</t>
  </si>
  <si>
    <t>G1</t>
  </si>
  <si>
    <t xml:space="preserve">BANCO </t>
  </si>
  <si>
    <t>TOTAL CONJUNTO:</t>
  </si>
  <si>
    <t>POLTRONA GIRATORIA</t>
  </si>
  <si>
    <t>POLTRONA MUSH</t>
  </si>
  <si>
    <t>ESTUDIO GALHO</t>
  </si>
  <si>
    <t>A PARTIR DE: G0</t>
  </si>
  <si>
    <t>ESTOFADO LASSO</t>
  </si>
  <si>
    <t>ESTOFADO MÔA</t>
  </si>
  <si>
    <t>ESTOFADO ZENITH</t>
  </si>
  <si>
    <t>POLTRONA ALENTO</t>
  </si>
  <si>
    <t>BASE: CHAMPAGNE</t>
  </si>
  <si>
    <t>ACAB: CASTANHO</t>
  </si>
  <si>
    <t>KING SIZE</t>
  </si>
  <si>
    <t>G7</t>
  </si>
  <si>
    <t>OBS: DISPONÍVEL APENAS COM AUTOMAÇÃO</t>
  </si>
  <si>
    <t>OBS: PROFUNDIDADE ABERTA: 1,56M</t>
  </si>
  <si>
    <t>MECANISMO 3 ASSENTOS (NÃO HÁ DESCONTO NO MECANISMO)</t>
  </si>
  <si>
    <t>SK858</t>
  </si>
  <si>
    <t>ESTOFADO ÂNKUR</t>
  </si>
  <si>
    <t>ESTOFADO MIWA</t>
  </si>
  <si>
    <t>ESTOFADO TIBAGI</t>
  </si>
  <si>
    <t>ESTOFADO NINHO</t>
  </si>
  <si>
    <t>POLTRONA DENGO</t>
  </si>
  <si>
    <t>POLTRONA KENJI</t>
  </si>
  <si>
    <t>POLTRONA SEMENTE</t>
  </si>
  <si>
    <t>POLTRONA NINHO</t>
  </si>
  <si>
    <t>BANCO TORUS</t>
  </si>
  <si>
    <t>CAMA KAORI</t>
  </si>
  <si>
    <t>PUFF TOAD</t>
  </si>
  <si>
    <t>OBS: PÉ EM METAL PINTADO</t>
  </si>
  <si>
    <t>OBS: MESA REVESTIDA EM LÂMINA NATURAL</t>
  </si>
  <si>
    <t>TECIDO: SK 5129 / ACAB: NOGUEIRA</t>
  </si>
  <si>
    <t>PÉS: CAFÉ</t>
  </si>
  <si>
    <t>Módulo (2Ass:110 - 1Br:020)</t>
  </si>
  <si>
    <t>Módulo (1Ass:110 - 1Me:055)</t>
  </si>
  <si>
    <t xml:space="preserve">Puff </t>
  </si>
  <si>
    <t>Puff</t>
  </si>
  <si>
    <t>Puff (1Ass:110 - 1Me:055)</t>
  </si>
  <si>
    <t>TECIDO: SK1390 / BASE: MEL</t>
  </si>
  <si>
    <t>TECIDO: SK1397 /  ACAB:CARVALHO</t>
  </si>
  <si>
    <t>CAPA: SK3195</t>
  </si>
  <si>
    <t>MEDIDA TOTAL: 3,00</t>
  </si>
  <si>
    <t>TECIDO: SK4184 / ACAB: MEL</t>
  </si>
  <si>
    <t>MEDIDA TOTAL: 2,90</t>
  </si>
  <si>
    <t>Bipartido (2Ass:130 - 2Br:015)</t>
  </si>
  <si>
    <t>TECIDO: SK5111 / ACAB: IMBUIA</t>
  </si>
  <si>
    <t>MODULO (1ASS:100 - 1BR:012)</t>
  </si>
  <si>
    <t>MEDIDA TOTAL: 3,34</t>
  </si>
  <si>
    <t>SK852</t>
  </si>
  <si>
    <t>BASE: CAFÉ</t>
  </si>
  <si>
    <t>BASE: MEL</t>
  </si>
  <si>
    <t xml:space="preserve">POLTRONA </t>
  </si>
  <si>
    <t>SK4170</t>
  </si>
  <si>
    <t>SK1391</t>
  </si>
  <si>
    <t>SK738</t>
  </si>
  <si>
    <t>ACAB: IMBUIA</t>
  </si>
  <si>
    <t>ACAB: EBANO</t>
  </si>
  <si>
    <t>SK5139</t>
  </si>
  <si>
    <t>SK1378 / SK 5136</t>
  </si>
  <si>
    <t>Capa Inteira (1 Ass246 - 2Br:20) - 8 Almofadas</t>
  </si>
  <si>
    <t>Módulo (1Ass:137 - 1Br:023)</t>
  </si>
  <si>
    <t>Módulo (1Ass:095 - 1Br:025)</t>
  </si>
  <si>
    <t>Módulo Curvo</t>
  </si>
  <si>
    <t>G15</t>
  </si>
  <si>
    <t>JULIA TAINÁ</t>
  </si>
  <si>
    <t>Módulo (1Ass:115 - S/br)</t>
  </si>
  <si>
    <t>Módulo (1Ass:235 - 1Me:030)</t>
  </si>
  <si>
    <t xml:space="preserve">Chaise </t>
  </si>
  <si>
    <t>Braço Solto</t>
  </si>
  <si>
    <t>MEDIDA TOTAL: 480 X 175</t>
  </si>
  <si>
    <t>Tapeçado - Bipartido (1 Ass:246 - 2Br:20) - 8 almofadas</t>
  </si>
  <si>
    <t>MEDIDA TOTAL: 3,20</t>
  </si>
  <si>
    <t>MEDIDA TOTAL: 450</t>
  </si>
  <si>
    <t>MODULO (1ASS:100 - S/BR)</t>
  </si>
  <si>
    <t>SK4167</t>
  </si>
  <si>
    <t>TECIDO: SK5134 / ACAB: IMBUIA</t>
  </si>
  <si>
    <t>SK15014</t>
  </si>
  <si>
    <t>TECIDO: SK 6058</t>
  </si>
  <si>
    <t>G6</t>
  </si>
  <si>
    <t>Almofada de Encosto</t>
  </si>
  <si>
    <r>
      <t>MEDIDA TOTAL:</t>
    </r>
    <r>
      <rPr>
        <b/>
        <sz val="12"/>
        <color rgb="FF333333"/>
        <rFont val="Calibri"/>
        <family val="2"/>
        <scheme val="minor"/>
      </rPr>
      <t xml:space="preserve"> 405 x 188</t>
    </r>
  </si>
  <si>
    <t>MINI TOTEM</t>
  </si>
  <si>
    <t>TOTEM NÃO TEM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</si>
</sst>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63"/>
      <name val="Calibri"/>
      <family val="2"/>
      <scheme val="minor"/>
    </font>
    <font>
      <sz val="12"/>
      <color indexed="6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6"/>
      <color indexed="63"/>
      <name val="Calibri"/>
      <family val="2"/>
      <scheme val="minor"/>
    </font>
    <font>
      <sz val="14"/>
      <color indexed="6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>
      <alignment vertical="top"/>
    </xf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36">
    <xf numFmtId="0" fontId="0" fillId="0" borderId="0" xfId="0"/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1" fillId="6" borderId="3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 wrapText="1"/>
      <protection locked="0"/>
    </xf>
    <xf numFmtId="0" fontId="4" fillId="6" borderId="5" xfId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 wrapText="1"/>
      <protection locked="0"/>
    </xf>
    <xf numFmtId="2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 applyProtection="1">
      <alignment horizontal="center" vertical="center"/>
      <protection locked="0"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3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/>
    <xf numFmtId="0" fontId="13" fillId="3" borderId="2" xfId="0" applyFont="1" applyFill="1" applyBorder="1" applyAlignment="1" applyProtection="1">
      <alignment horizontal="center"/>
      <protection locked="0"/>
    </xf>
    <xf numFmtId="0" fontId="14" fillId="4" borderId="4" xfId="0" applyFont="1" applyFill="1" applyBorder="1" applyAlignment="1">
      <alignment horizontal="left"/>
    </xf>
    <xf numFmtId="2" fontId="14" fillId="4" borderId="1" xfId="0" applyNumberFormat="1" applyFont="1" applyFill="1" applyBorder="1" applyAlignment="1" applyProtection="1">
      <alignment horizontal="center"/>
      <protection locked="0" hidden="1"/>
    </xf>
    <xf numFmtId="2" fontId="14" fillId="5" borderId="1" xfId="0" applyNumberFormat="1" applyFont="1" applyFill="1" applyBorder="1" applyAlignment="1" applyProtection="1">
      <alignment horizontal="center"/>
      <protection hidden="1"/>
    </xf>
    <xf numFmtId="0" fontId="13" fillId="3" borderId="3" xfId="0" applyFont="1" applyFill="1" applyBorder="1" applyAlignment="1" applyProtection="1">
      <alignment horizontal="center"/>
      <protection locked="0"/>
    </xf>
    <xf numFmtId="0" fontId="14" fillId="4" borderId="11" xfId="0" applyFont="1" applyFill="1" applyBorder="1" applyAlignment="1">
      <alignment horizontal="left"/>
    </xf>
    <xf numFmtId="0" fontId="10" fillId="6" borderId="3" xfId="0" applyFont="1" applyFill="1" applyBorder="1" applyAlignment="1" applyProtection="1">
      <alignment horizontal="center"/>
      <protection locked="0"/>
    </xf>
    <xf numFmtId="2" fontId="13" fillId="4" borderId="1" xfId="0" applyNumberFormat="1" applyFont="1" applyFill="1" applyBorder="1" applyAlignment="1" applyProtection="1">
      <alignment horizontal="center"/>
      <protection locked="0" hidden="1"/>
    </xf>
    <xf numFmtId="0" fontId="15" fillId="3" borderId="3" xfId="0" applyFont="1" applyFill="1" applyBorder="1" applyAlignment="1" applyProtection="1">
      <alignment horizontal="center" vertical="center" wrapText="1"/>
      <protection locked="0"/>
    </xf>
    <xf numFmtId="0" fontId="14" fillId="4" borderId="5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19" fillId="2" borderId="6" xfId="0" applyFont="1" applyFill="1" applyBorder="1" applyAlignment="1">
      <alignment horizontal="left" vertical="center"/>
    </xf>
    <xf numFmtId="2" fontId="19" fillId="2" borderId="6" xfId="0" applyNumberFormat="1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>
      <alignment horizontal="left"/>
    </xf>
    <xf numFmtId="2" fontId="12" fillId="4" borderId="1" xfId="0" applyNumberFormat="1" applyFont="1" applyFill="1" applyBorder="1" applyAlignment="1" applyProtection="1">
      <alignment horizontal="center"/>
      <protection hidden="1"/>
    </xf>
    <xf numFmtId="0" fontId="15" fillId="4" borderId="1" xfId="0" applyFont="1" applyFill="1" applyBorder="1" applyAlignment="1">
      <alignment horizontal="left"/>
    </xf>
    <xf numFmtId="2" fontId="12" fillId="4" borderId="1" xfId="0" applyNumberFormat="1" applyFont="1" applyFill="1" applyBorder="1" applyAlignment="1" applyProtection="1">
      <alignment horizontal="center" wrapText="1"/>
      <protection hidden="1"/>
    </xf>
    <xf numFmtId="0" fontId="15" fillId="4" borderId="5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center"/>
    </xf>
    <xf numFmtId="0" fontId="17" fillId="6" borderId="5" xfId="1" applyFont="1" applyFill="1" applyBorder="1" applyAlignment="1" applyProtection="1">
      <alignment horizontal="center"/>
      <protection locked="0"/>
    </xf>
    <xf numFmtId="2" fontId="14" fillId="0" borderId="1" xfId="0" applyNumberFormat="1" applyFont="1" applyBorder="1" applyAlignment="1" applyProtection="1">
      <alignment horizontal="center"/>
      <protection hidden="1"/>
    </xf>
    <xf numFmtId="2" fontId="14" fillId="0" borderId="1" xfId="0" applyNumberFormat="1" applyFont="1" applyBorder="1" applyAlignment="1" applyProtection="1">
      <alignment horizontal="center"/>
      <protection locked="0" hidden="1"/>
    </xf>
    <xf numFmtId="2" fontId="12" fillId="0" borderId="1" xfId="0" applyNumberFormat="1" applyFont="1" applyBorder="1" applyAlignment="1" applyProtection="1">
      <alignment horizontal="center"/>
      <protection hidden="1"/>
    </xf>
    <xf numFmtId="0" fontId="16" fillId="4" borderId="1" xfId="0" applyFont="1" applyFill="1" applyBorder="1" applyAlignment="1">
      <alignment horizontal="left"/>
    </xf>
    <xf numFmtId="2" fontId="13" fillId="0" borderId="1" xfId="0" applyNumberFormat="1" applyFont="1" applyBorder="1" applyAlignment="1" applyProtection="1">
      <alignment vertical="center"/>
      <protection locked="0" hidden="1"/>
    </xf>
    <xf numFmtId="0" fontId="12" fillId="0" borderId="1" xfId="0" applyFont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3" fontId="10" fillId="8" borderId="1" xfId="0" applyNumberFormat="1" applyFont="1" applyFill="1" applyBorder="1" applyAlignment="1" applyProtection="1">
      <alignment horizontal="center" vertical="center"/>
      <protection hidden="1"/>
    </xf>
    <xf numFmtId="3" fontId="16" fillId="8" borderId="1" xfId="0" applyNumberFormat="1" applyFont="1" applyFill="1" applyBorder="1" applyAlignment="1" applyProtection="1">
      <alignment horizontal="center"/>
      <protection hidden="1"/>
    </xf>
    <xf numFmtId="3" fontId="10" fillId="8" borderId="1" xfId="0" applyNumberFormat="1" applyFont="1" applyFill="1" applyBorder="1" applyAlignment="1" applyProtection="1">
      <alignment horizontal="center"/>
      <protection hidden="1"/>
    </xf>
    <xf numFmtId="3" fontId="5" fillId="8" borderId="1" xfId="0" applyNumberFormat="1" applyFont="1" applyFill="1" applyBorder="1" applyAlignment="1" applyProtection="1">
      <alignment vertical="center"/>
      <protection hidden="1"/>
    </xf>
    <xf numFmtId="3" fontId="16" fillId="8" borderId="5" xfId="0" applyNumberFormat="1" applyFont="1" applyFill="1" applyBorder="1" applyAlignment="1" applyProtection="1">
      <alignment horizontal="center"/>
      <protection hidden="1"/>
    </xf>
    <xf numFmtId="3" fontId="18" fillId="8" borderId="1" xfId="0" applyNumberFormat="1" applyFont="1" applyFill="1" applyBorder="1" applyAlignment="1" applyProtection="1">
      <alignment vertical="center"/>
      <protection hidden="1"/>
    </xf>
    <xf numFmtId="3" fontId="10" fillId="8" borderId="5" xfId="0" applyNumberFormat="1" applyFont="1" applyFill="1" applyBorder="1" applyAlignment="1" applyProtection="1">
      <alignment horizontal="center" vertical="center"/>
      <protection hidden="1"/>
    </xf>
    <xf numFmtId="1" fontId="10" fillId="8" borderId="1" xfId="0" applyNumberFormat="1" applyFont="1" applyFill="1" applyBorder="1" applyAlignment="1" applyProtection="1">
      <alignment horizontal="center" vertical="center"/>
      <protection hidden="1"/>
    </xf>
    <xf numFmtId="2" fontId="11" fillId="8" borderId="5" xfId="0" applyNumberFormat="1" applyFont="1" applyFill="1" applyBorder="1" applyAlignment="1" applyProtection="1">
      <alignment horizontal="center"/>
      <protection hidden="1"/>
    </xf>
    <xf numFmtId="3" fontId="10" fillId="9" borderId="1" xfId="0" applyNumberFormat="1" applyFont="1" applyFill="1" applyBorder="1" applyAlignment="1" applyProtection="1">
      <alignment horizontal="center" vertical="center"/>
      <protection hidden="1"/>
    </xf>
    <xf numFmtId="0" fontId="0" fillId="9" borderId="1" xfId="0" applyFill="1" applyBorder="1"/>
    <xf numFmtId="3" fontId="16" fillId="9" borderId="5" xfId="0" applyNumberFormat="1" applyFont="1" applyFill="1" applyBorder="1" applyAlignment="1" applyProtection="1">
      <alignment horizontal="center"/>
      <protection hidden="1"/>
    </xf>
    <xf numFmtId="0" fontId="1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2" fillId="0" borderId="0" xfId="0" applyFont="1" applyAlignment="1">
      <alignment horizontal="center"/>
    </xf>
    <xf numFmtId="3" fontId="10" fillId="9" borderId="1" xfId="0" applyNumberFormat="1" applyFont="1" applyFill="1" applyBorder="1" applyAlignment="1" applyProtection="1">
      <alignment horizontal="center"/>
      <protection hidden="1"/>
    </xf>
    <xf numFmtId="3" fontId="16" fillId="9" borderId="1" xfId="0" applyNumberFormat="1" applyFont="1" applyFill="1" applyBorder="1" applyAlignment="1" applyProtection="1">
      <alignment horizontal="center"/>
      <protection hidden="1"/>
    </xf>
    <xf numFmtId="3" fontId="12" fillId="9" borderId="1" xfId="0" applyNumberFormat="1" applyFont="1" applyFill="1" applyBorder="1" applyAlignment="1">
      <alignment horizontal="center"/>
    </xf>
    <xf numFmtId="3" fontId="5" fillId="9" borderId="1" xfId="0" applyNumberFormat="1" applyFont="1" applyFill="1" applyBorder="1" applyAlignment="1" applyProtection="1">
      <alignment vertical="center"/>
      <protection hidden="1"/>
    </xf>
    <xf numFmtId="3" fontId="18" fillId="9" borderId="1" xfId="0" applyNumberFormat="1" applyFont="1" applyFill="1" applyBorder="1" applyAlignment="1" applyProtection="1">
      <alignment vertical="center"/>
      <protection hidden="1"/>
    </xf>
    <xf numFmtId="2" fontId="11" fillId="9" borderId="5" xfId="0" applyNumberFormat="1" applyFont="1" applyFill="1" applyBorder="1" applyAlignment="1" applyProtection="1">
      <alignment horizontal="center"/>
      <protection hidden="1"/>
    </xf>
    <xf numFmtId="0" fontId="3" fillId="3" borderId="5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12" fillId="0" borderId="1" xfId="0" applyFont="1" applyBorder="1"/>
    <xf numFmtId="2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4" borderId="10" xfId="0" applyFont="1" applyFill="1" applyBorder="1" applyAlignment="1">
      <alignment horizontal="left"/>
    </xf>
    <xf numFmtId="0" fontId="1" fillId="3" borderId="3" xfId="0" applyFont="1" applyFill="1" applyBorder="1" applyAlignment="1" applyProtection="1">
      <alignment horizontal="center"/>
      <protection locked="0"/>
    </xf>
    <xf numFmtId="0" fontId="4" fillId="3" borderId="3" xfId="1" applyFill="1" applyBorder="1" applyAlignment="1" applyProtection="1">
      <alignment horizontal="center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>
      <alignment vertical="center"/>
    </xf>
    <xf numFmtId="0" fontId="10" fillId="3" borderId="3" xfId="0" applyFont="1" applyFill="1" applyBorder="1" applyAlignment="1" applyProtection="1">
      <alignment horizontal="center"/>
      <protection locked="0"/>
    </xf>
    <xf numFmtId="2" fontId="10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4" borderId="6" xfId="0" applyFont="1" applyFill="1" applyBorder="1" applyAlignment="1">
      <alignment horizontal="left"/>
    </xf>
    <xf numFmtId="2" fontId="12" fillId="4" borderId="6" xfId="0" applyNumberFormat="1" applyFont="1" applyFill="1" applyBorder="1" applyAlignment="1" applyProtection="1">
      <alignment horizontal="center"/>
      <protection hidden="1"/>
    </xf>
    <xf numFmtId="0" fontId="4" fillId="3" borderId="2" xfId="1" applyFill="1" applyBorder="1" applyAlignment="1" applyProtection="1">
      <protection locked="0"/>
    </xf>
    <xf numFmtId="0" fontId="4" fillId="3" borderId="3" xfId="1" applyFill="1" applyBorder="1" applyAlignment="1" applyProtection="1">
      <protection locked="0"/>
    </xf>
    <xf numFmtId="2" fontId="22" fillId="3" borderId="1" xfId="0" applyNumberFormat="1" applyFont="1" applyFill="1" applyBorder="1" applyAlignment="1" applyProtection="1">
      <alignment horizontal="center" vertical="center"/>
      <protection locked="0" hidden="1"/>
    </xf>
    <xf numFmtId="0" fontId="19" fillId="4" borderId="1" xfId="0" applyFont="1" applyFill="1" applyBorder="1" applyAlignment="1">
      <alignment horizontal="left"/>
    </xf>
    <xf numFmtId="0" fontId="14" fillId="4" borderId="11" xfId="0" applyFont="1" applyFill="1" applyBorder="1" applyAlignment="1">
      <alignment horizontal="center"/>
    </xf>
    <xf numFmtId="3" fontId="16" fillId="7" borderId="1" xfId="0" applyNumberFormat="1" applyFont="1" applyFill="1" applyBorder="1" applyAlignment="1" applyProtection="1">
      <alignment horizontal="center"/>
      <protection hidden="1"/>
    </xf>
    <xf numFmtId="0" fontId="21" fillId="4" borderId="4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21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left"/>
    </xf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0" fontId="21" fillId="4" borderId="5" xfId="0" applyFont="1" applyFill="1" applyBorder="1" applyAlignment="1">
      <alignment horizontal="left"/>
    </xf>
    <xf numFmtId="0" fontId="4" fillId="6" borderId="5" xfId="1" applyFill="1" applyBorder="1" applyAlignment="1" applyProtection="1">
      <alignment horizontal="center"/>
      <protection locked="0"/>
    </xf>
    <xf numFmtId="1" fontId="16" fillId="7" borderId="1" xfId="0" applyNumberFormat="1" applyFont="1" applyFill="1" applyBorder="1" applyAlignment="1" applyProtection="1">
      <alignment horizontal="center"/>
      <protection hidden="1"/>
    </xf>
    <xf numFmtId="0" fontId="12" fillId="7" borderId="1" xfId="0" applyFont="1" applyFill="1" applyBorder="1" applyAlignment="1">
      <alignment horizontal="center"/>
    </xf>
    <xf numFmtId="2" fontId="11" fillId="7" borderId="1" xfId="0" applyNumberFormat="1" applyFont="1" applyFill="1" applyBorder="1" applyAlignment="1" applyProtection="1">
      <alignment horizontal="center"/>
      <protection hidden="1"/>
    </xf>
    <xf numFmtId="0" fontId="14" fillId="4" borderId="0" xfId="0" applyFont="1" applyFill="1" applyBorder="1" applyAlignment="1">
      <alignment horizontal="left"/>
    </xf>
    <xf numFmtId="2" fontId="22" fillId="0" borderId="0" xfId="0" applyNumberFormat="1" applyFont="1" applyBorder="1" applyAlignment="1" applyProtection="1">
      <alignment horizontal="center" vertical="center"/>
      <protection hidden="1"/>
    </xf>
    <xf numFmtId="0" fontId="12" fillId="0" borderId="0" xfId="0" applyFont="1" applyBorder="1"/>
    <xf numFmtId="3" fontId="18" fillId="0" borderId="0" xfId="0" applyNumberFormat="1" applyFont="1" applyFill="1" applyBorder="1" applyAlignment="1" applyProtection="1">
      <alignment horizontal="center" vertical="center"/>
      <protection hidden="1"/>
    </xf>
    <xf numFmtId="0" fontId="17" fillId="0" borderId="0" xfId="1" applyFont="1" applyFill="1" applyBorder="1" applyAlignment="1" applyProtection="1">
      <alignment horizontal="center"/>
      <protection locked="0"/>
    </xf>
    <xf numFmtId="0" fontId="18" fillId="8" borderId="1" xfId="0" applyFont="1" applyFill="1" applyBorder="1" applyAlignment="1">
      <alignment horizontal="center" vertical="center"/>
    </xf>
    <xf numFmtId="2" fontId="13" fillId="8" borderId="7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12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8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9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11" xfId="0" applyNumberFormat="1" applyFont="1" applyFill="1" applyBorder="1" applyAlignment="1" applyProtection="1">
      <alignment horizontal="center" vertical="center"/>
      <protection locked="0" hidden="1"/>
    </xf>
    <xf numFmtId="2" fontId="13" fillId="8" borderId="4" xfId="0" applyNumberFormat="1" applyFont="1" applyFill="1" applyBorder="1" applyAlignment="1" applyProtection="1">
      <alignment horizontal="center" vertical="center"/>
      <protection locked="0" hidden="1"/>
    </xf>
    <xf numFmtId="2" fontId="22" fillId="0" borderId="7" xfId="0" applyNumberFormat="1" applyFont="1" applyBorder="1" applyAlignment="1" applyProtection="1">
      <alignment horizontal="center" vertical="center"/>
      <protection hidden="1"/>
    </xf>
    <xf numFmtId="2" fontId="22" fillId="0" borderId="12" xfId="0" applyNumberFormat="1" applyFont="1" applyBorder="1" applyAlignment="1" applyProtection="1">
      <alignment horizontal="center" vertical="center"/>
      <protection hidden="1"/>
    </xf>
    <xf numFmtId="2" fontId="22" fillId="0" borderId="8" xfId="0" applyNumberFormat="1" applyFont="1" applyBorder="1" applyAlignment="1" applyProtection="1">
      <alignment horizontal="center" vertical="center"/>
      <protection hidden="1"/>
    </xf>
    <xf numFmtId="2" fontId="22" fillId="0" borderId="9" xfId="0" applyNumberFormat="1" applyFont="1" applyBorder="1" applyAlignment="1" applyProtection="1">
      <alignment horizontal="center" vertical="center"/>
      <protection hidden="1"/>
    </xf>
    <xf numFmtId="2" fontId="22" fillId="0" borderId="11" xfId="0" applyNumberFormat="1" applyFont="1" applyBorder="1" applyAlignment="1" applyProtection="1">
      <alignment horizontal="center" vertical="center"/>
      <protection hidden="1"/>
    </xf>
    <xf numFmtId="2" fontId="22" fillId="0" borderId="4" xfId="0" applyNumberFormat="1" applyFont="1" applyBorder="1" applyAlignment="1" applyProtection="1">
      <alignment horizontal="center" vertical="center"/>
      <protection hidden="1"/>
    </xf>
    <xf numFmtId="0" fontId="18" fillId="8" borderId="2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3" fontId="18" fillId="8" borderId="2" xfId="0" applyNumberFormat="1" applyFont="1" applyFill="1" applyBorder="1" applyAlignment="1" applyProtection="1">
      <alignment horizontal="center" vertical="center"/>
      <protection hidden="1"/>
    </xf>
    <xf numFmtId="3" fontId="18" fillId="8" borderId="5" xfId="0" applyNumberFormat="1" applyFont="1" applyFill="1" applyBorder="1" applyAlignment="1" applyProtection="1">
      <alignment horizontal="center" vertical="center"/>
      <protection hidden="1"/>
    </xf>
    <xf numFmtId="3" fontId="18" fillId="9" borderId="2" xfId="0" applyNumberFormat="1" applyFont="1" applyFill="1" applyBorder="1" applyAlignment="1" applyProtection="1">
      <alignment horizontal="center" vertical="center"/>
      <protection hidden="1"/>
    </xf>
    <xf numFmtId="3" fontId="18" fillId="9" borderId="5" xfId="0" applyNumberFormat="1" applyFont="1" applyFill="1" applyBorder="1" applyAlignment="1" applyProtection="1">
      <alignment horizontal="center" vertical="center"/>
      <protection hidden="1"/>
    </xf>
    <xf numFmtId="0" fontId="13" fillId="7" borderId="6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8" fillId="8" borderId="10" xfId="0" applyFont="1" applyFill="1" applyBorder="1" applyAlignment="1">
      <alignment horizontal="center" vertical="center"/>
    </xf>
    <xf numFmtId="2" fontId="22" fillId="8" borderId="7" xfId="0" applyNumberFormat="1" applyFont="1" applyFill="1" applyBorder="1" applyAlignment="1" applyProtection="1">
      <alignment horizontal="center" vertical="center"/>
      <protection locked="0" hidden="1"/>
    </xf>
    <xf numFmtId="2" fontId="22" fillId="8" borderId="8" xfId="0" applyNumberFormat="1" applyFont="1" applyFill="1" applyBorder="1" applyAlignment="1" applyProtection="1">
      <alignment horizontal="center" vertical="center"/>
      <protection locked="0" hidden="1"/>
    </xf>
    <xf numFmtId="2" fontId="22" fillId="8" borderId="9" xfId="0" applyNumberFormat="1" applyFont="1" applyFill="1" applyBorder="1" applyAlignment="1" applyProtection="1">
      <alignment horizontal="center" vertical="center"/>
      <protection locked="0" hidden="1"/>
    </xf>
    <xf numFmtId="2" fontId="22" fillId="8" borderId="4" xfId="0" applyNumberFormat="1" applyFont="1" applyFill="1" applyBorder="1" applyAlignment="1" applyProtection="1">
      <alignment horizontal="center" vertical="center"/>
      <protection locked="0" hidden="1"/>
    </xf>
    <xf numFmtId="0" fontId="19" fillId="7" borderId="6" xfId="0" applyFont="1" applyFill="1" applyBorder="1" applyAlignment="1">
      <alignment horizontal="center"/>
    </xf>
    <xf numFmtId="0" fontId="19" fillId="7" borderId="13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/>
    </xf>
  </cellXfs>
  <cellStyles count="16">
    <cellStyle name="Hiperlink" xfId="1" builtinId="8"/>
    <cellStyle name="Moeda 2" xfId="4" xr:uid="{49480B2D-5241-4250-B85A-D0A6FC8CE7A4}"/>
    <cellStyle name="Moeda 2 2" xfId="7" xr:uid="{5AC12543-DD0E-4884-A7CD-8AB6F753D0F5}"/>
    <cellStyle name="Moeda 2 2 2" xfId="11" xr:uid="{76329BA2-07E9-4C26-984D-238298CD76F7}"/>
    <cellStyle name="Moeda 2 3" xfId="9" xr:uid="{CFE69995-FDAD-45E7-8A88-A6B69711C710}"/>
    <cellStyle name="Moeda 2 4" xfId="13" xr:uid="{C7B15C1C-87E9-40B6-AA9F-D7F6D10019D1}"/>
    <cellStyle name="Moeda 2 5" xfId="15" xr:uid="{B55D6F7C-51EB-4E26-9020-6517D5EBDEC9}"/>
    <cellStyle name="Normal" xfId="0" builtinId="0"/>
    <cellStyle name="Normal 2" xfId="5" xr:uid="{EC087FBC-5FFC-45F4-B98E-95C3223AB5B4}"/>
    <cellStyle name="Porcentagem 2" xfId="2" xr:uid="{F4331A62-5477-431C-B5F5-F53963147070}"/>
    <cellStyle name="Vírgula 2" xfId="3" xr:uid="{248517F3-70AA-47CA-A61A-D2247CA161D5}"/>
    <cellStyle name="Vírgula 2 2" xfId="6" xr:uid="{B149DAFE-AF1E-4501-B3CE-710D215ABE78}"/>
    <cellStyle name="Vírgula 2 2 2" xfId="10" xr:uid="{AE433A41-C81C-4D70-B617-6EBAA84571B5}"/>
    <cellStyle name="Vírgula 2 3" xfId="8" xr:uid="{CADE3E17-952D-4C9F-9236-6B95126B0A6E}"/>
    <cellStyle name="Vírgula 2 4" xfId="12" xr:uid="{2ED53F54-0740-43B6-813A-4CAFF3EF9578}"/>
    <cellStyle name="Vírgula 2 5" xfId="14" xr:uid="{8872BED5-D63F-446E-87CA-F79AC5E39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g"/><Relationship Id="rId3" Type="http://schemas.openxmlformats.org/officeDocument/2006/relationships/image" Target="../media/image2.png"/><Relationship Id="rId7" Type="http://schemas.openxmlformats.org/officeDocument/2006/relationships/image" Target="../media/image6.jpg"/><Relationship Id="rId2" Type="http://schemas.openxmlformats.org/officeDocument/2006/relationships/hyperlink" Target="https://freepngimg.com/png/68394-computer-instagram-icons-png-file-hd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g"/><Relationship Id="rId5" Type="http://schemas.openxmlformats.org/officeDocument/2006/relationships/image" Target="../media/image4.jpg"/><Relationship Id="rId4" Type="http://schemas.openxmlformats.org/officeDocument/2006/relationships/image" Target="../media/image3.jpg"/><Relationship Id="rId9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g"/><Relationship Id="rId3" Type="http://schemas.openxmlformats.org/officeDocument/2006/relationships/image" Target="../media/image9.jpeg"/><Relationship Id="rId7" Type="http://schemas.openxmlformats.org/officeDocument/2006/relationships/image" Target="../media/image13.jpg"/><Relationship Id="rId2" Type="http://schemas.openxmlformats.org/officeDocument/2006/relationships/hyperlink" Target="https://freepngimg.com/png/68394-computer-instagram-icons-png-file-hd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12.jpg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g"/><Relationship Id="rId2" Type="http://schemas.openxmlformats.org/officeDocument/2006/relationships/hyperlink" Target="https://freepngimg.com/png/68394-computer-instagram-icons-png-file-hd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17.jpeg"/><Relationship Id="rId4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575661</xdr:colOff>
      <xdr:row>39</xdr:row>
      <xdr:rowOff>180109</xdr:rowOff>
    </xdr:from>
    <xdr:ext cx="188259" cy="187959"/>
    <xdr:pic>
      <xdr:nvPicPr>
        <xdr:cNvPr id="14" name="Imagem 13">
          <a:extLst>
            <a:ext uri="{FF2B5EF4-FFF2-40B4-BE49-F238E27FC236}">
              <a16:creationId xmlns:a16="http://schemas.microsoft.com/office/drawing/2014/main" id="{DBF847B7-C6F0-4944-A491-DD1DBD851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14231389"/>
          <a:ext cx="188259" cy="187959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51</xdr:row>
      <xdr:rowOff>180109</xdr:rowOff>
    </xdr:from>
    <xdr:ext cx="188259" cy="187959"/>
    <xdr:pic>
      <xdr:nvPicPr>
        <xdr:cNvPr id="17" name="Imagem 16">
          <a:extLst>
            <a:ext uri="{FF2B5EF4-FFF2-40B4-BE49-F238E27FC236}">
              <a16:creationId xmlns:a16="http://schemas.microsoft.com/office/drawing/2014/main" id="{3A370F1C-6DD7-499B-AA80-719BA926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15321049"/>
          <a:ext cx="188259" cy="187959"/>
        </a:xfrm>
        <a:prstGeom prst="rect">
          <a:avLst/>
        </a:prstGeom>
      </xdr:spPr>
    </xdr:pic>
    <xdr:clientData/>
  </xdr:oneCellAnchor>
  <xdr:oneCellAnchor>
    <xdr:from>
      <xdr:col>0</xdr:col>
      <xdr:colOff>639701</xdr:colOff>
      <xdr:row>25</xdr:row>
      <xdr:rowOff>180164</xdr:rowOff>
    </xdr:from>
    <xdr:ext cx="188259" cy="184910"/>
    <xdr:pic>
      <xdr:nvPicPr>
        <xdr:cNvPr id="19" name="Imagem 18">
          <a:extLst>
            <a:ext uri="{FF2B5EF4-FFF2-40B4-BE49-F238E27FC236}">
              <a16:creationId xmlns:a16="http://schemas.microsoft.com/office/drawing/2014/main" id="{E2E3DB2E-BDDC-4D89-B160-8DEA40313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39701" y="12029264"/>
          <a:ext cx="188259" cy="184910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77</xdr:row>
      <xdr:rowOff>180109</xdr:rowOff>
    </xdr:from>
    <xdr:ext cx="188259" cy="187959"/>
    <xdr:pic>
      <xdr:nvPicPr>
        <xdr:cNvPr id="22" name="Imagem 21">
          <a:extLst>
            <a:ext uri="{FF2B5EF4-FFF2-40B4-BE49-F238E27FC236}">
              <a16:creationId xmlns:a16="http://schemas.microsoft.com/office/drawing/2014/main" id="{B5005A9D-57C2-4895-AF8A-952BD0B7E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16761229"/>
          <a:ext cx="188259" cy="187959"/>
        </a:xfrm>
        <a:prstGeom prst="rect">
          <a:avLst/>
        </a:prstGeom>
      </xdr:spPr>
    </xdr:pic>
    <xdr:clientData/>
  </xdr:oneCellAnchor>
  <xdr:oneCellAnchor>
    <xdr:from>
      <xdr:col>0</xdr:col>
      <xdr:colOff>575661</xdr:colOff>
      <xdr:row>96</xdr:row>
      <xdr:rowOff>180109</xdr:rowOff>
    </xdr:from>
    <xdr:ext cx="188259" cy="187959"/>
    <xdr:pic>
      <xdr:nvPicPr>
        <xdr:cNvPr id="23" name="Imagem 22">
          <a:extLst>
            <a:ext uri="{FF2B5EF4-FFF2-40B4-BE49-F238E27FC236}">
              <a16:creationId xmlns:a16="http://schemas.microsoft.com/office/drawing/2014/main" id="{76F5DFB8-E1F9-452C-B9B3-52259A49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20700769"/>
          <a:ext cx="188259" cy="187959"/>
        </a:xfrm>
        <a:prstGeom prst="rect">
          <a:avLst/>
        </a:prstGeom>
      </xdr:spPr>
    </xdr:pic>
    <xdr:clientData/>
  </xdr:oneCellAnchor>
  <xdr:twoCellAnchor editAs="oneCell">
    <xdr:from>
      <xdr:col>0</xdr:col>
      <xdr:colOff>251460</xdr:colOff>
      <xdr:row>87</xdr:row>
      <xdr:rowOff>91440</xdr:rowOff>
    </xdr:from>
    <xdr:to>
      <xdr:col>0</xdr:col>
      <xdr:colOff>2579199</xdr:colOff>
      <xdr:row>94</xdr:row>
      <xdr:rowOff>109260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12C0C29-C5D6-4DC7-A5A8-299550D8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1206460"/>
          <a:ext cx="2327739" cy="1404660"/>
        </a:xfrm>
        <a:prstGeom prst="rect">
          <a:avLst/>
        </a:prstGeom>
      </xdr:spPr>
    </xdr:pic>
    <xdr:clientData/>
  </xdr:twoCellAnchor>
  <xdr:oneCellAnchor>
    <xdr:from>
      <xdr:col>0</xdr:col>
      <xdr:colOff>575661</xdr:colOff>
      <xdr:row>63</xdr:row>
      <xdr:rowOff>180109</xdr:rowOff>
    </xdr:from>
    <xdr:ext cx="188259" cy="187959"/>
    <xdr:pic>
      <xdr:nvPicPr>
        <xdr:cNvPr id="28" name="Imagem 27">
          <a:extLst>
            <a:ext uri="{FF2B5EF4-FFF2-40B4-BE49-F238E27FC236}">
              <a16:creationId xmlns:a16="http://schemas.microsoft.com/office/drawing/2014/main" id="{01889A1C-ABF0-4C75-B889-DAD613A3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5661" y="9103129"/>
          <a:ext cx="188259" cy="187959"/>
        </a:xfrm>
        <a:prstGeom prst="rect">
          <a:avLst/>
        </a:prstGeom>
      </xdr:spPr>
    </xdr:pic>
    <xdr:clientData/>
  </xdr:oneCellAnchor>
  <xdr:twoCellAnchor editAs="oneCell">
    <xdr:from>
      <xdr:col>0</xdr:col>
      <xdr:colOff>373380</xdr:colOff>
      <xdr:row>2</xdr:row>
      <xdr:rowOff>38100</xdr:rowOff>
    </xdr:from>
    <xdr:to>
      <xdr:col>0</xdr:col>
      <xdr:colOff>2610050</xdr:colOff>
      <xdr:row>9</xdr:row>
      <xdr:rowOff>100980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CCFA92F3-08E7-4C32-9284-9C7825961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434340"/>
          <a:ext cx="2236670" cy="151068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16</xdr:row>
      <xdr:rowOff>106680</xdr:rowOff>
    </xdr:from>
    <xdr:to>
      <xdr:col>0</xdr:col>
      <xdr:colOff>2670640</xdr:colOff>
      <xdr:row>24</xdr:row>
      <xdr:rowOff>33060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F8BE206-EEA0-428F-BF9C-FE4EC8F9A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337560"/>
          <a:ext cx="2327740" cy="1511340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29</xdr:row>
      <xdr:rowOff>15240</xdr:rowOff>
    </xdr:from>
    <xdr:to>
      <xdr:col>0</xdr:col>
      <xdr:colOff>2596182</xdr:colOff>
      <xdr:row>36</xdr:row>
      <xdr:rowOff>129360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38B88E8-994B-49BA-BF42-8322EFC7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5775960"/>
          <a:ext cx="2299002" cy="1500960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42</xdr:row>
      <xdr:rowOff>106680</xdr:rowOff>
    </xdr:from>
    <xdr:to>
      <xdr:col>0</xdr:col>
      <xdr:colOff>2602060</xdr:colOff>
      <xdr:row>50</xdr:row>
      <xdr:rowOff>10200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BE319EF-3F02-412B-A8A2-DA3BEB95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8442960"/>
          <a:ext cx="2327740" cy="1511340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54</xdr:row>
      <xdr:rowOff>114300</xdr:rowOff>
    </xdr:from>
    <xdr:to>
      <xdr:col>0</xdr:col>
      <xdr:colOff>2580942</xdr:colOff>
      <xdr:row>61</xdr:row>
      <xdr:rowOff>197940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1E2B56BD-861B-446A-9460-CB9BF8C5D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10850880"/>
          <a:ext cx="2299002" cy="1493340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67</xdr:row>
      <xdr:rowOff>60960</xdr:rowOff>
    </xdr:from>
    <xdr:to>
      <xdr:col>0</xdr:col>
      <xdr:colOff>2664762</xdr:colOff>
      <xdr:row>74</xdr:row>
      <xdr:rowOff>167460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165DC860-4CD9-42D0-8CC7-86FCC026B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13395960"/>
          <a:ext cx="2299002" cy="1493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235841</xdr:colOff>
      <xdr:row>7</xdr:row>
      <xdr:rowOff>180164</xdr:rowOff>
    </xdr:from>
    <xdr:to>
      <xdr:col>0</xdr:col>
      <xdr:colOff>424100</xdr:colOff>
      <xdr:row>8</xdr:row>
      <xdr:rowOff>182194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39C79B4-82F8-4505-ABBB-F2928DA2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5841" y="2557604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1</xdr:row>
      <xdr:rowOff>99060</xdr:rowOff>
    </xdr:from>
    <xdr:to>
      <xdr:col>0</xdr:col>
      <xdr:colOff>1418880</xdr:colOff>
      <xdr:row>6</xdr:row>
      <xdr:rowOff>153960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6C3A70-2731-4F9B-8B1F-0DD0FBF4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3268980"/>
          <a:ext cx="1083600" cy="104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11</xdr:row>
      <xdr:rowOff>45720</xdr:rowOff>
    </xdr:from>
    <xdr:to>
      <xdr:col>0</xdr:col>
      <xdr:colOff>1384800</xdr:colOff>
      <xdr:row>16</xdr:row>
      <xdr:rowOff>173220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F9C454F-7A71-4823-8B1A-41E9A9B5D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581400"/>
          <a:ext cx="1080000" cy="111810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20</xdr:row>
      <xdr:rowOff>167640</xdr:rowOff>
    </xdr:from>
    <xdr:to>
      <xdr:col>0</xdr:col>
      <xdr:colOff>1422900</xdr:colOff>
      <xdr:row>26</xdr:row>
      <xdr:rowOff>119880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4BF9564-0B12-40C1-83C2-29FE97BDD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509260"/>
          <a:ext cx="1080000" cy="114096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50</xdr:row>
      <xdr:rowOff>175260</xdr:rowOff>
    </xdr:from>
    <xdr:to>
      <xdr:col>0</xdr:col>
      <xdr:colOff>1499100</xdr:colOff>
      <xdr:row>56</xdr:row>
      <xdr:rowOff>104640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CADFEA4-627D-46D2-AC69-A3C045F29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1430000"/>
          <a:ext cx="1080000" cy="1118100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40</xdr:row>
      <xdr:rowOff>99060</xdr:rowOff>
    </xdr:from>
    <xdr:to>
      <xdr:col>0</xdr:col>
      <xdr:colOff>1300980</xdr:colOff>
      <xdr:row>46</xdr:row>
      <xdr:rowOff>76065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78E6773-56E2-4756-99C4-B8B8D59ED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9372600"/>
          <a:ext cx="965700" cy="113524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18</xdr:row>
      <xdr:rowOff>0</xdr:rowOff>
    </xdr:from>
    <xdr:to>
      <xdr:col>0</xdr:col>
      <xdr:colOff>416859</xdr:colOff>
      <xdr:row>19</xdr:row>
      <xdr:rowOff>2030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C43DFB3-D882-4FA6-BC25-4A746A400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28600" y="4945380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289560</xdr:colOff>
      <xdr:row>31</xdr:row>
      <xdr:rowOff>30480</xdr:rowOff>
    </xdr:from>
    <xdr:to>
      <xdr:col>0</xdr:col>
      <xdr:colOff>1379089</xdr:colOff>
      <xdr:row>36</xdr:row>
      <xdr:rowOff>127500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F897480-0DA9-4F28-B063-78B471CF0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7520940"/>
          <a:ext cx="1089529" cy="108762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58</xdr:row>
      <xdr:rowOff>0</xdr:rowOff>
    </xdr:from>
    <xdr:to>
      <xdr:col>0</xdr:col>
      <xdr:colOff>416859</xdr:colOff>
      <xdr:row>59</xdr:row>
      <xdr:rowOff>2030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BABD012-1375-425F-89BF-6B910C0B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28600" y="4945380"/>
          <a:ext cx="188259" cy="200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235841</xdr:colOff>
      <xdr:row>25</xdr:row>
      <xdr:rowOff>180164</xdr:rowOff>
    </xdr:from>
    <xdr:to>
      <xdr:col>0</xdr:col>
      <xdr:colOff>424100</xdr:colOff>
      <xdr:row>26</xdr:row>
      <xdr:rowOff>182194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B323F15-4E67-4E9F-9194-095A42B64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5841" y="3662504"/>
          <a:ext cx="188259" cy="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19</xdr:row>
      <xdr:rowOff>53340</xdr:rowOff>
    </xdr:from>
    <xdr:to>
      <xdr:col>0</xdr:col>
      <xdr:colOff>1524060</xdr:colOff>
      <xdr:row>24</xdr:row>
      <xdr:rowOff>152460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B465AE8-9863-485D-B207-5A3E3BB81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3733800"/>
          <a:ext cx="1044000" cy="10897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</xdr:row>
      <xdr:rowOff>76200</xdr:rowOff>
    </xdr:from>
    <xdr:to>
      <xdr:col>0</xdr:col>
      <xdr:colOff>1613400</xdr:colOff>
      <xdr:row>7</xdr:row>
      <xdr:rowOff>5580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2F53B39-2489-47E0-8F85-13134475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51460"/>
          <a:ext cx="1080000" cy="1087620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10</xdr:row>
      <xdr:rowOff>44196</xdr:rowOff>
    </xdr:from>
    <xdr:to>
      <xdr:col>0</xdr:col>
      <xdr:colOff>1760220</xdr:colOff>
      <xdr:row>15</xdr:row>
      <xdr:rowOff>114120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59F5E0A-3EF9-4523-B136-71FB7AEA9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1972056"/>
          <a:ext cx="1386840" cy="10452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joaodemele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hyperlink" Target="https://www.instagram.com/joaodemel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nstagram.com/joaodemele/" TargetMode="External"/><Relationship Id="rId4" Type="http://schemas.openxmlformats.org/officeDocument/2006/relationships/hyperlink" Target="https://www.instagram.com/joaodemel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instagram.com/luciano_santelli/" TargetMode="External"/><Relationship Id="rId1" Type="http://schemas.openxmlformats.org/officeDocument/2006/relationships/hyperlink" Target="https://www.instagram.com/joaodemele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instagram.com/joaodemele/" TargetMode="External"/><Relationship Id="rId1" Type="http://schemas.openxmlformats.org/officeDocument/2006/relationships/hyperlink" Target="https://www.instagram.com/joaodemele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127C-0EEC-437A-8A73-F1029A2AD512}">
  <dimension ref="A1:I98"/>
  <sheetViews>
    <sheetView tabSelected="1" topLeftCell="A75" zoomScaleNormal="100" workbookViewId="0">
      <selection activeCell="G75" sqref="F1:G1048576"/>
    </sheetView>
  </sheetViews>
  <sheetFormatPr defaultRowHeight="15.6" x14ac:dyDescent="0.3"/>
  <cols>
    <col min="1" max="1" width="43.21875" style="14" bestFit="1" customWidth="1"/>
    <col min="2" max="2" width="48.21875" style="14" bestFit="1" customWidth="1"/>
    <col min="3" max="4" width="10" style="14" customWidth="1"/>
    <col min="5" max="5" width="9.44140625" style="14" customWidth="1"/>
    <col min="6" max="6" width="11.109375" style="14" hidden="1" customWidth="1"/>
    <col min="7" max="7" width="16.5546875" style="57" hidden="1" customWidth="1"/>
    <col min="8" max="8" width="11.109375" style="14" customWidth="1"/>
    <col min="9" max="9" width="16.5546875" style="57" customWidth="1"/>
    <col min="10" max="16384" width="8.88671875" style="14"/>
  </cols>
  <sheetData>
    <row r="1" spans="1:9" x14ac:dyDescent="0.3">
      <c r="A1" s="9" t="s">
        <v>34</v>
      </c>
      <c r="B1" s="10" t="s">
        <v>0</v>
      </c>
      <c r="C1" s="11" t="s">
        <v>1</v>
      </c>
      <c r="D1" s="11" t="s">
        <v>2</v>
      </c>
      <c r="E1" s="12" t="s">
        <v>3</v>
      </c>
      <c r="F1" s="43" t="s">
        <v>4</v>
      </c>
      <c r="G1" s="52" t="s">
        <v>21</v>
      </c>
      <c r="H1" s="43" t="s">
        <v>4</v>
      </c>
      <c r="I1" s="52" t="s">
        <v>21</v>
      </c>
    </row>
    <row r="2" spans="1:9" x14ac:dyDescent="0.3">
      <c r="A2" s="65"/>
      <c r="B2" s="87" t="s">
        <v>49</v>
      </c>
      <c r="C2" s="67">
        <v>2.4</v>
      </c>
      <c r="D2" s="68">
        <v>1.08</v>
      </c>
      <c r="E2" s="68">
        <v>0.86</v>
      </c>
      <c r="F2" s="44">
        <v>4927</v>
      </c>
      <c r="G2" s="60">
        <v>4139</v>
      </c>
      <c r="H2" s="44">
        <f>F2*0.85</f>
        <v>4187.95</v>
      </c>
      <c r="I2" s="60">
        <f>G2*0.85</f>
        <v>3518.15</v>
      </c>
    </row>
    <row r="3" spans="1:9" x14ac:dyDescent="0.3">
      <c r="A3" s="85"/>
      <c r="B3" s="88" t="s">
        <v>50</v>
      </c>
      <c r="C3" s="67">
        <v>1.65</v>
      </c>
      <c r="D3" s="68">
        <v>1.08</v>
      </c>
      <c r="E3" s="68">
        <v>0.86</v>
      </c>
      <c r="F3" s="44">
        <v>3094</v>
      </c>
      <c r="G3" s="60">
        <v>2646</v>
      </c>
      <c r="H3" s="44">
        <f t="shared" ref="H3:H9" si="0">F3*0.85</f>
        <v>2629.9</v>
      </c>
      <c r="I3" s="60">
        <f t="shared" ref="I3:I9" si="1">G3*0.85</f>
        <v>2249.1</v>
      </c>
    </row>
    <row r="4" spans="1:9" x14ac:dyDescent="0.3">
      <c r="A4" s="85"/>
      <c r="B4" s="96" t="s">
        <v>52</v>
      </c>
      <c r="C4" s="67">
        <v>1.1000000000000001</v>
      </c>
      <c r="D4" s="67">
        <v>0.8</v>
      </c>
      <c r="E4" s="68">
        <v>0.45</v>
      </c>
      <c r="F4" s="44">
        <v>1687</v>
      </c>
      <c r="G4" s="60">
        <v>1485</v>
      </c>
      <c r="H4" s="44">
        <f t="shared" si="0"/>
        <v>1433.95</v>
      </c>
      <c r="I4" s="60">
        <f t="shared" si="1"/>
        <v>1262.25</v>
      </c>
    </row>
    <row r="5" spans="1:9" x14ac:dyDescent="0.3">
      <c r="A5" s="85"/>
      <c r="B5" s="96" t="s">
        <v>51</v>
      </c>
      <c r="C5" s="67">
        <v>1.3</v>
      </c>
      <c r="D5" s="67">
        <v>0.8</v>
      </c>
      <c r="E5" s="68">
        <v>0.45</v>
      </c>
      <c r="F5" s="44">
        <v>1797</v>
      </c>
      <c r="G5" s="60">
        <v>1573</v>
      </c>
      <c r="H5" s="44">
        <f t="shared" si="0"/>
        <v>1527.45</v>
      </c>
      <c r="I5" s="60">
        <f t="shared" si="1"/>
        <v>1337.05</v>
      </c>
    </row>
    <row r="6" spans="1:9" x14ac:dyDescent="0.3">
      <c r="A6" s="85"/>
      <c r="B6" s="89" t="s">
        <v>53</v>
      </c>
      <c r="C6" s="67">
        <v>1.65</v>
      </c>
      <c r="D6" s="67">
        <v>0.8</v>
      </c>
      <c r="E6" s="68">
        <v>0.45</v>
      </c>
      <c r="F6" s="44">
        <v>1979</v>
      </c>
      <c r="G6" s="60">
        <v>1818</v>
      </c>
      <c r="H6" s="44">
        <f t="shared" si="0"/>
        <v>1682.1499999999999</v>
      </c>
      <c r="I6" s="60">
        <f t="shared" si="1"/>
        <v>1545.3</v>
      </c>
    </row>
    <row r="7" spans="1:9" ht="18" customHeight="1" x14ac:dyDescent="0.3">
      <c r="A7" s="85"/>
      <c r="B7" s="96" t="s">
        <v>95</v>
      </c>
      <c r="C7" s="67">
        <v>1</v>
      </c>
      <c r="D7" s="67">
        <v>0.2</v>
      </c>
      <c r="E7" s="68">
        <v>0.45</v>
      </c>
      <c r="F7" s="44">
        <v>321</v>
      </c>
      <c r="G7" s="60">
        <v>216</v>
      </c>
      <c r="H7" s="44">
        <f t="shared" si="0"/>
        <v>272.84999999999997</v>
      </c>
      <c r="I7" s="60">
        <f t="shared" si="1"/>
        <v>183.6</v>
      </c>
    </row>
    <row r="8" spans="1:9" ht="18" customHeight="1" x14ac:dyDescent="0.3">
      <c r="A8" s="85"/>
      <c r="B8" s="96" t="s">
        <v>95</v>
      </c>
      <c r="C8" s="67">
        <v>1</v>
      </c>
      <c r="D8" s="67">
        <v>0.2</v>
      </c>
      <c r="E8" s="68">
        <v>0.45</v>
      </c>
      <c r="F8" s="44">
        <v>321</v>
      </c>
      <c r="G8" s="60">
        <v>216</v>
      </c>
      <c r="H8" s="44">
        <f t="shared" si="0"/>
        <v>272.84999999999997</v>
      </c>
      <c r="I8" s="60">
        <f t="shared" si="1"/>
        <v>183.6</v>
      </c>
    </row>
    <row r="9" spans="1:9" x14ac:dyDescent="0.3">
      <c r="A9" s="2"/>
      <c r="B9" s="96" t="s">
        <v>95</v>
      </c>
      <c r="C9" s="67">
        <v>1</v>
      </c>
      <c r="D9" s="67">
        <v>0.2</v>
      </c>
      <c r="E9" s="68">
        <v>0.45</v>
      </c>
      <c r="F9" s="44">
        <v>321</v>
      </c>
      <c r="G9" s="55">
        <v>216</v>
      </c>
      <c r="H9" s="44">
        <f t="shared" si="0"/>
        <v>272.84999999999997</v>
      </c>
      <c r="I9" s="60">
        <f t="shared" si="1"/>
        <v>183.6</v>
      </c>
    </row>
    <row r="10" spans="1:9" x14ac:dyDescent="0.3">
      <c r="A10" s="2"/>
      <c r="B10" s="66"/>
      <c r="C10" s="66"/>
      <c r="D10" s="66"/>
      <c r="E10" s="66"/>
      <c r="F10" s="44"/>
      <c r="G10" s="55"/>
      <c r="H10" s="44"/>
      <c r="I10" s="55"/>
    </row>
    <row r="11" spans="1:9" x14ac:dyDescent="0.3">
      <c r="A11" s="2"/>
      <c r="B11" s="106" t="s">
        <v>47</v>
      </c>
      <c r="C11" s="107" t="s">
        <v>96</v>
      </c>
      <c r="D11" s="108"/>
      <c r="E11" s="109"/>
      <c r="F11" s="44"/>
      <c r="G11" s="55"/>
      <c r="H11" s="44"/>
      <c r="I11" s="55"/>
    </row>
    <row r="12" spans="1:9" x14ac:dyDescent="0.3">
      <c r="A12" s="2"/>
      <c r="B12" s="106"/>
      <c r="C12" s="110"/>
      <c r="D12" s="111"/>
      <c r="E12" s="112"/>
      <c r="F12" s="44"/>
      <c r="G12" s="55"/>
      <c r="H12" s="44"/>
      <c r="I12" s="55"/>
    </row>
    <row r="13" spans="1:9" x14ac:dyDescent="0.3">
      <c r="A13" s="2"/>
      <c r="B13" s="106" t="s">
        <v>48</v>
      </c>
      <c r="C13" s="113" t="s">
        <v>17</v>
      </c>
      <c r="D13" s="114"/>
      <c r="E13" s="115"/>
      <c r="F13" s="121">
        <f>SUM(F2:F12)</f>
        <v>14447</v>
      </c>
      <c r="G13" s="123">
        <f>SUM(G2:G12)</f>
        <v>12309</v>
      </c>
      <c r="H13" s="121">
        <f>SUM(H2:H12)</f>
        <v>12279.950000000003</v>
      </c>
      <c r="I13" s="123">
        <f>SUM(I2:I12)</f>
        <v>10462.65</v>
      </c>
    </row>
    <row r="14" spans="1:9" x14ac:dyDescent="0.3">
      <c r="A14" s="86" t="s">
        <v>45</v>
      </c>
      <c r="B14" s="106"/>
      <c r="C14" s="116"/>
      <c r="D14" s="117"/>
      <c r="E14" s="118"/>
      <c r="F14" s="122"/>
      <c r="G14" s="124"/>
      <c r="H14" s="122"/>
      <c r="I14" s="124"/>
    </row>
    <row r="15" spans="1:9" x14ac:dyDescent="0.3">
      <c r="A15" s="86" t="s">
        <v>46</v>
      </c>
      <c r="B15" s="66"/>
      <c r="C15" s="66"/>
      <c r="D15" s="66"/>
      <c r="E15" s="66"/>
      <c r="F15" s="44"/>
      <c r="G15" s="60"/>
      <c r="H15" s="44"/>
      <c r="I15" s="60"/>
    </row>
    <row r="16" spans="1:9" x14ac:dyDescent="0.3">
      <c r="A16" s="9" t="s">
        <v>22</v>
      </c>
      <c r="B16" s="10" t="s">
        <v>0</v>
      </c>
      <c r="C16" s="11" t="s">
        <v>1</v>
      </c>
      <c r="D16" s="11" t="s">
        <v>2</v>
      </c>
      <c r="E16" s="12" t="s">
        <v>3</v>
      </c>
      <c r="F16" s="43" t="s">
        <v>15</v>
      </c>
      <c r="G16" s="52" t="s">
        <v>21</v>
      </c>
      <c r="H16" s="43" t="s">
        <v>15</v>
      </c>
      <c r="I16" s="52" t="s">
        <v>21</v>
      </c>
    </row>
    <row r="17" spans="1:9" x14ac:dyDescent="0.3">
      <c r="A17" s="19"/>
      <c r="B17" s="91" t="s">
        <v>81</v>
      </c>
      <c r="C17" s="17">
        <v>1.1499999999999999</v>
      </c>
      <c r="D17" s="17">
        <v>0.94</v>
      </c>
      <c r="E17" s="35">
        <v>0.78</v>
      </c>
      <c r="F17" s="44">
        <v>3997</v>
      </c>
      <c r="G17" s="60">
        <v>3935</v>
      </c>
      <c r="H17" s="44">
        <f t="shared" ref="H17:H20" si="2">F17*0.85</f>
        <v>3397.45</v>
      </c>
      <c r="I17" s="60">
        <f t="shared" ref="I17:I20" si="3">G17*0.85</f>
        <v>3344.75</v>
      </c>
    </row>
    <row r="18" spans="1:9" x14ac:dyDescent="0.3">
      <c r="A18" s="19"/>
      <c r="B18" s="90" t="s">
        <v>82</v>
      </c>
      <c r="C18" s="17">
        <v>2.65</v>
      </c>
      <c r="D18" s="17">
        <v>0.94</v>
      </c>
      <c r="E18" s="35">
        <v>0.78</v>
      </c>
      <c r="F18" s="44">
        <v>6416</v>
      </c>
      <c r="G18" s="55">
        <v>6299</v>
      </c>
      <c r="H18" s="44">
        <f t="shared" si="2"/>
        <v>5453.5999999999995</v>
      </c>
      <c r="I18" s="60">
        <f t="shared" si="3"/>
        <v>5354.15</v>
      </c>
    </row>
    <row r="19" spans="1:9" x14ac:dyDescent="0.3">
      <c r="A19" s="19"/>
      <c r="B19" s="93" t="s">
        <v>83</v>
      </c>
      <c r="C19" s="17">
        <v>1.1499999999999999</v>
      </c>
      <c r="D19" s="17">
        <v>1.75</v>
      </c>
      <c r="E19" s="35">
        <v>0.78</v>
      </c>
      <c r="F19" s="44">
        <v>4712</v>
      </c>
      <c r="G19" s="55">
        <v>4609</v>
      </c>
      <c r="H19" s="44">
        <f t="shared" si="2"/>
        <v>4005.2</v>
      </c>
      <c r="I19" s="60">
        <f t="shared" si="3"/>
        <v>3917.65</v>
      </c>
    </row>
    <row r="20" spans="1:9" x14ac:dyDescent="0.3">
      <c r="A20" s="19"/>
      <c r="B20" s="93" t="s">
        <v>84</v>
      </c>
      <c r="C20" s="17">
        <v>0.3</v>
      </c>
      <c r="D20" s="17">
        <v>0.6</v>
      </c>
      <c r="E20" s="35">
        <v>0.3</v>
      </c>
      <c r="F20" s="44">
        <v>487</v>
      </c>
      <c r="G20" s="55">
        <v>470</v>
      </c>
      <c r="H20" s="44">
        <f t="shared" si="2"/>
        <v>413.95</v>
      </c>
      <c r="I20" s="60">
        <f t="shared" si="3"/>
        <v>399.5</v>
      </c>
    </row>
    <row r="21" spans="1:9" x14ac:dyDescent="0.3">
      <c r="A21" s="19"/>
      <c r="B21" s="16"/>
      <c r="C21" s="17"/>
      <c r="D21" s="17"/>
      <c r="E21" s="35"/>
      <c r="F21" s="44"/>
      <c r="G21" s="55"/>
      <c r="H21" s="44"/>
      <c r="I21" s="55"/>
    </row>
    <row r="22" spans="1:9" ht="15.6" customHeight="1" x14ac:dyDescent="0.3">
      <c r="A22" s="19"/>
      <c r="B22" s="119" t="s">
        <v>54</v>
      </c>
      <c r="C22" s="107" t="s">
        <v>85</v>
      </c>
      <c r="D22" s="108"/>
      <c r="E22" s="109"/>
      <c r="F22" s="44"/>
      <c r="G22" s="55"/>
      <c r="H22" s="44"/>
      <c r="I22" s="55"/>
    </row>
    <row r="23" spans="1:9" ht="15.6" customHeight="1" x14ac:dyDescent="0.3">
      <c r="A23" s="19"/>
      <c r="B23" s="120"/>
      <c r="C23" s="110"/>
      <c r="D23" s="111"/>
      <c r="E23" s="112"/>
      <c r="F23" s="44"/>
      <c r="G23" s="55"/>
      <c r="H23" s="44"/>
      <c r="I23" s="55"/>
    </row>
    <row r="24" spans="1:9" ht="15.6" customHeight="1" x14ac:dyDescent="0.3">
      <c r="A24" s="19"/>
      <c r="B24" s="16"/>
      <c r="C24" s="17"/>
      <c r="D24" s="17"/>
      <c r="E24" s="35"/>
      <c r="F24" s="45"/>
      <c r="G24" s="55"/>
      <c r="H24" s="45"/>
      <c r="I24" s="55"/>
    </row>
    <row r="25" spans="1:9" ht="15.6" customHeight="1" x14ac:dyDescent="0.3">
      <c r="A25" s="23"/>
      <c r="B25" s="16"/>
      <c r="C25" s="113" t="s">
        <v>17</v>
      </c>
      <c r="D25" s="114"/>
      <c r="E25" s="115"/>
      <c r="F25" s="121">
        <f>F17+F18+F19+F20</f>
        <v>15612</v>
      </c>
      <c r="G25" s="123">
        <f>G17+G18+G19+G20</f>
        <v>15313</v>
      </c>
      <c r="H25" s="121">
        <f>H17+H18+H19+H20</f>
        <v>13270.2</v>
      </c>
      <c r="I25" s="123">
        <f>I17+I18+I19+I20</f>
        <v>13016.05</v>
      </c>
    </row>
    <row r="26" spans="1:9" ht="14.4" customHeight="1" x14ac:dyDescent="0.3">
      <c r="A26" s="21" t="s">
        <v>8</v>
      </c>
      <c r="B26" s="16"/>
      <c r="C26" s="116"/>
      <c r="D26" s="117"/>
      <c r="E26" s="118"/>
      <c r="F26" s="122"/>
      <c r="G26" s="124"/>
      <c r="H26" s="122"/>
      <c r="I26" s="124"/>
    </row>
    <row r="27" spans="1:9" ht="14.4" customHeight="1" x14ac:dyDescent="0.3">
      <c r="A27" s="34" t="s">
        <v>9</v>
      </c>
      <c r="B27" s="16"/>
      <c r="C27" s="17"/>
      <c r="D27" s="17"/>
      <c r="E27" s="35" t="s">
        <v>7</v>
      </c>
      <c r="F27" s="44" t="s">
        <v>7</v>
      </c>
      <c r="G27" s="55"/>
      <c r="H27" s="44" t="s">
        <v>7</v>
      </c>
      <c r="I27" s="55"/>
    </row>
    <row r="28" spans="1:9" ht="14.4" customHeight="1" x14ac:dyDescent="0.3">
      <c r="A28" s="9" t="s">
        <v>35</v>
      </c>
      <c r="B28" s="10" t="s">
        <v>0</v>
      </c>
      <c r="C28" s="11" t="s">
        <v>1</v>
      </c>
      <c r="D28" s="11" t="s">
        <v>2</v>
      </c>
      <c r="E28" s="12" t="s">
        <v>3</v>
      </c>
      <c r="F28" s="43" t="s">
        <v>15</v>
      </c>
      <c r="G28" s="52" t="s">
        <v>21</v>
      </c>
      <c r="H28" s="43" t="s">
        <v>15</v>
      </c>
      <c r="I28" s="52" t="s">
        <v>21</v>
      </c>
    </row>
    <row r="29" spans="1:9" x14ac:dyDescent="0.3">
      <c r="A29" s="15"/>
      <c r="B29" s="92" t="s">
        <v>86</v>
      </c>
      <c r="C29" s="17">
        <v>2.86</v>
      </c>
      <c r="D29" s="17">
        <v>0.98</v>
      </c>
      <c r="E29" s="35">
        <v>0.87</v>
      </c>
      <c r="F29" s="44">
        <v>8821</v>
      </c>
      <c r="G29" s="60">
        <v>8612</v>
      </c>
      <c r="H29" s="44">
        <f t="shared" ref="H29:H30" si="4">F29*0.85</f>
        <v>7497.8499999999995</v>
      </c>
      <c r="I29" s="60">
        <f t="shared" ref="I29:I30" si="5">G29*0.85</f>
        <v>7320.2</v>
      </c>
    </row>
    <row r="30" spans="1:9" x14ac:dyDescent="0.3">
      <c r="A30" s="19"/>
      <c r="B30" s="92" t="s">
        <v>75</v>
      </c>
      <c r="C30" s="17">
        <v>2.86</v>
      </c>
      <c r="D30" s="17">
        <v>0.98</v>
      </c>
      <c r="E30" s="35">
        <v>0.87</v>
      </c>
      <c r="F30" s="44">
        <v>2390</v>
      </c>
      <c r="G30" s="60">
        <v>2390</v>
      </c>
      <c r="H30" s="44">
        <f t="shared" si="4"/>
        <v>2031.5</v>
      </c>
      <c r="I30" s="60">
        <f t="shared" si="5"/>
        <v>2031.5</v>
      </c>
    </row>
    <row r="31" spans="1:9" x14ac:dyDescent="0.3">
      <c r="A31" s="19"/>
      <c r="B31" s="69"/>
      <c r="C31" s="17"/>
      <c r="D31" s="17"/>
      <c r="E31" s="35"/>
      <c r="F31" s="44"/>
      <c r="G31" s="60"/>
      <c r="H31" s="44"/>
      <c r="I31" s="60"/>
    </row>
    <row r="32" spans="1:9" x14ac:dyDescent="0.3">
      <c r="A32" s="19"/>
      <c r="B32" s="69"/>
      <c r="C32" s="17"/>
      <c r="D32" s="17"/>
      <c r="E32" s="35"/>
      <c r="F32" s="44"/>
      <c r="G32" s="55"/>
      <c r="H32" s="44"/>
      <c r="I32" s="55"/>
    </row>
    <row r="33" spans="1:9" x14ac:dyDescent="0.3">
      <c r="A33" s="19"/>
      <c r="B33" s="69"/>
      <c r="C33" s="17"/>
      <c r="D33" s="17"/>
      <c r="E33" s="35"/>
      <c r="F33" s="44"/>
      <c r="G33" s="55"/>
      <c r="H33" s="44"/>
      <c r="I33" s="55"/>
    </row>
    <row r="34" spans="1:9" x14ac:dyDescent="0.3">
      <c r="A34" s="19"/>
      <c r="B34" s="69"/>
      <c r="C34" s="17"/>
      <c r="D34" s="17"/>
      <c r="E34" s="35"/>
      <c r="F34" s="44"/>
      <c r="G34" s="55"/>
      <c r="H34" s="44"/>
      <c r="I34" s="55"/>
    </row>
    <row r="35" spans="1:9" x14ac:dyDescent="0.3">
      <c r="A35" s="19"/>
      <c r="B35" s="69"/>
      <c r="C35" s="17"/>
      <c r="D35" s="17"/>
      <c r="E35" s="35"/>
      <c r="F35" s="44"/>
      <c r="G35" s="55"/>
      <c r="H35" s="44"/>
      <c r="I35" s="55"/>
    </row>
    <row r="36" spans="1:9" x14ac:dyDescent="0.3">
      <c r="A36" s="19"/>
      <c r="B36" s="69"/>
      <c r="C36" s="17"/>
      <c r="D36" s="17"/>
      <c r="E36" s="35"/>
      <c r="F36" s="44"/>
      <c r="G36" s="55"/>
      <c r="H36" s="44"/>
      <c r="I36" s="55"/>
    </row>
    <row r="37" spans="1:9" x14ac:dyDescent="0.3">
      <c r="A37" s="70"/>
      <c r="B37" s="128" t="s">
        <v>55</v>
      </c>
      <c r="C37" s="107" t="s">
        <v>57</v>
      </c>
      <c r="D37" s="108"/>
      <c r="E37" s="109"/>
      <c r="F37" s="44"/>
      <c r="G37" s="55"/>
      <c r="H37" s="44"/>
      <c r="I37" s="55"/>
    </row>
    <row r="38" spans="1:9" x14ac:dyDescent="0.3">
      <c r="A38" s="71"/>
      <c r="B38" s="128"/>
      <c r="C38" s="110"/>
      <c r="D38" s="111"/>
      <c r="E38" s="112"/>
      <c r="F38" s="45"/>
      <c r="G38" s="55"/>
      <c r="H38" s="45"/>
      <c r="I38" s="55"/>
    </row>
    <row r="39" spans="1:9" ht="15.6" customHeight="1" x14ac:dyDescent="0.3">
      <c r="A39" s="64"/>
      <c r="B39" s="128" t="s">
        <v>56</v>
      </c>
      <c r="C39" s="22"/>
      <c r="D39" s="22"/>
      <c r="E39" s="39"/>
      <c r="F39" s="46"/>
      <c r="G39" s="55"/>
      <c r="H39" s="46"/>
      <c r="I39" s="55"/>
    </row>
    <row r="40" spans="1:9" ht="15.6" customHeight="1" x14ac:dyDescent="0.3">
      <c r="A40" s="3"/>
      <c r="B40" s="128"/>
      <c r="C40" s="113" t="s">
        <v>17</v>
      </c>
      <c r="D40" s="114"/>
      <c r="E40" s="115"/>
      <c r="F40" s="121">
        <f t="shared" ref="F40:G40" si="6">SUM(F29:F39)</f>
        <v>11211</v>
      </c>
      <c r="G40" s="123">
        <f t="shared" si="6"/>
        <v>11002</v>
      </c>
      <c r="H40" s="121">
        <f t="shared" ref="H40:I40" si="7">SUM(H29:H39)</f>
        <v>9529.3499999999985</v>
      </c>
      <c r="I40" s="123">
        <f t="shared" si="7"/>
        <v>9351.7000000000007</v>
      </c>
    </row>
    <row r="41" spans="1:9" x14ac:dyDescent="0.3">
      <c r="A41" s="7"/>
      <c r="B41" s="16"/>
      <c r="C41" s="116"/>
      <c r="D41" s="117"/>
      <c r="E41" s="118"/>
      <c r="F41" s="122"/>
      <c r="G41" s="124"/>
      <c r="H41" s="122"/>
      <c r="I41" s="124"/>
    </row>
    <row r="42" spans="1:9" x14ac:dyDescent="0.3">
      <c r="A42" s="9" t="s">
        <v>23</v>
      </c>
      <c r="B42" s="10" t="s">
        <v>0</v>
      </c>
      <c r="C42" s="11" t="s">
        <v>1</v>
      </c>
      <c r="D42" s="11" t="s">
        <v>2</v>
      </c>
      <c r="E42" s="12" t="s">
        <v>3</v>
      </c>
      <c r="F42" s="43" t="s">
        <v>5</v>
      </c>
      <c r="G42" s="52" t="s">
        <v>21</v>
      </c>
      <c r="H42" s="43" t="s">
        <v>5</v>
      </c>
      <c r="I42" s="52" t="s">
        <v>21</v>
      </c>
    </row>
    <row r="43" spans="1:9" x14ac:dyDescent="0.3">
      <c r="A43" s="15"/>
      <c r="B43" s="96" t="s">
        <v>60</v>
      </c>
      <c r="C43" s="17">
        <v>2.9</v>
      </c>
      <c r="D43" s="17">
        <v>1.02</v>
      </c>
      <c r="E43" s="35">
        <v>0.9</v>
      </c>
      <c r="F43" s="44">
        <v>8075</v>
      </c>
      <c r="G43" s="59">
        <v>7303</v>
      </c>
      <c r="H43" s="44">
        <f t="shared" ref="H43:I43" si="8">F43*0.85</f>
        <v>6863.75</v>
      </c>
      <c r="I43" s="59">
        <f t="shared" si="8"/>
        <v>6207.55</v>
      </c>
    </row>
    <row r="44" spans="1:9" ht="17.399999999999999" customHeight="1" x14ac:dyDescent="0.3">
      <c r="A44" s="19"/>
      <c r="B44" s="25"/>
      <c r="C44" s="17"/>
      <c r="D44" s="17"/>
      <c r="E44" s="35"/>
      <c r="F44" s="44"/>
      <c r="G44" s="59"/>
      <c r="H44" s="44"/>
      <c r="I44" s="59"/>
    </row>
    <row r="45" spans="1:9" x14ac:dyDescent="0.3">
      <c r="A45" s="19"/>
      <c r="B45" s="25"/>
      <c r="C45" s="17"/>
      <c r="D45" s="17"/>
      <c r="E45" s="35"/>
      <c r="F45" s="44"/>
      <c r="G45" s="59"/>
      <c r="H45" s="44"/>
      <c r="I45" s="59"/>
    </row>
    <row r="46" spans="1:9" x14ac:dyDescent="0.3">
      <c r="A46" s="19"/>
      <c r="B46" s="42"/>
      <c r="C46" s="17"/>
      <c r="D46" s="17"/>
      <c r="E46" s="35"/>
      <c r="F46" s="44"/>
      <c r="G46" s="59"/>
      <c r="H46" s="44"/>
      <c r="I46" s="59"/>
    </row>
    <row r="47" spans="1:9" x14ac:dyDescent="0.3">
      <c r="A47" s="19"/>
      <c r="B47" s="42"/>
      <c r="C47" s="17"/>
      <c r="D47" s="17"/>
      <c r="E47" s="35"/>
      <c r="F47" s="44"/>
      <c r="G47" s="59"/>
      <c r="H47" s="44"/>
      <c r="I47" s="59"/>
    </row>
    <row r="48" spans="1:9" x14ac:dyDescent="0.3">
      <c r="A48" s="19"/>
      <c r="B48" s="25"/>
      <c r="C48" s="17"/>
      <c r="D48" s="17"/>
      <c r="E48" s="35"/>
      <c r="F48" s="44"/>
      <c r="G48" s="59"/>
      <c r="H48" s="44"/>
      <c r="I48" s="59"/>
    </row>
    <row r="49" spans="1:9" x14ac:dyDescent="0.3">
      <c r="A49" s="19"/>
      <c r="B49" s="119" t="s">
        <v>58</v>
      </c>
      <c r="C49" s="107" t="s">
        <v>59</v>
      </c>
      <c r="D49" s="108"/>
      <c r="E49" s="109"/>
      <c r="F49" s="44"/>
      <c r="G49" s="59"/>
      <c r="H49" s="44"/>
      <c r="I49" s="59"/>
    </row>
    <row r="50" spans="1:9" ht="15.6" customHeight="1" x14ac:dyDescent="0.3">
      <c r="A50" s="19"/>
      <c r="B50" s="120"/>
      <c r="C50" s="110"/>
      <c r="D50" s="111"/>
      <c r="E50" s="112"/>
      <c r="F50" s="44"/>
      <c r="G50" s="59"/>
      <c r="H50" s="44"/>
      <c r="I50" s="59"/>
    </row>
    <row r="51" spans="1:9" ht="15.6" customHeight="1" x14ac:dyDescent="0.3">
      <c r="A51" s="19"/>
      <c r="B51" s="73"/>
      <c r="C51" s="73"/>
      <c r="D51" s="73"/>
      <c r="E51" s="73"/>
      <c r="F51" s="44"/>
      <c r="G51" s="61"/>
      <c r="H51" s="44"/>
      <c r="I51" s="61"/>
    </row>
    <row r="52" spans="1:9" ht="15.6" customHeight="1" x14ac:dyDescent="0.35">
      <c r="A52" s="21" t="s">
        <v>8</v>
      </c>
      <c r="B52" s="41"/>
      <c r="C52" s="113" t="s">
        <v>17</v>
      </c>
      <c r="D52" s="114"/>
      <c r="E52" s="115"/>
      <c r="F52" s="121">
        <f>SUM(F43:F47)</f>
        <v>8075</v>
      </c>
      <c r="G52" s="123">
        <f>SUM(G43:G51)</f>
        <v>7303</v>
      </c>
      <c r="H52" s="121">
        <f>SUM(H43:H47)</f>
        <v>6863.75</v>
      </c>
      <c r="I52" s="123">
        <f>SUM(I43:I51)</f>
        <v>6207.55</v>
      </c>
    </row>
    <row r="53" spans="1:9" ht="15.6" customHeight="1" x14ac:dyDescent="0.3">
      <c r="A53" s="34" t="s">
        <v>12</v>
      </c>
      <c r="B53" s="16"/>
      <c r="C53" s="116"/>
      <c r="D53" s="117"/>
      <c r="E53" s="118"/>
      <c r="F53" s="122"/>
      <c r="G53" s="124"/>
      <c r="H53" s="122"/>
      <c r="I53" s="124"/>
    </row>
    <row r="54" spans="1:9" x14ac:dyDescent="0.3">
      <c r="A54" s="9" t="s">
        <v>37</v>
      </c>
      <c r="B54" s="10" t="s">
        <v>0</v>
      </c>
      <c r="C54" s="11" t="s">
        <v>1</v>
      </c>
      <c r="D54" s="11" t="s">
        <v>2</v>
      </c>
      <c r="E54" s="12" t="s">
        <v>3</v>
      </c>
      <c r="F54" s="43" t="s">
        <v>4</v>
      </c>
      <c r="G54" s="52" t="s">
        <v>21</v>
      </c>
      <c r="H54" s="43" t="s">
        <v>4</v>
      </c>
      <c r="I54" s="52" t="s">
        <v>21</v>
      </c>
    </row>
    <row r="55" spans="1:9" x14ac:dyDescent="0.3">
      <c r="A55" s="15"/>
      <c r="B55" s="96" t="s">
        <v>76</v>
      </c>
      <c r="C55" s="17">
        <v>1.6</v>
      </c>
      <c r="D55" s="17">
        <v>1.02</v>
      </c>
      <c r="E55" s="35">
        <v>0.8</v>
      </c>
      <c r="F55" s="44">
        <v>6846</v>
      </c>
      <c r="G55" s="59">
        <v>6177</v>
      </c>
      <c r="H55" s="44">
        <f t="shared" ref="H55:H56" si="9">F55*0.85</f>
        <v>5819.0999999999995</v>
      </c>
      <c r="I55" s="59">
        <f t="shared" ref="I55:I56" si="10">G55*0.85</f>
        <v>5250.45</v>
      </c>
    </row>
    <row r="56" spans="1:9" ht="17.399999999999999" customHeight="1" x14ac:dyDescent="0.3">
      <c r="A56" s="19"/>
      <c r="B56" s="96" t="s">
        <v>76</v>
      </c>
      <c r="C56" s="17">
        <v>1.6</v>
      </c>
      <c r="D56" s="17">
        <v>1.02</v>
      </c>
      <c r="E56" s="35">
        <v>0.8</v>
      </c>
      <c r="F56" s="44">
        <v>6846</v>
      </c>
      <c r="G56" s="59">
        <v>6177</v>
      </c>
      <c r="H56" s="44">
        <f t="shared" si="9"/>
        <v>5819.0999999999995</v>
      </c>
      <c r="I56" s="59">
        <f t="shared" si="10"/>
        <v>5250.45</v>
      </c>
    </row>
    <row r="57" spans="1:9" x14ac:dyDescent="0.3">
      <c r="A57" s="19"/>
      <c r="B57" s="25"/>
      <c r="C57" s="17"/>
      <c r="D57" s="17"/>
      <c r="E57" s="35"/>
      <c r="F57" s="44"/>
      <c r="G57" s="59"/>
      <c r="H57" s="44"/>
      <c r="I57" s="59"/>
    </row>
    <row r="58" spans="1:9" x14ac:dyDescent="0.3">
      <c r="A58" s="19"/>
      <c r="B58" s="42"/>
      <c r="C58" s="17"/>
      <c r="D58" s="17"/>
      <c r="E58" s="35"/>
      <c r="F58" s="44"/>
      <c r="G58" s="59"/>
      <c r="H58" s="44"/>
      <c r="I58" s="59"/>
    </row>
    <row r="59" spans="1:9" x14ac:dyDescent="0.3">
      <c r="A59" s="19"/>
      <c r="B59" s="42"/>
      <c r="C59" s="17"/>
      <c r="D59" s="17"/>
      <c r="E59" s="35"/>
      <c r="F59" s="44"/>
      <c r="G59" s="59"/>
      <c r="H59" s="44"/>
      <c r="I59" s="59"/>
    </row>
    <row r="60" spans="1:9" x14ac:dyDescent="0.3">
      <c r="A60" s="19"/>
      <c r="B60" s="25"/>
      <c r="C60" s="17"/>
      <c r="D60" s="17"/>
      <c r="E60" s="35"/>
      <c r="F60" s="44"/>
      <c r="G60" s="59"/>
      <c r="H60" s="44"/>
      <c r="I60" s="59"/>
    </row>
    <row r="61" spans="1:9" x14ac:dyDescent="0.3">
      <c r="A61" s="19"/>
      <c r="B61" s="119" t="s">
        <v>61</v>
      </c>
      <c r="C61" s="107" t="s">
        <v>87</v>
      </c>
      <c r="D61" s="108"/>
      <c r="E61" s="109"/>
      <c r="F61" s="44"/>
      <c r="G61" s="59"/>
      <c r="H61" s="44"/>
      <c r="I61" s="59"/>
    </row>
    <row r="62" spans="1:9" ht="15.6" customHeight="1" x14ac:dyDescent="0.3">
      <c r="A62" s="19"/>
      <c r="B62" s="120"/>
      <c r="C62" s="110"/>
      <c r="D62" s="111"/>
      <c r="E62" s="112"/>
      <c r="F62" s="44"/>
      <c r="G62" s="59"/>
      <c r="H62" s="44"/>
      <c r="I62" s="59"/>
    </row>
    <row r="63" spans="1:9" ht="15.6" customHeight="1" x14ac:dyDescent="0.3">
      <c r="A63" s="19"/>
      <c r="B63" s="73"/>
      <c r="C63" s="73"/>
      <c r="D63" s="73"/>
      <c r="E63" s="73"/>
      <c r="F63" s="44"/>
      <c r="G63" s="61"/>
      <c r="H63" s="44"/>
      <c r="I63" s="61"/>
    </row>
    <row r="64" spans="1:9" ht="15.6" customHeight="1" x14ac:dyDescent="0.35">
      <c r="A64" s="21" t="s">
        <v>8</v>
      </c>
      <c r="B64" s="41"/>
      <c r="C64" s="113" t="s">
        <v>17</v>
      </c>
      <c r="D64" s="114"/>
      <c r="E64" s="115"/>
      <c r="F64" s="121">
        <f>SUM(F55:F59)</f>
        <v>13692</v>
      </c>
      <c r="G64" s="123">
        <f>SUM(G55:G63)</f>
        <v>12354</v>
      </c>
      <c r="H64" s="121">
        <f>SUM(H55:H59)</f>
        <v>11638.199999999999</v>
      </c>
      <c r="I64" s="123">
        <f>SUM(I55:I63)</f>
        <v>10500.9</v>
      </c>
    </row>
    <row r="65" spans="1:9" ht="15.6" customHeight="1" x14ac:dyDescent="0.3">
      <c r="A65" s="34" t="s">
        <v>12</v>
      </c>
      <c r="B65" s="16"/>
      <c r="C65" s="116"/>
      <c r="D65" s="117"/>
      <c r="E65" s="118"/>
      <c r="F65" s="122"/>
      <c r="G65" s="124"/>
      <c r="H65" s="122"/>
      <c r="I65" s="124"/>
    </row>
    <row r="66" spans="1:9" x14ac:dyDescent="0.3">
      <c r="A66" s="75" t="s">
        <v>36</v>
      </c>
      <c r="B66" s="10" t="s">
        <v>0</v>
      </c>
      <c r="C66" s="11" t="s">
        <v>1</v>
      </c>
      <c r="D66" s="11" t="s">
        <v>2</v>
      </c>
      <c r="E66" s="12" t="s">
        <v>3</v>
      </c>
      <c r="F66" s="43" t="s">
        <v>4</v>
      </c>
      <c r="G66" s="52" t="s">
        <v>21</v>
      </c>
      <c r="H66" s="43" t="s">
        <v>4</v>
      </c>
      <c r="I66" s="52" t="s">
        <v>21</v>
      </c>
    </row>
    <row r="67" spans="1:9" x14ac:dyDescent="0.3">
      <c r="A67" s="15"/>
      <c r="B67" s="93" t="s">
        <v>77</v>
      </c>
      <c r="C67" s="17">
        <v>1.2</v>
      </c>
      <c r="D67" s="17">
        <v>0.95</v>
      </c>
      <c r="E67" s="35">
        <v>0.93</v>
      </c>
      <c r="F67" s="44">
        <v>4090</v>
      </c>
      <c r="G67" s="59">
        <v>3522</v>
      </c>
      <c r="H67" s="44">
        <f t="shared" ref="H67:H69" si="11">F67*0.85</f>
        <v>3476.5</v>
      </c>
      <c r="I67" s="59">
        <f t="shared" ref="I67:I69" si="12">G67*0.85</f>
        <v>2993.7</v>
      </c>
    </row>
    <row r="68" spans="1:9" x14ac:dyDescent="0.3">
      <c r="A68" s="19"/>
      <c r="B68" s="96" t="s">
        <v>78</v>
      </c>
      <c r="C68" s="17">
        <v>2.1</v>
      </c>
      <c r="D68" s="17">
        <v>1.1399999999999999</v>
      </c>
      <c r="E68" s="35">
        <v>0.93</v>
      </c>
      <c r="F68" s="44">
        <v>6456</v>
      </c>
      <c r="G68" s="59">
        <v>5517</v>
      </c>
      <c r="H68" s="44">
        <f t="shared" si="11"/>
        <v>5487.5999999999995</v>
      </c>
      <c r="I68" s="59">
        <f t="shared" si="12"/>
        <v>4689.45</v>
      </c>
    </row>
    <row r="69" spans="1:9" x14ac:dyDescent="0.3">
      <c r="A69" s="19"/>
      <c r="B69" s="96" t="s">
        <v>77</v>
      </c>
      <c r="C69" s="17">
        <v>1.2</v>
      </c>
      <c r="D69" s="17">
        <v>0.95</v>
      </c>
      <c r="E69" s="35">
        <v>0.93</v>
      </c>
      <c r="F69" s="44">
        <v>4090</v>
      </c>
      <c r="G69" s="59">
        <v>3522</v>
      </c>
      <c r="H69" s="44">
        <f t="shared" si="11"/>
        <v>3476.5</v>
      </c>
      <c r="I69" s="59">
        <f t="shared" si="12"/>
        <v>2993.7</v>
      </c>
    </row>
    <row r="70" spans="1:9" x14ac:dyDescent="0.3">
      <c r="A70" s="19"/>
      <c r="B70" s="96"/>
      <c r="C70" s="17"/>
      <c r="D70" s="17"/>
      <c r="E70" s="35"/>
      <c r="F70" s="44"/>
      <c r="G70" s="59"/>
      <c r="H70" s="44"/>
      <c r="I70" s="59"/>
    </row>
    <row r="71" spans="1:9" x14ac:dyDescent="0.3">
      <c r="A71" s="19"/>
      <c r="B71" s="96"/>
      <c r="C71" s="17"/>
      <c r="D71" s="17"/>
      <c r="E71" s="35"/>
      <c r="F71" s="44"/>
      <c r="G71" s="59"/>
      <c r="H71" s="44"/>
      <c r="I71" s="59"/>
    </row>
    <row r="72" spans="1:9" x14ac:dyDescent="0.3">
      <c r="A72" s="19"/>
      <c r="B72" s="84"/>
      <c r="C72" s="17"/>
      <c r="D72" s="17"/>
      <c r="E72" s="35"/>
      <c r="F72" s="44"/>
      <c r="G72" s="59"/>
      <c r="H72" s="44"/>
      <c r="I72" s="59"/>
    </row>
    <row r="73" spans="1:9" x14ac:dyDescent="0.3">
      <c r="A73" s="19"/>
      <c r="B73" s="84"/>
      <c r="C73" s="17"/>
      <c r="D73" s="17"/>
      <c r="E73" s="35"/>
      <c r="F73" s="44"/>
      <c r="G73" s="59"/>
      <c r="H73" s="44"/>
      <c r="I73" s="59"/>
    </row>
    <row r="74" spans="1:9" x14ac:dyDescent="0.3">
      <c r="A74" s="19"/>
      <c r="B74" s="16"/>
      <c r="C74" s="17"/>
      <c r="D74" s="17"/>
      <c r="E74" s="35"/>
      <c r="F74" s="44"/>
      <c r="G74" s="59"/>
      <c r="H74" s="44"/>
      <c r="I74" s="59"/>
    </row>
    <row r="75" spans="1:9" x14ac:dyDescent="0.3">
      <c r="A75" s="19"/>
      <c r="B75" s="128" t="s">
        <v>91</v>
      </c>
      <c r="C75" s="107" t="s">
        <v>88</v>
      </c>
      <c r="D75" s="108"/>
      <c r="E75" s="109"/>
      <c r="F75" s="44"/>
      <c r="G75" s="59"/>
      <c r="H75" s="44"/>
      <c r="I75" s="59"/>
    </row>
    <row r="76" spans="1:9" ht="15.6" customHeight="1" x14ac:dyDescent="0.3">
      <c r="A76" s="23"/>
      <c r="B76" s="128"/>
      <c r="C76" s="110"/>
      <c r="D76" s="111"/>
      <c r="E76" s="112"/>
      <c r="F76" s="45"/>
      <c r="G76" s="58"/>
      <c r="H76" s="45"/>
      <c r="I76" s="58"/>
    </row>
    <row r="77" spans="1:9" ht="15.6" customHeight="1" x14ac:dyDescent="0.3">
      <c r="A77" s="74"/>
      <c r="B77" s="16"/>
      <c r="C77" s="17"/>
      <c r="D77" s="17"/>
      <c r="E77" s="39"/>
      <c r="F77" s="48"/>
      <c r="G77" s="62"/>
      <c r="H77" s="48"/>
      <c r="I77" s="62"/>
    </row>
    <row r="78" spans="1:9" ht="14.4" customHeight="1" x14ac:dyDescent="0.3">
      <c r="A78" s="21" t="s">
        <v>8</v>
      </c>
      <c r="B78" s="20"/>
      <c r="C78" s="113" t="s">
        <v>17</v>
      </c>
      <c r="D78" s="114"/>
      <c r="E78" s="115"/>
      <c r="F78" s="121">
        <f>SUM(F67:F77)</f>
        <v>14636</v>
      </c>
      <c r="G78" s="123">
        <f>SUM(G67:G77)</f>
        <v>12561</v>
      </c>
      <c r="H78" s="121">
        <f>SUM(H67:H77)</f>
        <v>12440.599999999999</v>
      </c>
      <c r="I78" s="123">
        <f>SUM(I67:I77)</f>
        <v>10676.849999999999</v>
      </c>
    </row>
    <row r="79" spans="1:9" ht="14.4" customHeight="1" x14ac:dyDescent="0.3">
      <c r="A79" s="34" t="s">
        <v>11</v>
      </c>
      <c r="B79" s="16"/>
      <c r="C79" s="116"/>
      <c r="D79" s="117"/>
      <c r="E79" s="118"/>
      <c r="F79" s="122"/>
      <c r="G79" s="124"/>
      <c r="H79" s="122"/>
      <c r="I79" s="124"/>
    </row>
    <row r="80" spans="1:9" s="103" customFormat="1" ht="14.4" customHeight="1" x14ac:dyDescent="0.3">
      <c r="A80" s="105"/>
      <c r="B80" s="101"/>
      <c r="C80" s="102"/>
      <c r="D80" s="102"/>
      <c r="E80" s="102"/>
      <c r="F80" s="104"/>
      <c r="G80" s="104"/>
      <c r="H80" s="104"/>
      <c r="I80" s="104"/>
    </row>
    <row r="81" spans="1:9" s="103" customFormat="1" ht="14.4" customHeight="1" x14ac:dyDescent="0.3">
      <c r="A81" s="105"/>
      <c r="B81" s="101"/>
      <c r="C81" s="102"/>
      <c r="D81" s="102"/>
      <c r="E81" s="102"/>
      <c r="F81" s="104"/>
      <c r="G81" s="104"/>
      <c r="H81" s="104"/>
      <c r="I81" s="104"/>
    </row>
    <row r="82" spans="1:9" s="103" customFormat="1" ht="14.4" customHeight="1" x14ac:dyDescent="0.3">
      <c r="A82" s="105"/>
      <c r="B82" s="101"/>
      <c r="C82" s="102"/>
      <c r="D82" s="102"/>
      <c r="E82" s="102"/>
      <c r="F82" s="104"/>
      <c r="G82" s="104"/>
      <c r="H82" s="104"/>
      <c r="I82" s="104"/>
    </row>
    <row r="83" spans="1:9" s="103" customFormat="1" ht="14.4" customHeight="1" x14ac:dyDescent="0.3">
      <c r="A83" s="105"/>
      <c r="B83" s="101"/>
      <c r="C83" s="102"/>
      <c r="D83" s="102"/>
      <c r="E83" s="102"/>
      <c r="F83" s="104"/>
      <c r="G83" s="104"/>
      <c r="H83" s="104"/>
      <c r="I83" s="104"/>
    </row>
    <row r="84" spans="1:9" s="103" customFormat="1" ht="14.4" customHeight="1" x14ac:dyDescent="0.3">
      <c r="A84" s="105"/>
      <c r="B84" s="101"/>
      <c r="C84" s="102"/>
      <c r="D84" s="102"/>
      <c r="E84" s="102"/>
      <c r="F84" s="104"/>
      <c r="G84" s="104"/>
      <c r="H84" s="104"/>
      <c r="I84" s="104"/>
    </row>
    <row r="85" spans="1:9" s="103" customFormat="1" ht="14.4" customHeight="1" x14ac:dyDescent="0.3">
      <c r="A85" s="105"/>
      <c r="B85" s="101"/>
      <c r="C85" s="102"/>
      <c r="D85" s="102"/>
      <c r="E85" s="102"/>
      <c r="F85" s="104"/>
      <c r="G85" s="104"/>
      <c r="H85" s="104"/>
      <c r="I85" s="104"/>
    </row>
    <row r="86" spans="1:9" s="103" customFormat="1" ht="14.4" customHeight="1" x14ac:dyDescent="0.3">
      <c r="A86" s="105"/>
      <c r="B86" s="101"/>
      <c r="C86" s="102"/>
      <c r="D86" s="102"/>
      <c r="E86" s="102"/>
      <c r="F86" s="104"/>
      <c r="G86" s="104"/>
      <c r="H86" s="104"/>
      <c r="I86" s="104"/>
    </row>
    <row r="87" spans="1:9" x14ac:dyDescent="0.3">
      <c r="A87" s="9" t="s">
        <v>24</v>
      </c>
      <c r="B87" s="10" t="s">
        <v>0</v>
      </c>
      <c r="C87" s="11" t="s">
        <v>1</v>
      </c>
      <c r="D87" s="11" t="s">
        <v>2</v>
      </c>
      <c r="E87" s="12" t="s">
        <v>3</v>
      </c>
      <c r="F87" s="43" t="s">
        <v>94</v>
      </c>
      <c r="G87" s="52" t="s">
        <v>21</v>
      </c>
      <c r="H87" s="43" t="s">
        <v>94</v>
      </c>
      <c r="I87" s="52" t="s">
        <v>21</v>
      </c>
    </row>
    <row r="88" spans="1:9" x14ac:dyDescent="0.3">
      <c r="A88" s="15"/>
      <c r="B88" s="16" t="s">
        <v>62</v>
      </c>
      <c r="C88" s="17">
        <v>1.1200000000000001</v>
      </c>
      <c r="D88" s="17">
        <v>1.04</v>
      </c>
      <c r="E88" s="35">
        <v>1</v>
      </c>
      <c r="F88" s="44">
        <v>4059</v>
      </c>
      <c r="G88" s="59">
        <v>3127</v>
      </c>
      <c r="H88" s="44">
        <f t="shared" ref="H88:H90" si="13">F88*0.85</f>
        <v>3450.15</v>
      </c>
      <c r="I88" s="59">
        <f t="shared" ref="I88:I90" si="14">G88*0.85</f>
        <v>2657.95</v>
      </c>
    </row>
    <row r="89" spans="1:9" x14ac:dyDescent="0.3">
      <c r="A89" s="19"/>
      <c r="B89" s="16" t="s">
        <v>89</v>
      </c>
      <c r="C89" s="17">
        <v>1.1000000000000001</v>
      </c>
      <c r="D89" s="17">
        <v>1.04</v>
      </c>
      <c r="E89" s="35">
        <v>1</v>
      </c>
      <c r="F89" s="44">
        <v>3465</v>
      </c>
      <c r="G89" s="59">
        <v>2754</v>
      </c>
      <c r="H89" s="44">
        <f t="shared" si="13"/>
        <v>2945.25</v>
      </c>
      <c r="I89" s="59">
        <f t="shared" si="14"/>
        <v>2340.9</v>
      </c>
    </row>
    <row r="90" spans="1:9" x14ac:dyDescent="0.3">
      <c r="A90" s="19"/>
      <c r="B90" s="16" t="s">
        <v>62</v>
      </c>
      <c r="C90" s="17">
        <v>1.1200000000000001</v>
      </c>
      <c r="D90" s="17">
        <v>1.04</v>
      </c>
      <c r="E90" s="35">
        <v>1</v>
      </c>
      <c r="F90" s="44">
        <v>4059</v>
      </c>
      <c r="G90" s="59">
        <v>3127</v>
      </c>
      <c r="H90" s="44">
        <f t="shared" si="13"/>
        <v>3450.15</v>
      </c>
      <c r="I90" s="59">
        <f t="shared" si="14"/>
        <v>2657.95</v>
      </c>
    </row>
    <row r="91" spans="1:9" x14ac:dyDescent="0.3">
      <c r="A91" s="19"/>
      <c r="B91" s="16"/>
      <c r="C91" s="17"/>
      <c r="D91" s="17"/>
      <c r="E91" s="35"/>
      <c r="F91" s="44"/>
      <c r="G91" s="59"/>
      <c r="H91" s="44"/>
      <c r="I91" s="59"/>
    </row>
    <row r="92" spans="1:9" x14ac:dyDescent="0.3">
      <c r="A92" s="19"/>
      <c r="B92" s="16"/>
      <c r="C92" s="17"/>
      <c r="D92" s="17"/>
      <c r="E92" s="35"/>
      <c r="F92" s="44"/>
      <c r="G92" s="59"/>
      <c r="H92" s="44"/>
      <c r="I92" s="59"/>
    </row>
    <row r="93" spans="1:9" x14ac:dyDescent="0.3">
      <c r="A93" s="19"/>
      <c r="B93" s="125" t="s">
        <v>32</v>
      </c>
      <c r="C93" s="126"/>
      <c r="D93" s="126"/>
      <c r="E93" s="127"/>
      <c r="F93" s="83">
        <v>4802</v>
      </c>
      <c r="G93" s="83">
        <v>4802</v>
      </c>
      <c r="H93" s="83">
        <v>4802</v>
      </c>
      <c r="I93" s="83">
        <v>4802</v>
      </c>
    </row>
    <row r="94" spans="1:9" x14ac:dyDescent="0.3">
      <c r="A94" s="19"/>
      <c r="B94" s="128" t="s">
        <v>93</v>
      </c>
      <c r="C94" s="107" t="s">
        <v>63</v>
      </c>
      <c r="D94" s="108"/>
      <c r="E94" s="109"/>
      <c r="F94" s="44"/>
      <c r="G94" s="59"/>
      <c r="H94" s="44"/>
      <c r="I94" s="59"/>
    </row>
    <row r="95" spans="1:9" x14ac:dyDescent="0.3">
      <c r="A95" s="23"/>
      <c r="B95" s="128"/>
      <c r="C95" s="110"/>
      <c r="D95" s="111"/>
      <c r="E95" s="112"/>
      <c r="F95" s="45"/>
      <c r="G95" s="58"/>
      <c r="H95" s="45"/>
      <c r="I95" s="58"/>
    </row>
    <row r="96" spans="1:9" ht="15" customHeight="1" x14ac:dyDescent="0.3">
      <c r="A96" s="4" t="s">
        <v>30</v>
      </c>
      <c r="B96" s="16"/>
      <c r="C96" s="17"/>
      <c r="D96" s="17"/>
      <c r="E96" s="39"/>
      <c r="F96" s="48"/>
      <c r="G96" s="62"/>
      <c r="H96" s="48"/>
      <c r="I96" s="62"/>
    </row>
    <row r="97" spans="1:9" x14ac:dyDescent="0.3">
      <c r="A97" s="21" t="s">
        <v>8</v>
      </c>
      <c r="B97" s="82" t="s">
        <v>31</v>
      </c>
      <c r="C97" s="113" t="s">
        <v>17</v>
      </c>
      <c r="D97" s="114"/>
      <c r="E97" s="115"/>
      <c r="F97" s="121">
        <f>SUM(F88:F96)</f>
        <v>16385</v>
      </c>
      <c r="G97" s="123">
        <f>SUM(G88:G96)</f>
        <v>13810</v>
      </c>
      <c r="H97" s="121">
        <f>SUM(H88:H96)</f>
        <v>14647.55</v>
      </c>
      <c r="I97" s="123">
        <f>SUM(I88:I96)</f>
        <v>12458.8</v>
      </c>
    </row>
    <row r="98" spans="1:9" x14ac:dyDescent="0.3">
      <c r="A98" s="34" t="s">
        <v>10</v>
      </c>
      <c r="B98" s="16"/>
      <c r="C98" s="116"/>
      <c r="D98" s="117"/>
      <c r="E98" s="118"/>
      <c r="F98" s="122"/>
      <c r="G98" s="124"/>
      <c r="H98" s="122"/>
      <c r="I98" s="124"/>
    </row>
  </sheetData>
  <mergeCells count="52">
    <mergeCell ref="H97:H98"/>
    <mergeCell ref="I97:I98"/>
    <mergeCell ref="H52:H53"/>
    <mergeCell ref="I52:I53"/>
    <mergeCell ref="H64:H65"/>
    <mergeCell ref="I64:I65"/>
    <mergeCell ref="H78:H79"/>
    <mergeCell ref="I78:I79"/>
    <mergeCell ref="H13:H14"/>
    <mergeCell ref="I13:I14"/>
    <mergeCell ref="H25:H26"/>
    <mergeCell ref="I25:I26"/>
    <mergeCell ref="H40:H41"/>
    <mergeCell ref="I40:I41"/>
    <mergeCell ref="F13:F14"/>
    <mergeCell ref="G13:G14"/>
    <mergeCell ref="C94:E95"/>
    <mergeCell ref="B37:B38"/>
    <mergeCell ref="C37:E38"/>
    <mergeCell ref="B49:B50"/>
    <mergeCell ref="B61:B62"/>
    <mergeCell ref="F25:F26"/>
    <mergeCell ref="G25:G26"/>
    <mergeCell ref="B75:B76"/>
    <mergeCell ref="C78:E79"/>
    <mergeCell ref="F78:F79"/>
    <mergeCell ref="G78:G79"/>
    <mergeCell ref="C75:E76"/>
    <mergeCell ref="B39:B40"/>
    <mergeCell ref="C97:E98"/>
    <mergeCell ref="F97:F98"/>
    <mergeCell ref="G97:G98"/>
    <mergeCell ref="F40:F41"/>
    <mergeCell ref="G40:G41"/>
    <mergeCell ref="C49:E50"/>
    <mergeCell ref="C40:E41"/>
    <mergeCell ref="C61:E62"/>
    <mergeCell ref="C64:E65"/>
    <mergeCell ref="F64:F65"/>
    <mergeCell ref="G64:G65"/>
    <mergeCell ref="C52:E53"/>
    <mergeCell ref="F52:F53"/>
    <mergeCell ref="G52:G53"/>
    <mergeCell ref="B93:E93"/>
    <mergeCell ref="B94:B95"/>
    <mergeCell ref="B11:B12"/>
    <mergeCell ref="C11:E12"/>
    <mergeCell ref="C25:E26"/>
    <mergeCell ref="C22:E23"/>
    <mergeCell ref="B22:B23"/>
    <mergeCell ref="B13:B14"/>
    <mergeCell ref="C13:E14"/>
  </mergeCells>
  <phoneticPr fontId="8" type="noConversion"/>
  <hyperlinks>
    <hyperlink ref="A53" r:id="rId1" display="JOÃO V. DEMELE" xr:uid="{91E689ED-14DA-4DE5-93D3-198ED07425ED}"/>
    <hyperlink ref="A27" r:id="rId2" xr:uid="{C2F7555F-3E71-49A7-BA7E-21DE55F3C2E0}"/>
    <hyperlink ref="A79" r:id="rId3" display="JOÃO V. DEMELE" xr:uid="{9E844CF6-26E3-417C-8CFB-5EE74915D51D}"/>
    <hyperlink ref="A98" r:id="rId4" display="JOÃO V. DEMELE" xr:uid="{0BBE7770-5349-43D4-9B0C-861F33398507}"/>
    <hyperlink ref="A65" r:id="rId5" display="JOÃO V. DEMELE" xr:uid="{FDA8700B-1CC9-4A3B-893C-0DFCCFE2A5C6}"/>
  </hyperlinks>
  <pageMargins left="0.51181102362204722" right="0.19685039370078741" top="0.19685039370078741" bottom="0.19685039370078741" header="0" footer="0"/>
  <pageSetup paperSize="9" scale="60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717E-D983-453F-BBCC-6C196A1E2172}">
  <dimension ref="A1:I59"/>
  <sheetViews>
    <sheetView workbookViewId="0">
      <selection activeCell="G1" sqref="F1:G1048576"/>
    </sheetView>
  </sheetViews>
  <sheetFormatPr defaultRowHeight="15.6" x14ac:dyDescent="0.3"/>
  <cols>
    <col min="1" max="1" width="25.33203125" customWidth="1"/>
    <col min="2" max="2" width="29.88671875" style="14" bestFit="1" customWidth="1"/>
    <col min="3" max="3" width="9.88671875" style="14" customWidth="1"/>
    <col min="4" max="4" width="9.33203125" style="14" customWidth="1"/>
    <col min="5" max="5" width="10.33203125" style="14" customWidth="1"/>
    <col min="6" max="6" width="10.21875" style="14" hidden="1" customWidth="1"/>
    <col min="7" max="7" width="16.5546875" hidden="1" customWidth="1"/>
    <col min="8" max="8" width="10.21875" style="14" customWidth="1"/>
    <col min="9" max="9" width="16.5546875" style="94" customWidth="1"/>
  </cols>
  <sheetData>
    <row r="1" spans="1:9" x14ac:dyDescent="0.3">
      <c r="A1" s="1" t="s">
        <v>25</v>
      </c>
      <c r="B1" s="26" t="s">
        <v>0</v>
      </c>
      <c r="C1" s="27" t="s">
        <v>1</v>
      </c>
      <c r="D1" s="27" t="s">
        <v>2</v>
      </c>
      <c r="E1" s="12" t="s">
        <v>3</v>
      </c>
      <c r="F1" s="49" t="s">
        <v>6</v>
      </c>
      <c r="G1" s="52" t="s">
        <v>21</v>
      </c>
      <c r="H1" s="49" t="s">
        <v>6</v>
      </c>
      <c r="I1" s="52" t="s">
        <v>21</v>
      </c>
    </row>
    <row r="2" spans="1:9" x14ac:dyDescent="0.3">
      <c r="A2" s="5"/>
      <c r="B2" s="28" t="s">
        <v>18</v>
      </c>
      <c r="C2" s="29">
        <v>0.9</v>
      </c>
      <c r="D2" s="29">
        <v>0.93</v>
      </c>
      <c r="E2" s="35">
        <v>0.77</v>
      </c>
      <c r="F2" s="47">
        <v>2897</v>
      </c>
      <c r="G2" s="54">
        <v>2178</v>
      </c>
      <c r="H2" s="47">
        <f>F2*0.85</f>
        <v>2462.4499999999998</v>
      </c>
      <c r="I2" s="54">
        <f>G2*0.85</f>
        <v>1851.3</v>
      </c>
    </row>
    <row r="3" spans="1:9" x14ac:dyDescent="0.3">
      <c r="A3" s="5"/>
      <c r="B3" s="28"/>
      <c r="C3" s="29"/>
      <c r="D3" s="29"/>
      <c r="E3" s="35"/>
      <c r="F3" s="47"/>
      <c r="G3" s="54"/>
      <c r="H3" s="47"/>
      <c r="I3" s="54"/>
    </row>
    <row r="4" spans="1:9" x14ac:dyDescent="0.3">
      <c r="A4" s="5"/>
      <c r="B4" s="28"/>
      <c r="C4" s="29"/>
      <c r="D4" s="29"/>
      <c r="E4" s="35"/>
      <c r="F4" s="47"/>
      <c r="G4" s="54"/>
      <c r="H4" s="47"/>
      <c r="I4" s="54"/>
    </row>
    <row r="5" spans="1:9" x14ac:dyDescent="0.3">
      <c r="A5" s="6"/>
      <c r="B5" s="30"/>
      <c r="C5" s="31"/>
      <c r="D5" s="31"/>
      <c r="E5" s="35"/>
      <c r="F5" s="47"/>
      <c r="G5" s="54"/>
      <c r="H5" s="47"/>
      <c r="I5" s="54"/>
    </row>
    <row r="6" spans="1:9" x14ac:dyDescent="0.3">
      <c r="A6" s="5"/>
      <c r="B6" s="32"/>
      <c r="C6" s="29"/>
      <c r="D6" s="129" t="s">
        <v>64</v>
      </c>
      <c r="E6" s="130"/>
      <c r="F6" s="47" t="s">
        <v>7</v>
      </c>
      <c r="G6" s="54" t="s">
        <v>7</v>
      </c>
      <c r="H6" s="47" t="s">
        <v>7</v>
      </c>
      <c r="I6" s="54" t="s">
        <v>7</v>
      </c>
    </row>
    <row r="7" spans="1:9" x14ac:dyDescent="0.3">
      <c r="A7" s="5"/>
      <c r="B7" s="33"/>
      <c r="C7" s="29"/>
      <c r="D7" s="131"/>
      <c r="E7" s="132"/>
      <c r="F7" s="47" t="s">
        <v>7</v>
      </c>
      <c r="G7" s="54" t="s">
        <v>7</v>
      </c>
      <c r="H7" s="47" t="s">
        <v>7</v>
      </c>
      <c r="I7" s="54" t="s">
        <v>7</v>
      </c>
    </row>
    <row r="8" spans="1:9" x14ac:dyDescent="0.3">
      <c r="A8" s="3" t="s">
        <v>8</v>
      </c>
      <c r="B8" s="38" t="s">
        <v>65</v>
      </c>
      <c r="C8" s="29"/>
      <c r="D8" s="29"/>
      <c r="E8" s="35" t="s">
        <v>7</v>
      </c>
      <c r="F8" s="47" t="s">
        <v>7</v>
      </c>
      <c r="G8" s="54" t="s">
        <v>7</v>
      </c>
      <c r="H8" s="47" t="s">
        <v>7</v>
      </c>
      <c r="I8" s="54" t="s">
        <v>7</v>
      </c>
    </row>
    <row r="9" spans="1:9" x14ac:dyDescent="0.3">
      <c r="A9" s="7" t="s">
        <v>9</v>
      </c>
      <c r="B9" s="28"/>
      <c r="C9" s="29"/>
      <c r="D9" s="29"/>
      <c r="E9" s="35" t="s">
        <v>7</v>
      </c>
      <c r="F9" s="47" t="s">
        <v>7</v>
      </c>
      <c r="G9" s="54" t="s">
        <v>7</v>
      </c>
      <c r="H9" s="47" t="s">
        <v>7</v>
      </c>
      <c r="I9" s="54" t="s">
        <v>7</v>
      </c>
    </row>
    <row r="10" spans="1:9" x14ac:dyDescent="0.3">
      <c r="A10" s="1" t="s">
        <v>38</v>
      </c>
      <c r="B10" s="26" t="s">
        <v>0</v>
      </c>
      <c r="C10" s="27" t="s">
        <v>1</v>
      </c>
      <c r="D10" s="27" t="s">
        <v>2</v>
      </c>
      <c r="E10" s="12" t="s">
        <v>3</v>
      </c>
      <c r="F10" s="43" t="s">
        <v>6</v>
      </c>
      <c r="G10" s="52" t="s">
        <v>21</v>
      </c>
      <c r="H10" s="43" t="s">
        <v>6</v>
      </c>
      <c r="I10" s="52" t="s">
        <v>21</v>
      </c>
    </row>
    <row r="11" spans="1:9" x14ac:dyDescent="0.3">
      <c r="A11" s="78"/>
      <c r="B11" s="76" t="s">
        <v>13</v>
      </c>
      <c r="C11" s="77">
        <v>1.1599999999999999</v>
      </c>
      <c r="D11" s="77">
        <v>1.05</v>
      </c>
      <c r="E11" s="35">
        <v>0.78</v>
      </c>
      <c r="F11" s="47">
        <v>5375</v>
      </c>
      <c r="G11" s="54">
        <v>3935</v>
      </c>
      <c r="H11" s="47">
        <f t="shared" ref="H11:I11" si="0">F11*0.85</f>
        <v>4568.75</v>
      </c>
      <c r="I11" s="54">
        <f t="shared" si="0"/>
        <v>3344.75</v>
      </c>
    </row>
    <row r="12" spans="1:9" s="94" customFormat="1" x14ac:dyDescent="0.3">
      <c r="A12" s="79"/>
      <c r="B12" s="76"/>
      <c r="C12" s="77"/>
      <c r="D12" s="77"/>
      <c r="E12" s="35"/>
      <c r="F12" s="47"/>
      <c r="G12" s="54"/>
      <c r="H12" s="47"/>
      <c r="I12" s="54"/>
    </row>
    <row r="13" spans="1:9" s="94" customFormat="1" x14ac:dyDescent="0.3">
      <c r="A13" s="79"/>
      <c r="B13" s="76"/>
      <c r="C13" s="77"/>
      <c r="D13" s="77"/>
      <c r="E13" s="35"/>
      <c r="F13" s="47"/>
      <c r="G13" s="54"/>
      <c r="H13" s="47"/>
      <c r="I13" s="54"/>
    </row>
    <row r="14" spans="1:9" x14ac:dyDescent="0.3">
      <c r="A14" s="79"/>
      <c r="B14" s="76"/>
      <c r="C14" s="77"/>
      <c r="D14" s="77"/>
      <c r="E14" s="35"/>
      <c r="F14" s="47"/>
      <c r="G14" s="54"/>
      <c r="H14" s="47"/>
      <c r="I14" s="54"/>
    </row>
    <row r="15" spans="1:9" x14ac:dyDescent="0.3">
      <c r="A15" s="79"/>
      <c r="B15" s="76"/>
      <c r="C15" s="77"/>
      <c r="D15" s="77"/>
      <c r="E15" s="35"/>
      <c r="F15" s="47"/>
      <c r="G15" s="54"/>
      <c r="H15" s="47"/>
      <c r="I15" s="54"/>
    </row>
    <row r="16" spans="1:9" x14ac:dyDescent="0.3">
      <c r="A16" s="79"/>
      <c r="B16" s="76"/>
      <c r="C16" s="77"/>
      <c r="D16" s="129" t="s">
        <v>33</v>
      </c>
      <c r="E16" s="130"/>
      <c r="F16" s="47"/>
      <c r="G16" s="54"/>
      <c r="H16" s="47"/>
      <c r="I16" s="54"/>
    </row>
    <row r="17" spans="1:9" x14ac:dyDescent="0.3">
      <c r="A17" s="79"/>
      <c r="B17" s="76"/>
      <c r="C17" s="77"/>
      <c r="D17" s="131"/>
      <c r="E17" s="132"/>
      <c r="F17" s="47"/>
      <c r="G17" s="54"/>
      <c r="H17" s="47"/>
      <c r="I17" s="54"/>
    </row>
    <row r="18" spans="1:9" ht="17.399999999999999" customHeight="1" x14ac:dyDescent="0.3">
      <c r="A18" s="79"/>
      <c r="B18" s="76" t="s">
        <v>66</v>
      </c>
      <c r="C18" s="77"/>
      <c r="D18" s="80"/>
      <c r="E18" s="80"/>
      <c r="F18" s="47"/>
      <c r="G18" s="54"/>
      <c r="H18" s="47"/>
      <c r="I18" s="54"/>
    </row>
    <row r="19" spans="1:9" x14ac:dyDescent="0.3">
      <c r="A19" s="7" t="s">
        <v>80</v>
      </c>
      <c r="B19" s="76"/>
      <c r="C19" s="77"/>
      <c r="D19" s="77"/>
      <c r="E19" s="35"/>
      <c r="F19" s="47"/>
      <c r="G19" s="54"/>
      <c r="H19" s="47"/>
      <c r="I19" s="54"/>
    </row>
    <row r="20" spans="1:9" x14ac:dyDescent="0.3">
      <c r="A20" s="1" t="s">
        <v>39</v>
      </c>
      <c r="B20" s="26" t="s">
        <v>0</v>
      </c>
      <c r="C20" s="27" t="s">
        <v>1</v>
      </c>
      <c r="D20" s="27" t="s">
        <v>2</v>
      </c>
      <c r="E20" s="12" t="s">
        <v>3</v>
      </c>
      <c r="F20" s="43" t="s">
        <v>5</v>
      </c>
      <c r="G20" s="52" t="s">
        <v>21</v>
      </c>
      <c r="H20" s="43" t="s">
        <v>5</v>
      </c>
      <c r="I20" s="52" t="s">
        <v>21</v>
      </c>
    </row>
    <row r="21" spans="1:9" x14ac:dyDescent="0.3">
      <c r="A21" s="5"/>
      <c r="B21" s="40" t="s">
        <v>67</v>
      </c>
      <c r="C21" s="37">
        <v>0.94</v>
      </c>
      <c r="D21" s="37">
        <v>0.87</v>
      </c>
      <c r="E21" s="35">
        <v>0.81</v>
      </c>
      <c r="F21" s="47">
        <v>2943</v>
      </c>
      <c r="G21" s="54">
        <v>2600</v>
      </c>
      <c r="H21" s="47">
        <f t="shared" ref="H21:I21" si="1">F21*0.85</f>
        <v>2501.5499999999997</v>
      </c>
      <c r="I21" s="54">
        <f t="shared" si="1"/>
        <v>2210</v>
      </c>
    </row>
    <row r="22" spans="1:9" s="94" customFormat="1" x14ac:dyDescent="0.3">
      <c r="A22" s="95"/>
      <c r="B22" s="40"/>
      <c r="C22" s="37"/>
      <c r="D22" s="37"/>
      <c r="E22" s="35"/>
      <c r="F22" s="47"/>
      <c r="G22" s="54"/>
      <c r="H22" s="47"/>
      <c r="I22" s="54"/>
    </row>
    <row r="23" spans="1:9" s="94" customFormat="1" x14ac:dyDescent="0.3">
      <c r="A23" s="95"/>
      <c r="B23" s="40"/>
      <c r="C23" s="37"/>
      <c r="D23" s="37"/>
      <c r="E23" s="35"/>
      <c r="F23" s="47"/>
      <c r="G23" s="54"/>
      <c r="H23" s="47"/>
      <c r="I23" s="54"/>
    </row>
    <row r="24" spans="1:9" s="94" customFormat="1" x14ac:dyDescent="0.3">
      <c r="A24" s="95"/>
      <c r="B24" s="40"/>
      <c r="C24" s="37"/>
      <c r="D24" s="37"/>
      <c r="E24" s="35"/>
      <c r="F24" s="47"/>
      <c r="G24" s="54"/>
      <c r="H24" s="47"/>
      <c r="I24" s="54"/>
    </row>
    <row r="25" spans="1:9" s="94" customFormat="1" x14ac:dyDescent="0.3">
      <c r="A25" s="95"/>
      <c r="B25" s="40"/>
      <c r="C25" s="37"/>
      <c r="D25" s="37"/>
      <c r="E25" s="35"/>
      <c r="F25" s="47"/>
      <c r="G25" s="54"/>
      <c r="H25" s="47"/>
      <c r="I25" s="54"/>
    </row>
    <row r="26" spans="1:9" x14ac:dyDescent="0.3">
      <c r="A26" s="5"/>
      <c r="B26" s="40"/>
      <c r="C26" s="37"/>
      <c r="D26" s="37"/>
      <c r="E26" s="35"/>
      <c r="F26" s="47"/>
      <c r="G26" s="54"/>
      <c r="H26" s="47"/>
      <c r="I26" s="54"/>
    </row>
    <row r="27" spans="1:9" x14ac:dyDescent="0.3">
      <c r="A27" s="5"/>
      <c r="B27" s="40"/>
      <c r="C27" s="37"/>
      <c r="D27" s="37"/>
      <c r="E27" s="35"/>
      <c r="F27" s="47"/>
      <c r="G27" s="54"/>
      <c r="H27" s="47"/>
      <c r="I27" s="54"/>
    </row>
    <row r="28" spans="1:9" ht="14.4" customHeight="1" x14ac:dyDescent="0.3">
      <c r="A28" s="5"/>
      <c r="B28" s="28"/>
      <c r="C28" s="29"/>
      <c r="D28" s="129" t="s">
        <v>68</v>
      </c>
      <c r="E28" s="130"/>
      <c r="F28" s="47" t="s">
        <v>7</v>
      </c>
      <c r="G28" s="54" t="s">
        <v>7</v>
      </c>
      <c r="H28" s="47" t="s">
        <v>7</v>
      </c>
      <c r="I28" s="54" t="s">
        <v>7</v>
      </c>
    </row>
    <row r="29" spans="1:9" ht="14.4" customHeight="1" x14ac:dyDescent="0.3">
      <c r="A29" s="3" t="s">
        <v>8</v>
      </c>
      <c r="B29" s="38" t="s">
        <v>26</v>
      </c>
      <c r="C29" s="29"/>
      <c r="D29" s="131"/>
      <c r="E29" s="132"/>
      <c r="F29" s="47" t="s">
        <v>7</v>
      </c>
      <c r="G29" s="54" t="s">
        <v>7</v>
      </c>
      <c r="H29" s="47" t="s">
        <v>7</v>
      </c>
      <c r="I29" s="54" t="s">
        <v>7</v>
      </c>
    </row>
    <row r="30" spans="1:9" x14ac:dyDescent="0.3">
      <c r="A30" s="7"/>
      <c r="B30" s="28"/>
      <c r="C30" s="29"/>
      <c r="D30" s="29"/>
      <c r="E30" s="18" t="s">
        <v>7</v>
      </c>
      <c r="F30" s="47" t="s">
        <v>7</v>
      </c>
      <c r="G30" s="54" t="s">
        <v>7</v>
      </c>
      <c r="H30" s="47" t="s">
        <v>7</v>
      </c>
      <c r="I30" s="54" t="s">
        <v>7</v>
      </c>
    </row>
    <row r="31" spans="1:9" x14ac:dyDescent="0.3">
      <c r="A31" s="72" t="s">
        <v>19</v>
      </c>
      <c r="B31" s="26" t="s">
        <v>0</v>
      </c>
      <c r="C31" s="27" t="s">
        <v>1</v>
      </c>
      <c r="D31" s="27" t="s">
        <v>2</v>
      </c>
      <c r="E31" s="12" t="s">
        <v>3</v>
      </c>
      <c r="F31" s="50" t="s">
        <v>79</v>
      </c>
      <c r="G31" s="52" t="s">
        <v>21</v>
      </c>
      <c r="H31" s="50" t="s">
        <v>79</v>
      </c>
      <c r="I31" s="52" t="s">
        <v>21</v>
      </c>
    </row>
    <row r="32" spans="1:9" x14ac:dyDescent="0.3">
      <c r="A32" s="5"/>
      <c r="B32" s="28" t="s">
        <v>18</v>
      </c>
      <c r="C32" s="29"/>
      <c r="D32" s="29">
        <v>0.9</v>
      </c>
      <c r="E32" s="35">
        <v>0.75</v>
      </c>
      <c r="F32" s="47">
        <v>5711</v>
      </c>
      <c r="G32" s="54">
        <v>3988</v>
      </c>
      <c r="H32" s="47">
        <f t="shared" ref="H32:I32" si="2">F32*0.85</f>
        <v>4854.3499999999995</v>
      </c>
      <c r="I32" s="54">
        <f t="shared" si="2"/>
        <v>3389.7999999999997</v>
      </c>
    </row>
    <row r="33" spans="1:9" x14ac:dyDescent="0.3">
      <c r="A33" s="5"/>
      <c r="B33" s="28"/>
      <c r="C33" s="29"/>
      <c r="D33" s="29"/>
      <c r="E33" s="35"/>
      <c r="F33" s="47"/>
      <c r="G33" s="54"/>
      <c r="H33" s="47"/>
      <c r="I33" s="54"/>
    </row>
    <row r="34" spans="1:9" x14ac:dyDescent="0.3">
      <c r="A34" s="5"/>
      <c r="B34" s="28"/>
      <c r="C34" s="29"/>
      <c r="D34" s="29"/>
      <c r="E34" s="35"/>
      <c r="F34" s="47"/>
      <c r="G34" s="54"/>
      <c r="H34" s="47"/>
      <c r="I34" s="54"/>
    </row>
    <row r="35" spans="1:9" x14ac:dyDescent="0.3">
      <c r="A35" s="5"/>
      <c r="B35" s="28"/>
      <c r="C35" s="29"/>
      <c r="D35" s="29"/>
      <c r="E35" s="35"/>
      <c r="F35" s="47"/>
      <c r="G35" s="54"/>
      <c r="H35" s="47"/>
      <c r="I35" s="54"/>
    </row>
    <row r="36" spans="1:9" x14ac:dyDescent="0.3">
      <c r="A36" s="5"/>
      <c r="B36" s="28"/>
      <c r="C36" s="29"/>
      <c r="D36" s="29"/>
      <c r="E36" s="35"/>
      <c r="F36" s="51"/>
      <c r="G36" s="63"/>
      <c r="H36" s="51"/>
      <c r="I36" s="63"/>
    </row>
    <row r="37" spans="1:9" x14ac:dyDescent="0.3">
      <c r="A37" s="5"/>
      <c r="B37" s="28"/>
      <c r="C37" s="29"/>
      <c r="D37" s="129" t="s">
        <v>92</v>
      </c>
      <c r="E37" s="130"/>
      <c r="F37" s="47" t="s">
        <v>7</v>
      </c>
      <c r="G37" s="54" t="s">
        <v>7</v>
      </c>
      <c r="H37" s="47" t="s">
        <v>7</v>
      </c>
      <c r="I37" s="54" t="s">
        <v>7</v>
      </c>
    </row>
    <row r="38" spans="1:9" x14ac:dyDescent="0.3">
      <c r="A38" s="3" t="s">
        <v>8</v>
      </c>
      <c r="B38" s="28" t="s">
        <v>27</v>
      </c>
      <c r="C38" s="29"/>
      <c r="D38" s="131"/>
      <c r="E38" s="132"/>
      <c r="F38" s="47" t="s">
        <v>7</v>
      </c>
      <c r="G38" s="54" t="s">
        <v>7</v>
      </c>
      <c r="H38" s="47" t="s">
        <v>7</v>
      </c>
      <c r="I38" s="54" t="s">
        <v>7</v>
      </c>
    </row>
    <row r="39" spans="1:9" x14ac:dyDescent="0.3">
      <c r="A39" s="7" t="s">
        <v>20</v>
      </c>
      <c r="B39" s="28"/>
      <c r="C39" s="29"/>
      <c r="D39" s="29"/>
      <c r="E39" s="35" t="s">
        <v>7</v>
      </c>
      <c r="F39" s="47" t="s">
        <v>7</v>
      </c>
      <c r="G39" s="54" t="s">
        <v>7</v>
      </c>
      <c r="H39" s="47" t="s">
        <v>7</v>
      </c>
      <c r="I39" s="54" t="s">
        <v>7</v>
      </c>
    </row>
    <row r="40" spans="1:9" x14ac:dyDescent="0.3">
      <c r="A40" s="1" t="s">
        <v>41</v>
      </c>
      <c r="B40" s="26" t="s">
        <v>0</v>
      </c>
      <c r="C40" s="27" t="s">
        <v>1</v>
      </c>
      <c r="D40" s="27" t="s">
        <v>2</v>
      </c>
      <c r="E40" s="12" t="s">
        <v>3</v>
      </c>
      <c r="F40" s="43" t="s">
        <v>15</v>
      </c>
      <c r="G40" s="52" t="s">
        <v>21</v>
      </c>
      <c r="H40" s="43" t="s">
        <v>15</v>
      </c>
      <c r="I40" s="52" t="s">
        <v>21</v>
      </c>
    </row>
    <row r="41" spans="1:9" x14ac:dyDescent="0.3">
      <c r="A41" s="65"/>
      <c r="B41" s="28" t="s">
        <v>13</v>
      </c>
      <c r="C41" s="29">
        <v>1.1399999999999999</v>
      </c>
      <c r="D41" s="29">
        <v>1.02</v>
      </c>
      <c r="E41" s="35">
        <v>0.8</v>
      </c>
      <c r="F41" s="47">
        <v>5329</v>
      </c>
      <c r="G41" s="54">
        <v>5267</v>
      </c>
      <c r="H41" s="47">
        <f t="shared" ref="H41:I41" si="3">F41*0.85</f>
        <v>4529.6499999999996</v>
      </c>
      <c r="I41" s="54">
        <f t="shared" si="3"/>
        <v>4476.95</v>
      </c>
    </row>
    <row r="42" spans="1:9" x14ac:dyDescent="0.3">
      <c r="A42" s="2"/>
      <c r="B42" s="28"/>
      <c r="C42" s="29"/>
      <c r="D42" s="29"/>
      <c r="E42" s="35"/>
      <c r="F42" s="47"/>
      <c r="G42" s="54"/>
      <c r="H42" s="47"/>
      <c r="I42" s="54"/>
    </row>
    <row r="43" spans="1:9" x14ac:dyDescent="0.3">
      <c r="A43" s="2"/>
      <c r="B43" s="28"/>
      <c r="C43" s="29"/>
      <c r="D43" s="29"/>
      <c r="E43" s="35"/>
      <c r="F43" s="47"/>
      <c r="G43" s="54"/>
      <c r="H43" s="47"/>
      <c r="I43" s="54"/>
    </row>
    <row r="44" spans="1:9" x14ac:dyDescent="0.3">
      <c r="A44" s="2"/>
      <c r="B44" s="28"/>
      <c r="C44" s="29"/>
      <c r="D44" s="29"/>
      <c r="E44" s="35"/>
      <c r="F44" s="47"/>
      <c r="G44" s="54"/>
      <c r="H44" s="47"/>
      <c r="I44" s="54"/>
    </row>
    <row r="45" spans="1:9" ht="14.4" customHeight="1" x14ac:dyDescent="0.3">
      <c r="A45" s="2"/>
      <c r="B45" s="28"/>
      <c r="C45" s="29"/>
      <c r="D45" s="29"/>
      <c r="E45" s="39"/>
      <c r="F45" s="47" t="s">
        <v>7</v>
      </c>
      <c r="G45" s="54" t="s">
        <v>7</v>
      </c>
      <c r="H45" s="47" t="s">
        <v>7</v>
      </c>
      <c r="I45" s="54" t="s">
        <v>7</v>
      </c>
    </row>
    <row r="46" spans="1:9" ht="14.4" customHeight="1" x14ac:dyDescent="0.3">
      <c r="A46" s="8"/>
      <c r="B46" s="30"/>
      <c r="C46" s="31"/>
      <c r="D46" s="129" t="s">
        <v>69</v>
      </c>
      <c r="E46" s="130"/>
      <c r="F46" s="47" t="s">
        <v>7</v>
      </c>
      <c r="G46" s="54" t="s">
        <v>7</v>
      </c>
      <c r="H46" s="47" t="s">
        <v>7</v>
      </c>
      <c r="I46" s="54" t="s">
        <v>7</v>
      </c>
    </row>
    <row r="47" spans="1:9" ht="18" customHeight="1" x14ac:dyDescent="0.3">
      <c r="A47" s="8"/>
      <c r="B47" s="30"/>
      <c r="C47" s="31"/>
      <c r="D47" s="131"/>
      <c r="E47" s="132"/>
      <c r="F47" s="47"/>
      <c r="G47" s="54"/>
      <c r="H47" s="47"/>
      <c r="I47" s="54"/>
    </row>
    <row r="48" spans="1:9" x14ac:dyDescent="0.3">
      <c r="A48" s="3" t="s">
        <v>8</v>
      </c>
      <c r="B48" s="28" t="s">
        <v>66</v>
      </c>
      <c r="C48" s="29"/>
      <c r="D48" s="29"/>
      <c r="E48" s="35" t="s">
        <v>7</v>
      </c>
      <c r="F48" s="47" t="s">
        <v>7</v>
      </c>
      <c r="G48" s="54" t="s">
        <v>7</v>
      </c>
      <c r="H48" s="47" t="s">
        <v>7</v>
      </c>
      <c r="I48" s="54" t="s">
        <v>7</v>
      </c>
    </row>
    <row r="49" spans="1:9" x14ac:dyDescent="0.3">
      <c r="A49" s="7"/>
      <c r="B49" s="30"/>
      <c r="C49" s="29"/>
      <c r="D49" s="29"/>
      <c r="E49" s="35" t="s">
        <v>7</v>
      </c>
      <c r="F49" s="44" t="s">
        <v>7</v>
      </c>
      <c r="G49" s="59" t="s">
        <v>7</v>
      </c>
      <c r="H49" s="44" t="s">
        <v>7</v>
      </c>
      <c r="I49" s="59" t="s">
        <v>7</v>
      </c>
    </row>
    <row r="50" spans="1:9" x14ac:dyDescent="0.3">
      <c r="A50" s="1" t="s">
        <v>40</v>
      </c>
      <c r="B50" s="26" t="s">
        <v>0</v>
      </c>
      <c r="C50" s="27" t="s">
        <v>1</v>
      </c>
      <c r="D50" s="27" t="s">
        <v>2</v>
      </c>
      <c r="E50" s="12" t="s">
        <v>3</v>
      </c>
      <c r="F50" s="43" t="s">
        <v>29</v>
      </c>
      <c r="G50" s="52" t="s">
        <v>21</v>
      </c>
      <c r="H50" s="43" t="s">
        <v>29</v>
      </c>
      <c r="I50" s="52" t="s">
        <v>21</v>
      </c>
    </row>
    <row r="51" spans="1:9" x14ac:dyDescent="0.3">
      <c r="A51" s="65"/>
      <c r="B51" s="28" t="s">
        <v>13</v>
      </c>
      <c r="C51" s="29">
        <v>0.84</v>
      </c>
      <c r="D51" s="29">
        <v>0.93</v>
      </c>
      <c r="E51" s="35">
        <v>0.82</v>
      </c>
      <c r="F51" s="47">
        <v>4464</v>
      </c>
      <c r="G51" s="54">
        <v>3517</v>
      </c>
      <c r="H51" s="47">
        <f t="shared" ref="H51:I51" si="4">F51*0.85</f>
        <v>3794.4</v>
      </c>
      <c r="I51" s="54">
        <f t="shared" si="4"/>
        <v>2989.45</v>
      </c>
    </row>
    <row r="52" spans="1:9" x14ac:dyDescent="0.3">
      <c r="A52" s="2"/>
      <c r="B52" s="28"/>
      <c r="C52" s="29"/>
      <c r="D52" s="29"/>
      <c r="E52" s="35"/>
      <c r="F52" s="47"/>
      <c r="G52" s="54"/>
      <c r="H52" s="47"/>
      <c r="I52" s="54"/>
    </row>
    <row r="53" spans="1:9" x14ac:dyDescent="0.3">
      <c r="A53" s="2"/>
      <c r="B53" s="28"/>
      <c r="C53" s="29"/>
      <c r="D53" s="29"/>
      <c r="E53" s="35"/>
      <c r="F53" s="47"/>
      <c r="G53" s="54"/>
      <c r="H53" s="47"/>
      <c r="I53" s="54"/>
    </row>
    <row r="54" spans="1:9" x14ac:dyDescent="0.3">
      <c r="A54" s="2"/>
      <c r="B54" s="28"/>
      <c r="C54" s="29"/>
      <c r="D54" s="29"/>
      <c r="E54" s="35"/>
      <c r="F54" s="47"/>
      <c r="G54" s="54"/>
      <c r="H54" s="47"/>
      <c r="I54" s="54"/>
    </row>
    <row r="55" spans="1:9" x14ac:dyDescent="0.3">
      <c r="A55" s="2"/>
      <c r="B55" s="28"/>
      <c r="C55" s="29"/>
      <c r="D55" s="29"/>
      <c r="E55" s="39"/>
      <c r="F55" s="47" t="s">
        <v>7</v>
      </c>
      <c r="G55" s="54" t="s">
        <v>7</v>
      </c>
      <c r="H55" s="47" t="s">
        <v>7</v>
      </c>
      <c r="I55" s="54" t="s">
        <v>7</v>
      </c>
    </row>
    <row r="56" spans="1:9" x14ac:dyDescent="0.3">
      <c r="A56" s="8"/>
      <c r="B56" s="30"/>
      <c r="C56" s="31"/>
      <c r="D56" s="129" t="s">
        <v>70</v>
      </c>
      <c r="E56" s="130"/>
      <c r="F56" s="47" t="s">
        <v>7</v>
      </c>
      <c r="G56" s="54" t="s">
        <v>7</v>
      </c>
      <c r="H56" s="47" t="s">
        <v>7</v>
      </c>
      <c r="I56" s="54" t="s">
        <v>7</v>
      </c>
    </row>
    <row r="57" spans="1:9" x14ac:dyDescent="0.3">
      <c r="A57" s="8"/>
      <c r="B57" s="30"/>
      <c r="C57" s="31"/>
      <c r="D57" s="131"/>
      <c r="E57" s="132"/>
      <c r="F57" s="47"/>
      <c r="G57" s="54"/>
      <c r="H57" s="47"/>
      <c r="I57" s="54"/>
    </row>
    <row r="58" spans="1:9" x14ac:dyDescent="0.3">
      <c r="A58" s="3" t="s">
        <v>8</v>
      </c>
      <c r="B58" s="28" t="s">
        <v>71</v>
      </c>
      <c r="C58" s="29"/>
      <c r="D58" s="29"/>
      <c r="E58" s="35" t="s">
        <v>7</v>
      </c>
      <c r="F58" s="47" t="s">
        <v>7</v>
      </c>
      <c r="G58" s="54" t="s">
        <v>7</v>
      </c>
      <c r="H58" s="47" t="s">
        <v>7</v>
      </c>
      <c r="I58" s="54" t="s">
        <v>7</v>
      </c>
    </row>
    <row r="59" spans="1:9" x14ac:dyDescent="0.3">
      <c r="A59" s="97" t="s">
        <v>80</v>
      </c>
      <c r="B59" s="30"/>
      <c r="C59" s="29"/>
      <c r="D59" s="29"/>
      <c r="E59" s="35" t="s">
        <v>7</v>
      </c>
      <c r="F59" s="44" t="s">
        <v>7</v>
      </c>
      <c r="G59" s="59" t="s">
        <v>7</v>
      </c>
      <c r="H59" s="44" t="s">
        <v>7</v>
      </c>
      <c r="I59" s="59" t="s">
        <v>7</v>
      </c>
    </row>
  </sheetData>
  <mergeCells count="6">
    <mergeCell ref="D56:E57"/>
    <mergeCell ref="D16:E17"/>
    <mergeCell ref="D6:E7"/>
    <mergeCell ref="D28:E29"/>
    <mergeCell ref="D37:E38"/>
    <mergeCell ref="D46:E47"/>
  </mergeCells>
  <hyperlinks>
    <hyperlink ref="A9" r:id="rId1" xr:uid="{1C65A9D5-7DDE-4F49-9503-60436D0CBECE}"/>
    <hyperlink ref="A32" r:id="rId2" display="LUCIANO SANTELLI" xr:uid="{9F45D312-C993-411D-B40C-20D5E48D61E3}"/>
  </hyperlinks>
  <pageMargins left="0.511811024" right="0.511811024" top="0.78740157499999996" bottom="0.78740157499999996" header="0.31496062000000002" footer="0.31496062000000002"/>
  <pageSetup paperSize="9" scale="65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16DF-8570-45AA-94E0-B95D5D4783CD}">
  <dimension ref="A1:K27"/>
  <sheetViews>
    <sheetView workbookViewId="0">
      <selection activeCell="H3" sqref="F1:H1048576"/>
    </sheetView>
  </sheetViews>
  <sheetFormatPr defaultRowHeight="15.6" x14ac:dyDescent="0.3"/>
  <cols>
    <col min="1" max="1" width="30.77734375" customWidth="1"/>
    <col min="2" max="2" width="24.109375" style="14" customWidth="1"/>
    <col min="3" max="3" width="8.88671875" style="14"/>
    <col min="4" max="4" width="10.88671875" style="14" customWidth="1"/>
    <col min="5" max="5" width="12.44140625" style="14" customWidth="1"/>
    <col min="6" max="6" width="10.6640625" style="14" hidden="1" customWidth="1"/>
    <col min="7" max="7" width="16.5546875" hidden="1" customWidth="1"/>
    <col min="8" max="8" width="16.33203125" hidden="1" customWidth="1"/>
    <col min="9" max="9" width="10.6640625" style="14" customWidth="1"/>
    <col min="10" max="10" width="16.5546875" style="94" customWidth="1"/>
    <col min="11" max="11" width="16.33203125" style="94" customWidth="1"/>
  </cols>
  <sheetData>
    <row r="1" spans="1:10" ht="13.8" customHeight="1" x14ac:dyDescent="0.3">
      <c r="A1" s="9" t="s">
        <v>42</v>
      </c>
      <c r="B1" s="26" t="s">
        <v>0</v>
      </c>
      <c r="C1" s="27" t="s">
        <v>1</v>
      </c>
      <c r="D1" s="27" t="s">
        <v>2</v>
      </c>
      <c r="E1" s="12" t="s">
        <v>3</v>
      </c>
      <c r="F1" s="43" t="s">
        <v>5</v>
      </c>
      <c r="G1" s="52" t="s">
        <v>21</v>
      </c>
      <c r="I1" s="43" t="s">
        <v>5</v>
      </c>
      <c r="J1" s="52" t="s">
        <v>21</v>
      </c>
    </row>
    <row r="2" spans="1:10" x14ac:dyDescent="0.3">
      <c r="A2" s="5"/>
      <c r="B2" s="24" t="s">
        <v>16</v>
      </c>
      <c r="C2" s="17">
        <v>1.9</v>
      </c>
      <c r="D2" s="17">
        <v>0.6</v>
      </c>
      <c r="E2" s="35">
        <v>0.46</v>
      </c>
      <c r="F2" s="47">
        <v>3725</v>
      </c>
      <c r="G2" s="54">
        <v>3448</v>
      </c>
      <c r="I2" s="47">
        <f>F2*0.85</f>
        <v>3166.25</v>
      </c>
      <c r="J2" s="54">
        <f>G2*0.85</f>
        <v>2930.7999999999997</v>
      </c>
    </row>
    <row r="3" spans="1:10" x14ac:dyDescent="0.3">
      <c r="A3" s="5"/>
      <c r="B3" s="28"/>
      <c r="C3" s="29"/>
      <c r="D3" s="29"/>
      <c r="E3" s="35"/>
      <c r="F3" s="51"/>
      <c r="G3" s="56"/>
      <c r="I3" s="51"/>
      <c r="J3" s="56"/>
    </row>
    <row r="4" spans="1:10" x14ac:dyDescent="0.3">
      <c r="A4" s="5"/>
      <c r="B4" s="28"/>
      <c r="C4" s="29"/>
      <c r="D4" s="29"/>
      <c r="E4" s="35"/>
      <c r="F4" s="51" t="s">
        <v>7</v>
      </c>
      <c r="G4" s="56"/>
      <c r="I4" s="51" t="s">
        <v>7</v>
      </c>
      <c r="J4" s="56"/>
    </row>
    <row r="5" spans="1:10" x14ac:dyDescent="0.3">
      <c r="A5" s="5"/>
      <c r="B5" s="28"/>
      <c r="C5" s="29"/>
      <c r="D5" s="29"/>
      <c r="E5" s="35"/>
      <c r="F5" s="51" t="s">
        <v>7</v>
      </c>
      <c r="G5" s="56"/>
      <c r="I5" s="51" t="s">
        <v>7</v>
      </c>
      <c r="J5" s="56"/>
    </row>
    <row r="6" spans="1:10" ht="14.4" customHeight="1" x14ac:dyDescent="0.3">
      <c r="A6" s="5"/>
      <c r="B6" s="32"/>
      <c r="C6" s="31"/>
      <c r="D6" s="31"/>
      <c r="E6" s="129" t="s">
        <v>90</v>
      </c>
      <c r="F6" s="47" t="s">
        <v>7</v>
      </c>
      <c r="G6" s="56"/>
      <c r="I6" s="47" t="s">
        <v>7</v>
      </c>
      <c r="J6" s="56"/>
    </row>
    <row r="7" spans="1:10" ht="14.4" customHeight="1" x14ac:dyDescent="0.3">
      <c r="A7" s="4"/>
      <c r="B7" s="28" t="s">
        <v>72</v>
      </c>
      <c r="C7" s="31"/>
      <c r="D7" s="31"/>
      <c r="E7" s="131"/>
      <c r="F7" s="47" t="s">
        <v>7</v>
      </c>
      <c r="G7" s="56"/>
      <c r="I7" s="47" t="s">
        <v>7</v>
      </c>
      <c r="J7" s="56"/>
    </row>
    <row r="8" spans="1:10" x14ac:dyDescent="0.3">
      <c r="A8" s="3" t="s">
        <v>8</v>
      </c>
      <c r="B8" s="30"/>
      <c r="C8" s="29"/>
      <c r="D8" s="29"/>
      <c r="E8" s="35" t="s">
        <v>7</v>
      </c>
      <c r="F8" s="47" t="s">
        <v>7</v>
      </c>
      <c r="G8" s="56"/>
      <c r="I8" s="47" t="s">
        <v>7</v>
      </c>
      <c r="J8" s="56"/>
    </row>
    <row r="9" spans="1:10" x14ac:dyDescent="0.3">
      <c r="A9" s="7" t="s">
        <v>12</v>
      </c>
      <c r="B9" s="28"/>
      <c r="C9" s="29"/>
      <c r="D9" s="29"/>
      <c r="E9" s="35" t="s">
        <v>7</v>
      </c>
      <c r="F9" s="47" t="s">
        <v>7</v>
      </c>
      <c r="G9" s="56"/>
      <c r="I9" s="47" t="s">
        <v>7</v>
      </c>
      <c r="J9" s="56"/>
    </row>
    <row r="10" spans="1:10" x14ac:dyDescent="0.3">
      <c r="A10" s="9" t="s">
        <v>43</v>
      </c>
      <c r="B10" s="26" t="s">
        <v>0</v>
      </c>
      <c r="C10" s="27" t="s">
        <v>1</v>
      </c>
      <c r="D10" s="27" t="s">
        <v>2</v>
      </c>
      <c r="E10" s="12" t="s">
        <v>3</v>
      </c>
      <c r="F10" s="43" t="s">
        <v>4</v>
      </c>
      <c r="G10" s="52" t="s">
        <v>21</v>
      </c>
      <c r="I10" s="43" t="s">
        <v>4</v>
      </c>
      <c r="J10" s="52" t="s">
        <v>21</v>
      </c>
    </row>
    <row r="11" spans="1:10" x14ac:dyDescent="0.3">
      <c r="A11" s="5"/>
      <c r="B11" s="24" t="s">
        <v>28</v>
      </c>
      <c r="C11" s="17">
        <v>2.8</v>
      </c>
      <c r="D11" s="17">
        <v>2.1800000000000002</v>
      </c>
      <c r="E11" s="35">
        <v>1.05</v>
      </c>
      <c r="F11" s="44">
        <v>8991</v>
      </c>
      <c r="G11" s="59">
        <v>7614</v>
      </c>
      <c r="I11" s="44">
        <f t="shared" ref="I11:J11" si="0">F11*0.85</f>
        <v>7642.3499999999995</v>
      </c>
      <c r="J11" s="59">
        <f t="shared" si="0"/>
        <v>6471.9</v>
      </c>
    </row>
    <row r="12" spans="1:10" x14ac:dyDescent="0.3">
      <c r="A12" s="5"/>
      <c r="B12" s="28" t="s">
        <v>97</v>
      </c>
      <c r="C12" s="29"/>
      <c r="D12" s="29"/>
      <c r="E12" s="35"/>
      <c r="F12" s="98">
        <v>384</v>
      </c>
      <c r="G12" s="99">
        <v>384</v>
      </c>
      <c r="I12" s="98">
        <v>384</v>
      </c>
      <c r="J12" s="99">
        <v>384</v>
      </c>
    </row>
    <row r="13" spans="1:10" x14ac:dyDescent="0.3">
      <c r="A13" s="5"/>
      <c r="B13" s="28" t="s">
        <v>97</v>
      </c>
      <c r="C13" s="29"/>
      <c r="D13" s="29"/>
      <c r="E13" s="35"/>
      <c r="F13" s="98">
        <v>384</v>
      </c>
      <c r="G13" s="99">
        <v>384</v>
      </c>
      <c r="I13" s="98">
        <v>384</v>
      </c>
      <c r="J13" s="99">
        <v>384</v>
      </c>
    </row>
    <row r="14" spans="1:10" x14ac:dyDescent="0.3">
      <c r="A14" s="5"/>
      <c r="B14" s="133" t="s">
        <v>98</v>
      </c>
      <c r="C14" s="134"/>
      <c r="D14" s="134"/>
      <c r="E14" s="135"/>
      <c r="F14" s="100"/>
      <c r="G14" s="99"/>
      <c r="I14" s="100"/>
      <c r="J14" s="99"/>
    </row>
    <row r="15" spans="1:10" ht="14.4" customHeight="1" x14ac:dyDescent="0.3">
      <c r="A15" s="5"/>
      <c r="B15" s="32"/>
      <c r="C15" s="31"/>
      <c r="D15" s="31"/>
      <c r="E15" s="129" t="s">
        <v>73</v>
      </c>
      <c r="F15" s="44" t="s">
        <v>7</v>
      </c>
      <c r="G15" s="55"/>
      <c r="I15" s="44" t="s">
        <v>7</v>
      </c>
      <c r="J15" s="55"/>
    </row>
    <row r="16" spans="1:10" ht="14.4" customHeight="1" x14ac:dyDescent="0.3">
      <c r="A16" s="4"/>
      <c r="B16" s="28"/>
      <c r="C16" s="31"/>
      <c r="D16" s="31"/>
      <c r="E16" s="131"/>
      <c r="F16" s="44" t="s">
        <v>7</v>
      </c>
      <c r="G16" s="55"/>
      <c r="I16" s="44" t="s">
        <v>7</v>
      </c>
      <c r="J16" s="55"/>
    </row>
    <row r="17" spans="1:11" x14ac:dyDescent="0.3">
      <c r="A17" s="3" t="s">
        <v>8</v>
      </c>
      <c r="B17" s="38" t="s">
        <v>72</v>
      </c>
      <c r="C17" s="29"/>
      <c r="D17" s="29"/>
      <c r="E17" s="35" t="s">
        <v>7</v>
      </c>
      <c r="F17" s="44" t="s">
        <v>7</v>
      </c>
      <c r="G17" s="55"/>
      <c r="I17" s="44" t="s">
        <v>7</v>
      </c>
      <c r="J17" s="55"/>
    </row>
    <row r="18" spans="1:11" x14ac:dyDescent="0.3">
      <c r="A18" s="7"/>
      <c r="B18" s="28"/>
      <c r="C18" s="29"/>
      <c r="D18" s="29"/>
      <c r="E18" s="35" t="s">
        <v>7</v>
      </c>
      <c r="F18" s="44">
        <f>SUM(F11:F17)</f>
        <v>9759</v>
      </c>
      <c r="G18" s="60">
        <f>SUM(G11:G17)</f>
        <v>8382</v>
      </c>
      <c r="I18" s="44">
        <f>SUM(I11:I17)</f>
        <v>8410.3499999999985</v>
      </c>
      <c r="J18" s="60">
        <f>SUM(J11:J17)</f>
        <v>7239.9</v>
      </c>
    </row>
    <row r="19" spans="1:11" x14ac:dyDescent="0.3">
      <c r="A19" s="1" t="s">
        <v>44</v>
      </c>
      <c r="B19" s="26" t="s">
        <v>0</v>
      </c>
      <c r="C19" s="27" t="s">
        <v>1</v>
      </c>
      <c r="D19" s="27" t="s">
        <v>2</v>
      </c>
      <c r="E19" s="12" t="s">
        <v>3</v>
      </c>
      <c r="F19" s="13" t="s">
        <v>4</v>
      </c>
      <c r="G19" s="13" t="s">
        <v>15</v>
      </c>
      <c r="H19" s="52" t="s">
        <v>21</v>
      </c>
      <c r="I19" s="13" t="s">
        <v>4</v>
      </c>
      <c r="J19" s="13" t="s">
        <v>15</v>
      </c>
      <c r="K19" s="52" t="s">
        <v>21</v>
      </c>
    </row>
    <row r="20" spans="1:11" x14ac:dyDescent="0.3">
      <c r="A20" s="5"/>
      <c r="B20" s="24" t="s">
        <v>14</v>
      </c>
      <c r="C20" s="17">
        <v>0.57999999999999996</v>
      </c>
      <c r="D20" s="36">
        <v>0.5</v>
      </c>
      <c r="E20" s="35">
        <v>0.45</v>
      </c>
      <c r="F20" s="47">
        <v>837</v>
      </c>
      <c r="G20" s="47">
        <v>686</v>
      </c>
      <c r="H20" s="59">
        <v>661</v>
      </c>
      <c r="I20" s="47">
        <f t="shared" ref="I20:K20" si="1">F20*0.85</f>
        <v>711.44999999999993</v>
      </c>
      <c r="J20" s="47">
        <f t="shared" si="1"/>
        <v>583.1</v>
      </c>
      <c r="K20" s="59">
        <f t="shared" si="1"/>
        <v>561.85</v>
      </c>
    </row>
    <row r="21" spans="1:11" x14ac:dyDescent="0.3">
      <c r="A21" s="5"/>
      <c r="B21" s="28"/>
      <c r="C21" s="29"/>
      <c r="D21" s="37"/>
      <c r="E21" s="35"/>
      <c r="F21" s="47"/>
      <c r="G21" s="47"/>
      <c r="H21" s="59"/>
      <c r="I21" s="47"/>
      <c r="J21" s="47"/>
      <c r="K21" s="59"/>
    </row>
    <row r="22" spans="1:11" x14ac:dyDescent="0.3">
      <c r="A22" s="5"/>
      <c r="B22" s="28"/>
      <c r="C22" s="29"/>
      <c r="D22" s="37"/>
      <c r="E22" s="35"/>
      <c r="F22" s="51"/>
      <c r="G22" s="51"/>
      <c r="H22" s="53"/>
      <c r="I22" s="51"/>
      <c r="J22" s="51"/>
      <c r="K22" s="53"/>
    </row>
    <row r="23" spans="1:11" x14ac:dyDescent="0.3">
      <c r="A23" s="5"/>
      <c r="B23" s="28"/>
      <c r="C23" s="29"/>
      <c r="D23" s="37"/>
      <c r="E23" s="35"/>
      <c r="F23" s="51" t="s">
        <v>7</v>
      </c>
      <c r="G23" s="51" t="s">
        <v>7</v>
      </c>
      <c r="H23" s="53"/>
      <c r="I23" s="51" t="s">
        <v>7</v>
      </c>
      <c r="J23" s="51" t="s">
        <v>7</v>
      </c>
      <c r="K23" s="53"/>
    </row>
    <row r="24" spans="1:11" x14ac:dyDescent="0.3">
      <c r="A24" s="5"/>
      <c r="B24" s="32"/>
      <c r="C24" s="31"/>
      <c r="D24" s="129" t="s">
        <v>74</v>
      </c>
      <c r="E24" s="130"/>
      <c r="F24" s="47" t="s">
        <v>7</v>
      </c>
      <c r="G24" s="47" t="s">
        <v>7</v>
      </c>
      <c r="H24" s="53"/>
      <c r="I24" s="47" t="s">
        <v>7</v>
      </c>
      <c r="J24" s="47" t="s">
        <v>7</v>
      </c>
      <c r="K24" s="53"/>
    </row>
    <row r="25" spans="1:11" x14ac:dyDescent="0.3">
      <c r="A25" s="4"/>
      <c r="B25" s="28"/>
      <c r="C25" s="31"/>
      <c r="D25" s="131"/>
      <c r="E25" s="132"/>
      <c r="F25" s="47" t="s">
        <v>7</v>
      </c>
      <c r="G25" s="47" t="s">
        <v>7</v>
      </c>
      <c r="H25" s="53"/>
      <c r="I25" s="47" t="s">
        <v>7</v>
      </c>
      <c r="J25" s="47" t="s">
        <v>7</v>
      </c>
      <c r="K25" s="53"/>
    </row>
    <row r="26" spans="1:11" x14ac:dyDescent="0.3">
      <c r="A26" s="3" t="s">
        <v>8</v>
      </c>
      <c r="B26" s="81"/>
      <c r="C26" s="29"/>
      <c r="D26" s="29"/>
      <c r="E26" s="35" t="s">
        <v>7</v>
      </c>
      <c r="F26" s="47" t="s">
        <v>7</v>
      </c>
      <c r="G26" s="47" t="s">
        <v>7</v>
      </c>
      <c r="H26" s="53"/>
      <c r="I26" s="47" t="s">
        <v>7</v>
      </c>
      <c r="J26" s="47" t="s">
        <v>7</v>
      </c>
      <c r="K26" s="53"/>
    </row>
    <row r="27" spans="1:11" x14ac:dyDescent="0.3">
      <c r="A27" s="97" t="s">
        <v>9</v>
      </c>
      <c r="B27" s="28"/>
      <c r="C27" s="29"/>
      <c r="D27" s="29"/>
      <c r="E27" s="35" t="s">
        <v>7</v>
      </c>
      <c r="F27" s="47" t="s">
        <v>7</v>
      </c>
      <c r="G27" s="47" t="s">
        <v>7</v>
      </c>
      <c r="H27" s="53"/>
      <c r="I27" s="47" t="s">
        <v>7</v>
      </c>
      <c r="J27" s="47" t="s">
        <v>7</v>
      </c>
      <c r="K27" s="53"/>
    </row>
  </sheetData>
  <mergeCells count="4">
    <mergeCell ref="E6:E7"/>
    <mergeCell ref="E15:E16"/>
    <mergeCell ref="D24:E25"/>
    <mergeCell ref="B14:E14"/>
  </mergeCells>
  <hyperlinks>
    <hyperlink ref="A9" r:id="rId1" display="JOÃO V. DEMELE" xr:uid="{34D02B70-AFBC-488F-BEBB-2717BE3E677B}"/>
    <hyperlink ref="A27" r:id="rId2" xr:uid="{7C541EB9-169B-45DB-BC04-0F801CB71B8A}"/>
  </hyperlinks>
  <pageMargins left="0.511811024" right="0.511811024" top="0.78740157499999996" bottom="0.78740157499999996" header="0.31496062000000002" footer="0.31496062000000002"/>
  <pageSetup paperSize="9" scale="7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Estofados KARAMS</vt:lpstr>
      <vt:lpstr>POLTRONA KARAMS</vt:lpstr>
      <vt:lpstr>COMPLEMENTOS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Kossei Kato</dc:creator>
  <cp:lastModifiedBy>KARAMS</cp:lastModifiedBy>
  <cp:lastPrinted>2026-08-02T17:00:32Z</cp:lastPrinted>
  <dcterms:created xsi:type="dcterms:W3CDTF">2024-01-30T02:33:49Z</dcterms:created>
  <dcterms:modified xsi:type="dcterms:W3CDTF">2026-08-02T17:00:51Z</dcterms:modified>
</cp:coreProperties>
</file>