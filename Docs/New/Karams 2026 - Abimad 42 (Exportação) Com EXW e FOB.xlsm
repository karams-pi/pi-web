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EstaPasta_de_trabalho"/>
  <bookViews>
    <workbookView windowWidth="28800" windowHeight="11730" activeTab="2"/>
  </bookViews>
  <sheets>
    <sheet name="Capa" sheetId="1" r:id="rId1"/>
    <sheet name="Informações" sheetId="2" r:id="rId2"/>
    <sheet name="Karam´s Estofados" sheetId="3" r:id="rId3"/>
    <sheet name="Karam´s Poltronas" sheetId="4" r:id="rId4"/>
    <sheet name="Karam´s Puff e Almofadas" sheetId="5" r:id="rId5"/>
    <sheet name="Karam´s Camas" sheetId="6" r:id="rId6"/>
  </sheets>
  <definedNames>
    <definedName name="Data_atualização">#REF!</definedName>
    <definedName name="FRETE">#REF!</definedName>
    <definedName name="IPI">#REF!</definedName>
    <definedName name="MKP_CLIENTE">#REF!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PROMO">#REF!</definedName>
    <definedName name="_xlnm.Print_Area" localSheetId="1">Informações!$A$3:$K$52</definedName>
    <definedName name="PREÇO_MECANISMO" localSheetId="2">IFERROR(('Karam´s Estofados'!$F1*#REF!)*MKP_CLIENTE*(1+(IPI/100))*(1+(FRETE/100)),"")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<sst xmlns="http://schemas.openxmlformats.org/spreadsheetml/2006/main" count="2046" uniqueCount="233">
  <si>
    <t>ABIMAD 42</t>
  </si>
  <si>
    <t>Karam´s Ind. E Com. de Estofados - Eireli
Rod. PR 180 - Km 04 - Lote 11 N8 B1
Tel: (44) 3142-2049 / (44) 3441-1908</t>
  </si>
  <si>
    <t>INFORMAÇÕES E ORIENTAÇÕES</t>
  </si>
  <si>
    <t>PEÇAS ESPECIAIS</t>
  </si>
  <si>
    <t>Produtos especiais ou fora de linha somente sob consulta;</t>
  </si>
  <si>
    <t>O prazo de entrega de produtos especiais é de quarenta e cinco (60) dias;</t>
  </si>
  <si>
    <t>Modulações que não constam na tabela (Chaise, sumie, canto, puff, entre outros) devem ser consultados com a fábrica;</t>
  </si>
  <si>
    <t>Pedidos com alterações no modelo deverão ser acompanhados de desenho contendo as especificações necessárias para a confecção do produto;</t>
  </si>
  <si>
    <t>Não serão aceitas devoluções de peças especiais;</t>
  </si>
  <si>
    <t>ATENÇÃO: IMPERMEABILIZAÇÃO RETIRA A GARANTIA DO TECIDO</t>
  </si>
  <si>
    <t>MEDIDAS</t>
  </si>
  <si>
    <t>Nossos produtos são fabricados de forma artesanal/manual e por isso podem sofrer variações de medida de até 5% com relação a medida final do produto;</t>
  </si>
  <si>
    <t>Para transformar estofados inteiros em bipartidos deve ter acréscimo de 10% no custo;</t>
  </si>
  <si>
    <t>Medidas maiores que não constam na tabela, fazer regra de três para cima na maior medida existente;</t>
  </si>
  <si>
    <t>Medidas menores que não constam na tabela com diferença maior que vinte centímetros, fazer regra de três para baixo na menor medida existente e acrescentar 10% no custo. Caso contrário, fazer uso da menor medida da tabela;</t>
  </si>
  <si>
    <t>Peças organicas não se altera medidas;</t>
  </si>
  <si>
    <t>Havendo duvidas, sempre consultar a industria.</t>
  </si>
  <si>
    <t>PÉS E BASES</t>
  </si>
  <si>
    <t>Alteração no modelo de pés ou base somente sob consulta;</t>
  </si>
  <si>
    <t>MADEIRA MACIÇA: Pés e bases nas cores: Imbuia, mel, tabaco, imbuia, branca, platina, prattan, off white, nogueira e castanho; (As cores para metal podem ser utilizadas também).</t>
  </si>
  <si>
    <t>LAMINAS NATURAIS: Pés, bases e complementos nas opções: Jequitibá, freijó natural e cinamomo. Opções de tingimentos: Nogueira, Castanho, Imbuia e tabaco;  (As cores para metal podem ser utilizadas também).</t>
  </si>
  <si>
    <t>METAL / AÇO CARBONO E ALUMINIO: Nas cores - Café, champagne, tinanium, ouro, rose, tabaco e branco.</t>
  </si>
  <si>
    <t>COURO: Café, preto e tabaco. (exclusivo para detalhes de produtos)</t>
  </si>
  <si>
    <t>RECOURO: Caramelo, preto, natural, carvalho, nogueira, verde e cinza; (exclusivo para algumas bases e mesas).</t>
  </si>
  <si>
    <t>TECIDOS FORNECIDOS</t>
  </si>
  <si>
    <t>Em caso de pedidos de produtos com tecido fornecido, a cobrança será realizada pelo grupo G0;</t>
  </si>
  <si>
    <t>É de responsabilidade do cliente garantir a qualidade de tecido fornecido;</t>
  </si>
  <si>
    <t>É de responsabilidade do cliente providenciar o envio do tecido devidamente identificado para a industria;</t>
  </si>
  <si>
    <t>O prazo de validade do pedido só começa a contar a partir da chegada do tecido na industria;</t>
  </si>
  <si>
    <t>MECANISMOS ELÉTRICOS, ATUADORES E ACESSÓRIOS</t>
  </si>
  <si>
    <t>Os mecanismos eletricos, atuadores, tomadas, acessórios e periferios possuem preços liquidos, não devendo em hipotese alguma ser aplicado descontos.</t>
  </si>
  <si>
    <t>ATENÇÃO</t>
  </si>
  <si>
    <t>Alguns modelos prossuem 2 ou até 3 tipos de acabamentos diferentes na mesma peça. Neste caso devemos ter atenção redobrada para fazer as indicações correta. Exemplo: Estofado Gema - A base que apoia o sofa é laminada, já os pés é uma base de metal. Neste caso deve-se aplicar as informações de acordo com orientado nesta mesma pagina de orientações.</t>
  </si>
  <si>
    <t>TABELA ESTOFADOS 2026</t>
  </si>
  <si>
    <t>LÍQUIDA</t>
  </si>
  <si>
    <t>REVISÃO</t>
  </si>
  <si>
    <t>ESTOFADO ANKUR</t>
  </si>
  <si>
    <t>Descrição</t>
  </si>
  <si>
    <t>Larg</t>
  </si>
  <si>
    <t>Prof</t>
  </si>
  <si>
    <t>PA</t>
  </si>
  <si>
    <t>m2</t>
  </si>
  <si>
    <t>Altura</t>
  </si>
  <si>
    <t>Tecido</t>
  </si>
  <si>
    <t>G0</t>
  </si>
  <si>
    <t>EXW</t>
  </si>
  <si>
    <t>FOB</t>
  </si>
  <si>
    <t>G1</t>
  </si>
  <si>
    <t>G2</t>
  </si>
  <si>
    <t>G3</t>
  </si>
  <si>
    <t>G4</t>
  </si>
  <si>
    <t>G5</t>
  </si>
  <si>
    <t>G6</t>
  </si>
  <si>
    <t>G7</t>
  </si>
  <si>
    <t>G8</t>
  </si>
  <si>
    <t>Módulo (1Ass:080 - S/br)</t>
  </si>
  <si>
    <t>Módulo (1Ass:090 - S/br)</t>
  </si>
  <si>
    <t>Módulo (1Ass:100 - S/br)</t>
  </si>
  <si>
    <t>Módulo (1Ass:110 - S/br)</t>
  </si>
  <si>
    <t/>
  </si>
  <si>
    <t>Módulo (1Ass:080 - 1Br:020)</t>
  </si>
  <si>
    <t>Módulo (1Ass:090 - 1Br:020)</t>
  </si>
  <si>
    <t>Módulo (1Ass:100 - 1Br:020)</t>
  </si>
  <si>
    <t>OBS: PÉ EM METAL PINTADO</t>
  </si>
  <si>
    <t>Módulo (1Ass:110 - 1Br:020)</t>
  </si>
  <si>
    <t>OBS: MESA REVESTIDA EM LÂMINA NATURAL</t>
  </si>
  <si>
    <t>Módulo (2Ass:080 - 1Br:020)</t>
  </si>
  <si>
    <t>Módulo (2Ass:090 - 1Br:020)</t>
  </si>
  <si>
    <t>Módulo (2Ass:100 - 1Br:020)</t>
  </si>
  <si>
    <t>Módulo (2Ass:110 - 1Br:020)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</si>
  <si>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</si>
  <si>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</si>
  <si>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</si>
  <si>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</si>
  <si>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</si>
  <si>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</si>
  <si>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</si>
  <si>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</si>
  <si>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</si>
  <si>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</si>
  <si>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</si>
  <si>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</si>
  <si>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Chaise (1Ass:090 - 1Br:020)</t>
  </si>
  <si>
    <t>Chaise (1Ass:100 - 1Br:020)</t>
  </si>
  <si>
    <t>Chaise (1Ass:110 - 1Br:020)</t>
  </si>
  <si>
    <t>Puff 104x104</t>
  </si>
  <si>
    <t>Puff 0,80 x 0,80</t>
  </si>
  <si>
    <t>Puff 0,90 x 0,80</t>
  </si>
  <si>
    <t>Puff 1,00 x 0,80</t>
  </si>
  <si>
    <t>Puff 1,10 x 0,80</t>
  </si>
  <si>
    <t>Puff 1,00 com mesa 0,55</t>
  </si>
  <si>
    <t>Puff 1,10 com mesa 0,55</t>
  </si>
  <si>
    <t>Almofada de Encosto</t>
  </si>
  <si>
    <t>Sumie Sem Canto 200</t>
  </si>
  <si>
    <t>Sumie Sem Canto 220</t>
  </si>
  <si>
    <t>Sumie Sem Canto 240</t>
  </si>
  <si>
    <t>ESTOFADO LASSO</t>
  </si>
  <si>
    <t>Módulo (1Ass:115 - S/br)</t>
  </si>
  <si>
    <t>Módulo (1Ass:135 - S/br)</t>
  </si>
  <si>
    <t>Módulo (1Ass:155 - S/br)</t>
  </si>
  <si>
    <t>Módulo (1Ass:175 - S/br)</t>
  </si>
  <si>
    <t>Módulo (1Ass:195 - S/br)</t>
  </si>
  <si>
    <t>Módulo (1Ass:215 - S/br)</t>
  </si>
  <si>
    <t>Módulo (1Ass:235 - S/br)</t>
  </si>
  <si>
    <t>PEÇA ASSINADA DESIGN:</t>
  </si>
  <si>
    <t>Módulo (1Ass:115 - 1Me:030)</t>
  </si>
  <si>
    <t>JOÃO V. DEMELE</t>
  </si>
  <si>
    <t>Módulo (1Ass:135 - 1Me:030)</t>
  </si>
  <si>
    <t>Módulo (1Ass:155 - 1Me:030)</t>
  </si>
  <si>
    <t>OBS: BASE EM LÂMINA NATURAL</t>
  </si>
  <si>
    <t>Módulo (1Ass:175 - 1Me:030)</t>
  </si>
  <si>
    <t>OBS: PÉ EM MADEIRA</t>
  </si>
  <si>
    <t>Módulo (1Ass:195 - 1Me:030)</t>
  </si>
  <si>
    <t>Módulo (1Ass:215 - 1Me:030)</t>
  </si>
  <si>
    <t>Módulo (1Ass:235 - 1Me:030)</t>
  </si>
  <si>
    <t>Módulo Curvo 250</t>
  </si>
  <si>
    <t>Puff 09x090</t>
  </si>
  <si>
    <t>Módulo Reto (1Ass:115 - S/br)</t>
  </si>
  <si>
    <t>Módulo Reto (1Ass:135 - S/br)</t>
  </si>
  <si>
    <t>Módulo Reto (1Ass:155 - S/br)</t>
  </si>
  <si>
    <t>Módulo Reto (1Ass:175 - S/br)</t>
  </si>
  <si>
    <t>Módulo Reto (1Ass:195 - S/br)</t>
  </si>
  <si>
    <t>Módulo Reto (1Ass:215 - S/br)</t>
  </si>
  <si>
    <t>Módulo Reto (1Ass:235 - S/br)</t>
  </si>
  <si>
    <t>Chaise</t>
  </si>
  <si>
    <t>Braço solto</t>
  </si>
  <si>
    <t>ESTOFADO MIWA</t>
  </si>
  <si>
    <t>Tapeçado - Bipartido (1Ass:166 - 2Br:20) - 6 Almofadas</t>
  </si>
  <si>
    <t>Tapeçado - Bipartido (1Ass:186 - 2Br:20) - 6 Almofadas</t>
  </si>
  <si>
    <t>Tapeçado - Bipartido (1Ass:206 - 2Br:20) - 6 Almofadas</t>
  </si>
  <si>
    <t>Tapeçado - Bipartido (1Ass:226 - 2Br:20) - 8 Almofadas</t>
  </si>
  <si>
    <t>Tapeçado - Bipartido (1Ass:246 - 2Br:20) - 8 Almofadas</t>
  </si>
  <si>
    <t>Tapeçado - Bipartido (1Ass:266 - 2Br:20) - 8 Almofadas</t>
  </si>
  <si>
    <t>Algodão - Bipartido (1Ass:166 - 2Br:20) - 6 Almofadas</t>
  </si>
  <si>
    <t>Algodão - Bipartido (1Ass:186 - 2Br:20) - 6 Almofadas</t>
  </si>
  <si>
    <t>Algodão - Bipartido (1Ass:206 - 2Br:20) - 6 Almofadas</t>
  </si>
  <si>
    <t>Algodão - Bipartido (1Ass:226 - 2Br:20) - 8 Almofadas</t>
  </si>
  <si>
    <t>Algodão - Bipartido (1Ass:246 - 2Br:20) - 8 Almofadas</t>
  </si>
  <si>
    <t>Algodão - Bipartido (1Ass:266 - 2Br:20) - 8 Almofadas</t>
  </si>
  <si>
    <t>Capa Inteira (1Ass:166 - 2Br:20) - 6 Almofadas</t>
  </si>
  <si>
    <t>Capa Inteira (1Ass:186 - 2Br:20) - 6 Almofadas</t>
  </si>
  <si>
    <t>Capa Inteira (1Ass:206 - 2Br:20) - 6 Almofadas</t>
  </si>
  <si>
    <t>Capa Inteira (1Ass:226 - 2Br:20) - 8 Almofadas</t>
  </si>
  <si>
    <t>Capa Inteira (1Ass:246 - 2Br:20) - 8 Almofadas</t>
  </si>
  <si>
    <t>Capa Inteira (1Ass:266 - 2Br:20) - 8 Almofadas</t>
  </si>
  <si>
    <t>ESTOFADO MOA</t>
  </si>
  <si>
    <t>Bipartido (2Ass:090 - 1Br:015)</t>
  </si>
  <si>
    <t>Bipartido (2Ass:100 - 1Br:015)</t>
  </si>
  <si>
    <t>Bipartido (2Ass:110 - 1Br:015)</t>
  </si>
  <si>
    <t>Bipartido (2Ass:120 - 1Br:015)</t>
  </si>
  <si>
    <t>Bipartido (2Ass:130 - 1Br:015)</t>
  </si>
  <si>
    <t>Bipartido (2Ass:140 - 1Br:015)</t>
  </si>
  <si>
    <t>Bipartido (2Ass:090 - 2Br:015)</t>
  </si>
  <si>
    <t>Bipartido (2Ass:100 - 2Br:015)</t>
  </si>
  <si>
    <t>LUCIANO SANTELLI</t>
  </si>
  <si>
    <t>Bipartido (2Ass:110 - 2Br:015)</t>
  </si>
  <si>
    <t>Bipartido (2Ass:120 - 2Br:015)</t>
  </si>
  <si>
    <t>Bipartido (2Ass:130 - 2Br:015)</t>
  </si>
  <si>
    <t>Bipartido (2Ass:140 - 2Br:015)</t>
  </si>
  <si>
    <t>Bipartido (1Ass:090 - 1Puff:090 - 1Br:015)</t>
  </si>
  <si>
    <t>Bipartido (1Ass:100 - 1Puff:100 - 1Br:015)</t>
  </si>
  <si>
    <t>Bipartido (1Ass:110 - 1Puff:110 - 1Br:015)</t>
  </si>
  <si>
    <t>Bipartido (1Ass:120 - 1Puff:120 - 1Br:015)</t>
  </si>
  <si>
    <t>Bipartido (1Ass:130 - 1Puff:130 - 1Br:015)</t>
  </si>
  <si>
    <t>Bipartido (1Ass:140 - 1Puff:140 - 1Br:015)</t>
  </si>
  <si>
    <t>Canto 120x120</t>
  </si>
  <si>
    <t>Chaise (1Ass:100 - 1Br:015)</t>
  </si>
  <si>
    <t>Chaise (1Ass:110 - 1Br:015)</t>
  </si>
  <si>
    <t>Chaise (1Ass:120 - 1Br:015)</t>
  </si>
  <si>
    <t>Puff 095x095</t>
  </si>
  <si>
    <t>Puff 105x095</t>
  </si>
  <si>
    <t>Puff 115x095</t>
  </si>
  <si>
    <t>ESTOFADO NINHO</t>
  </si>
  <si>
    <t>Modulo (1Ass:087 - 1Br:023)</t>
  </si>
  <si>
    <t>Modulo (1Ass:097 - 1Br:023)</t>
  </si>
  <si>
    <t>Modulo (1Ass:107 - 1Br:023)</t>
  </si>
  <si>
    <t>Modulo (1Ass:117 - 1Br:023)</t>
  </si>
  <si>
    <t>Modulo (1Ass:127 - 1Br:023)</t>
  </si>
  <si>
    <t>Modulo (1Ass:137 - 1Br:023)</t>
  </si>
  <si>
    <t>Poltrona</t>
  </si>
  <si>
    <t>OBS: BASE EM MADEIRA</t>
  </si>
  <si>
    <t>ESTOFADO TIBAGI</t>
  </si>
  <si>
    <t>Modulo (1Ass:085 - S/Br)</t>
  </si>
  <si>
    <t>Modulo (1Ass:095 - S/Br)</t>
  </si>
  <si>
    <t>Modulo (1Ass:105 - S/Br)</t>
  </si>
  <si>
    <t>Modulo (1Ass:115 - S/Br)</t>
  </si>
  <si>
    <t>Modulo (1Ass:125 - S/Br)</t>
  </si>
  <si>
    <t>Modulo (1Ass:085 - 1Br:25)</t>
  </si>
  <si>
    <t>Modulo (1Ass:095 - 1Br:25)</t>
  </si>
  <si>
    <t>Modulo (1Ass:105 - 1Br:25)</t>
  </si>
  <si>
    <t>Modulo (1Ass:115 - 1Br:25)</t>
  </si>
  <si>
    <t>Modulo (1Ass:125 - 1Br:25)</t>
  </si>
  <si>
    <t>Modulo (2Ass:085 - S/Br)</t>
  </si>
  <si>
    <t>Modulo (2Ass:095 - S/Br)</t>
  </si>
  <si>
    <t>Modulo (2Ass:105 - S/Br)</t>
  </si>
  <si>
    <t>Modulo (2Ass:115 - S/Br)</t>
  </si>
  <si>
    <t>Modulo (2Ass:125 - S/Br)</t>
  </si>
  <si>
    <t>Modulo (2Ass:085 - 1Br:025)</t>
  </si>
  <si>
    <t>Modulo (2Ass:095 - 1Br:025)</t>
  </si>
  <si>
    <t>Modulo (2Ass:105 - 1Br:025)</t>
  </si>
  <si>
    <t>Modulo (2Ass:115 - 1Br:025)</t>
  </si>
  <si>
    <t>Modulo (2Ass:125 - 1Br:025)</t>
  </si>
  <si>
    <t>Modulo Curvo</t>
  </si>
  <si>
    <t>ESTOFADO ZENITH</t>
  </si>
  <si>
    <t>Braço 012</t>
  </si>
  <si>
    <t>MECANISMO 1 ASS</t>
  </si>
  <si>
    <t>ACRESCENTAR ESTE VALOR PARA 1 ASSENTO (NÃO SE APLICA DESCONTO)</t>
  </si>
  <si>
    <t>MECANISMO 2 ASS</t>
  </si>
  <si>
    <t>ACRESCENTAR ESTE VALOR PARA 2 ASSENTO (NÃO SE APLICA DESCONTO)</t>
  </si>
  <si>
    <t>OBS: DISPONÍVEL APENAS COM AUTOMAÇÃO</t>
  </si>
  <si>
    <t>MECANISMO 3 ASS</t>
  </si>
  <si>
    <t>ACRESCENTAR ESTE VALOR PARA 3 ASSENTO (NÃO SE APLICA DESCONTO)</t>
  </si>
  <si>
    <t>TABELA POLTRONAS 2026</t>
  </si>
  <si>
    <t>POLTRONA ALENTO</t>
  </si>
  <si>
    <t>OBS: BASE GIRATÓRIA</t>
  </si>
  <si>
    <t>POLTRONA DENGO</t>
  </si>
  <si>
    <t>POLTRONA KENJI</t>
  </si>
  <si>
    <t>OBS: BASE EM METAL</t>
  </si>
  <si>
    <t>POLTRONA MUSH</t>
  </si>
  <si>
    <t>Poltrona Giratória</t>
  </si>
  <si>
    <t>OBS: BASE REVESTIDA EM LÂMINA NATURAL</t>
  </si>
  <si>
    <t>ESTUDIO GALHO</t>
  </si>
  <si>
    <t>POLTRONA MUSH (MALHA)</t>
  </si>
  <si>
    <t>G15</t>
  </si>
  <si>
    <t>POLTRONA SEMENTE</t>
  </si>
  <si>
    <t>TABELA PUFF E ALMOFADA 2026</t>
  </si>
  <si>
    <t>BANCO TOAD</t>
  </si>
  <si>
    <t>Banco</t>
  </si>
  <si>
    <t>Puff</t>
  </si>
  <si>
    <t>BANCO TORUS</t>
  </si>
  <si>
    <t>CAMA KAORI</t>
  </si>
  <si>
    <t>King Size</t>
  </si>
  <si>
    <t>Mini totem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</si>
</sst>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  <numFmt numFmtId="180" formatCode="_-&quot;R$&quot;* #,##0_-;\-&quot;R$&quot;* #,##0_-;_-&quot;R$&quot;* &quot;-&quot;_-;_-@_-"/>
    <numFmt numFmtId="181" formatCode="_-&quot;R$&quot;* #,##0.00_-;\-&quot;R$&quot;* #,##0.00_-;_-&quot;R$&quot;* &quot;-&quot;??_-;_-@_-"/>
    <numFmt numFmtId="182" formatCode="dd/mm/yy;@"/>
    <numFmt numFmtId="183" formatCode="&quot;$&quot;#,##0.00"/>
  </numFmts>
  <fonts count="55">
    <font>
      <sz val="11"/>
      <color theme="1"/>
      <name val="Calibri"/>
      <charset val="134"/>
      <scheme val="minor"/>
    </font>
    <font>
      <b/>
      <sz val="10"/>
      <color indexed="63"/>
      <name val="Verdana"/>
      <charset val="134"/>
    </font>
    <font>
      <sz val="12"/>
      <color indexed="63"/>
      <name val="Calibri"/>
      <charset val="134"/>
      <scheme val="minor"/>
    </font>
    <font>
      <sz val="12"/>
      <color theme="4" tint="-0.499984740745262"/>
      <name val="Calibri"/>
      <charset val="134"/>
      <scheme val="minor"/>
    </font>
    <font>
      <b/>
      <sz val="24"/>
      <color indexed="63"/>
      <name val="Calibri"/>
      <charset val="134"/>
      <scheme val="minor"/>
    </font>
    <font>
      <b/>
      <sz val="16"/>
      <color indexed="63"/>
      <name val="Calibri"/>
      <charset val="134"/>
      <scheme val="minor"/>
    </font>
    <font>
      <b/>
      <sz val="28"/>
      <color indexed="63"/>
      <name val="Orator pra Oi Text 2"/>
      <charset val="134"/>
    </font>
    <font>
      <b/>
      <sz val="12"/>
      <color indexed="63"/>
      <name val="Calibri"/>
      <charset val="134"/>
      <scheme val="minor"/>
    </font>
    <font>
      <b/>
      <sz val="8"/>
      <color rgb="FFFF0000"/>
      <name val="Calibri"/>
      <charset val="134"/>
      <scheme val="minor"/>
    </font>
    <font>
      <b/>
      <sz val="10"/>
      <color indexed="23"/>
      <name val="Verdana"/>
      <charset val="134"/>
    </font>
    <font>
      <b/>
      <sz val="12"/>
      <color indexed="23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2"/>
      <color theme="4" tint="-0.499984740745262"/>
      <name val="Calibri"/>
      <charset val="134"/>
      <scheme val="minor"/>
    </font>
    <font>
      <b/>
      <sz val="10"/>
      <name val="Calibri"/>
      <charset val="134"/>
      <scheme val="minor"/>
    </font>
    <font>
      <sz val="10"/>
      <color rgb="FFFF0000"/>
      <name val="Calibri"/>
      <charset val="134"/>
      <scheme val="minor"/>
    </font>
    <font>
      <b/>
      <sz val="10"/>
      <name val="Calibri"/>
      <charset val="134"/>
    </font>
    <font>
      <b/>
      <sz val="10"/>
      <color indexed="63"/>
      <name val="Calibri"/>
      <charset val="134"/>
      <scheme val="minor"/>
    </font>
    <font>
      <sz val="10"/>
      <color indexed="63"/>
      <name val="Calibri"/>
      <charset val="134"/>
      <scheme val="minor"/>
    </font>
    <font>
      <sz val="10"/>
      <name val="Calibri"/>
      <charset val="134"/>
      <scheme val="minor"/>
    </font>
    <font>
      <sz val="10"/>
      <name val="Calibri"/>
      <charset val="134"/>
    </font>
    <font>
      <b/>
      <sz val="10"/>
      <color rgb="FFFF0000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sz val="8"/>
      <color indexed="63"/>
      <name val="Calibri"/>
      <charset val="134"/>
      <scheme val="minor"/>
    </font>
    <font>
      <sz val="10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color theme="1"/>
      <name val="Aptos"/>
      <charset val="134"/>
    </font>
    <font>
      <sz val="10"/>
      <color theme="1"/>
      <name val="Aptos"/>
      <charset val="134"/>
    </font>
    <font>
      <b/>
      <sz val="12"/>
      <color theme="1"/>
      <name val="Aptos"/>
      <charset val="134"/>
    </font>
    <font>
      <b/>
      <sz val="12"/>
      <color rgb="FFFF0000"/>
      <name val="Aptos"/>
      <charset val="134"/>
    </font>
    <font>
      <b/>
      <sz val="11"/>
      <color rgb="FFFF0000"/>
      <name val="Cambria"/>
      <charset val="134"/>
      <scheme val="major"/>
    </font>
    <font>
      <b/>
      <sz val="10"/>
      <color rgb="FFFF0000"/>
      <name val="Aptos"/>
      <charset val="134"/>
    </font>
    <font>
      <b/>
      <i/>
      <sz val="10"/>
      <color theme="1"/>
      <name val="Aptos"/>
      <charset val="134"/>
    </font>
    <font>
      <b/>
      <sz val="10"/>
      <color theme="1"/>
      <name val="Aptos"/>
      <charset val="134"/>
    </font>
    <font>
      <b/>
      <sz val="48"/>
      <color theme="1"/>
      <name val="Calibri"/>
      <charset val="134"/>
      <scheme val="minor"/>
    </font>
    <font>
      <sz val="12"/>
      <color theme="1"/>
      <name val="Verdana"/>
      <charset val="134"/>
    </font>
    <font>
      <sz val="10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indexed="8"/>
      <name val="Calibri"/>
      <charset val="134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176" fontId="35" fillId="0" borderId="0" applyFont="0" applyFill="0" applyBorder="0" applyAlignment="0" applyProtection="0">
      <alignment vertical="center"/>
    </xf>
    <xf numFmtId="177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178" fontId="35" fillId="0" borderId="0" applyFont="0" applyFill="0" applyBorder="0" applyAlignment="0" applyProtection="0">
      <alignment vertical="center"/>
    </xf>
    <xf numFmtId="179" fontId="35" fillId="0" borderId="0" applyFont="0" applyFill="0" applyBorder="0" applyAlignment="0" applyProtection="0">
      <alignment vertical="center"/>
    </xf>
    <xf numFmtId="0" fontId="24" fillId="0" borderId="0"/>
    <xf numFmtId="0" fontId="36" fillId="0" borderId="0" applyNumberFormat="0" applyFill="0" applyBorder="0" applyAlignment="0" applyProtection="0">
      <alignment vertical="center"/>
    </xf>
    <xf numFmtId="0" fontId="35" fillId="11" borderId="18" applyNumberFormat="0" applyFon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1" fillId="0" borderId="19" applyNumberFormat="0" applyFill="0" applyAlignment="0" applyProtection="0">
      <alignment vertical="center"/>
    </xf>
    <xf numFmtId="0" fontId="42" fillId="0" borderId="20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12" borderId="21" applyNumberFormat="0" applyAlignment="0" applyProtection="0">
      <alignment vertical="center"/>
    </xf>
    <xf numFmtId="0" fontId="44" fillId="13" borderId="22" applyNumberFormat="0" applyAlignment="0" applyProtection="0">
      <alignment vertical="center"/>
    </xf>
    <xf numFmtId="0" fontId="45" fillId="13" borderId="21" applyNumberFormat="0" applyAlignment="0" applyProtection="0">
      <alignment vertical="center"/>
    </xf>
    <xf numFmtId="0" fontId="46" fillId="14" borderId="23" applyNumberFormat="0" applyAlignment="0" applyProtection="0">
      <alignment vertical="center"/>
    </xf>
    <xf numFmtId="0" fontId="47" fillId="0" borderId="24" applyNumberFormat="0" applyFill="0" applyAlignment="0" applyProtection="0">
      <alignment vertical="center"/>
    </xf>
    <xf numFmtId="0" fontId="48" fillId="0" borderId="25" applyNumberFormat="0" applyFill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52" fillId="21" borderId="0" applyNumberFormat="0" applyBorder="0" applyAlignment="0" applyProtection="0">
      <alignment vertical="center"/>
    </xf>
    <xf numFmtId="0" fontId="52" fillId="22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6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8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0" fontId="52" fillId="3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2" fillId="37" borderId="0" applyNumberFormat="0" applyBorder="0" applyAlignment="0" applyProtection="0">
      <alignment vertical="center"/>
    </xf>
    <xf numFmtId="0" fontId="52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180" fontId="54" fillId="0" borderId="0"/>
    <xf numFmtId="181" fontId="0" fillId="0" borderId="0"/>
    <xf numFmtId="0" fontId="54" fillId="0" borderId="0">
      <alignment vertical="top"/>
    </xf>
  </cellStyleXfs>
  <cellXfs count="104">
    <xf numFmtId="0" fontId="0" fillId="0" borderId="0" xfId="0"/>
    <xf numFmtId="0" fontId="1" fillId="0" borderId="0" xfId="0" applyFont="1" applyAlignment="1" applyProtection="1">
      <alignment horizontal="center"/>
      <protection hidden="1"/>
    </xf>
    <xf numFmtId="0" fontId="2" fillId="0" borderId="0" xfId="0" applyFont="1" applyProtection="1">
      <protection hidden="1"/>
    </xf>
    <xf numFmtId="2" fontId="2" fillId="0" borderId="0" xfId="0" applyNumberFormat="1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1" fontId="3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0" fillId="0" borderId="0" xfId="0" applyProtection="1"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0" fontId="0" fillId="0" borderId="2" xfId="0" applyBorder="1" applyProtection="1">
      <protection hidden="1"/>
    </xf>
    <xf numFmtId="0" fontId="0" fillId="0" borderId="3" xfId="0" applyBorder="1" applyProtection="1"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0" fontId="6" fillId="0" borderId="7" xfId="0" applyFont="1" applyBorder="1" applyAlignment="1" applyProtection="1">
      <alignment horizontal="left" vertical="center"/>
      <protection hidden="1"/>
    </xf>
    <xf numFmtId="0" fontId="7" fillId="0" borderId="2" xfId="0" applyFont="1" applyBorder="1" applyAlignment="1" applyProtection="1">
      <alignment horizontal="center" vertical="center"/>
      <protection hidden="1"/>
    </xf>
    <xf numFmtId="0" fontId="8" fillId="0" borderId="8" xfId="0" applyFont="1" applyBorder="1" applyAlignment="1" applyProtection="1">
      <alignment horizontal="right" vertical="center"/>
      <protection hidden="1"/>
    </xf>
    <xf numFmtId="182" fontId="8" fillId="0" borderId="8" xfId="0" applyNumberFormat="1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left" vertical="center"/>
      <protection hidden="1"/>
    </xf>
    <xf numFmtId="2" fontId="10" fillId="0" borderId="5" xfId="0" applyNumberFormat="1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1" fillId="0" borderId="5" xfId="0" applyFont="1" applyBorder="1" applyProtection="1">
      <protection hidden="1"/>
    </xf>
    <xf numFmtId="0" fontId="12" fillId="0" borderId="5" xfId="0" applyFont="1" applyBorder="1" applyAlignment="1" applyProtection="1">
      <alignment horizontal="center" vertical="center"/>
      <protection hidden="1"/>
    </xf>
    <xf numFmtId="0" fontId="0" fillId="0" borderId="4" xfId="0" applyBorder="1" applyProtection="1">
      <protection hidden="1"/>
    </xf>
    <xf numFmtId="2" fontId="13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13" fillId="3" borderId="8" xfId="0" applyFont="1" applyFill="1" applyBorder="1" applyAlignment="1">
      <alignment horizontal="left" vertical="center"/>
    </xf>
    <xf numFmtId="2" fontId="13" fillId="3" borderId="8" xfId="0" applyNumberFormat="1" applyFont="1" applyFill="1" applyBorder="1" applyAlignment="1" applyProtection="1">
      <alignment horizontal="center" vertical="center"/>
      <protection locked="0" hidden="1"/>
    </xf>
    <xf numFmtId="0" fontId="13" fillId="3" borderId="8" xfId="0" applyFont="1" applyFill="1" applyBorder="1" applyAlignment="1" applyProtection="1">
      <alignment horizontal="center" vertical="center"/>
      <protection hidden="1"/>
    </xf>
    <xf numFmtId="0" fontId="14" fillId="3" borderId="8" xfId="0" applyFont="1" applyFill="1" applyBorder="1" applyAlignment="1" applyProtection="1">
      <alignment horizontal="center" vertical="center"/>
      <protection hidden="1"/>
    </xf>
    <xf numFmtId="3" fontId="13" fillId="3" borderId="8" xfId="0" applyNumberFormat="1" applyFont="1" applyFill="1" applyBorder="1" applyAlignment="1" applyProtection="1">
      <alignment horizontal="center" vertical="center"/>
      <protection hidden="1"/>
    </xf>
    <xf numFmtId="0" fontId="15" fillId="3" borderId="8" xfId="0" applyFont="1" applyFill="1" applyBorder="1" applyAlignment="1">
      <alignment horizontal="center" vertical="center"/>
    </xf>
    <xf numFmtId="3" fontId="13" fillId="4" borderId="8" xfId="0" applyNumberFormat="1" applyFont="1" applyFill="1" applyBorder="1" applyAlignment="1" applyProtection="1">
      <alignment horizontal="center" vertical="center"/>
      <protection hidden="1"/>
    </xf>
    <xf numFmtId="0" fontId="15" fillId="4" borderId="8" xfId="0" applyFont="1" applyFill="1" applyBorder="1" applyAlignment="1">
      <alignment horizontal="center" vertical="center"/>
    </xf>
    <xf numFmtId="0" fontId="16" fillId="2" borderId="10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>
      <alignment horizontal="left"/>
    </xf>
    <xf numFmtId="2" fontId="17" fillId="5" borderId="8" xfId="0" applyNumberFormat="1" applyFont="1" applyFill="1" applyBorder="1" applyAlignment="1" applyProtection="1">
      <alignment horizontal="center"/>
      <protection locked="0" hidden="1"/>
    </xf>
    <xf numFmtId="2" fontId="17" fillId="6" borderId="4" xfId="0" applyNumberFormat="1" applyFont="1" applyFill="1" applyBorder="1" applyAlignment="1" applyProtection="1">
      <alignment horizontal="center"/>
      <protection hidden="1"/>
    </xf>
    <xf numFmtId="2" fontId="17" fillId="7" borderId="8" xfId="0" applyNumberFormat="1" applyFont="1" applyFill="1" applyBorder="1" applyAlignment="1" applyProtection="1">
      <alignment horizontal="center"/>
      <protection hidden="1"/>
    </xf>
    <xf numFmtId="2" fontId="14" fillId="3" borderId="4" xfId="0" applyNumberFormat="1" applyFont="1" applyFill="1" applyBorder="1" applyAlignment="1" applyProtection="1">
      <alignment horizontal="center"/>
      <protection hidden="1"/>
    </xf>
    <xf numFmtId="3" fontId="18" fillId="2" borderId="4" xfId="0" applyNumberFormat="1" applyFont="1" applyFill="1" applyBorder="1" applyAlignment="1" applyProtection="1">
      <alignment horizontal="center"/>
      <protection hidden="1"/>
    </xf>
    <xf numFmtId="183" fontId="19" fillId="2" borderId="4" xfId="0" applyNumberFormat="1" applyFont="1" applyFill="1" applyBorder="1" applyAlignment="1">
      <alignment horizontal="center"/>
    </xf>
    <xf numFmtId="3" fontId="18" fillId="7" borderId="4" xfId="0" applyNumberFormat="1" applyFont="1" applyFill="1" applyBorder="1" applyAlignment="1" applyProtection="1">
      <alignment horizontal="center"/>
      <protection hidden="1"/>
    </xf>
    <xf numFmtId="183" fontId="19" fillId="7" borderId="4" xfId="0" applyNumberFormat="1" applyFont="1" applyFill="1" applyBorder="1" applyAlignment="1">
      <alignment horizontal="center"/>
    </xf>
    <xf numFmtId="3" fontId="18" fillId="0" borderId="8" xfId="0" applyNumberFormat="1" applyFont="1" applyBorder="1" applyAlignment="1" applyProtection="1">
      <alignment horizontal="center"/>
      <protection hidden="1"/>
    </xf>
    <xf numFmtId="183" fontId="19" fillId="0" borderId="8" xfId="0" applyNumberFormat="1" applyFont="1" applyBorder="1" applyAlignment="1">
      <alignment horizontal="center"/>
    </xf>
    <xf numFmtId="0" fontId="20" fillId="2" borderId="10" xfId="0" applyFont="1" applyFill="1" applyBorder="1" applyAlignment="1" applyProtection="1">
      <alignment horizontal="center"/>
      <protection locked="0"/>
    </xf>
    <xf numFmtId="0" fontId="20" fillId="2" borderId="4" xfId="0" applyFont="1" applyFill="1" applyBorder="1" applyAlignment="1" applyProtection="1">
      <alignment horizontal="center"/>
      <protection locked="0"/>
    </xf>
    <xf numFmtId="0" fontId="13" fillId="3" borderId="8" xfId="0" applyFont="1" applyFill="1" applyBorder="1" applyAlignment="1" applyProtection="1">
      <alignment horizontal="center" vertical="center" wrapText="1"/>
      <protection locked="0"/>
    </xf>
    <xf numFmtId="0" fontId="21" fillId="3" borderId="9" xfId="0" applyFont="1" applyFill="1" applyBorder="1" applyAlignment="1">
      <alignment horizontal="left" vertical="center"/>
    </xf>
    <xf numFmtId="2" fontId="21" fillId="3" borderId="9" xfId="0" applyNumberFormat="1" applyFont="1" applyFill="1" applyBorder="1" applyAlignment="1" applyProtection="1">
      <alignment horizontal="center" vertical="center"/>
      <protection hidden="1"/>
    </xf>
    <xf numFmtId="1" fontId="13" fillId="3" borderId="8" xfId="0" applyNumberFormat="1" applyFont="1" applyFill="1" applyBorder="1" applyAlignment="1" applyProtection="1">
      <alignment horizontal="center" vertical="center"/>
      <protection hidden="1"/>
    </xf>
    <xf numFmtId="1" fontId="13" fillId="4" borderId="8" xfId="0" applyNumberFormat="1" applyFont="1" applyFill="1" applyBorder="1" applyAlignment="1" applyProtection="1">
      <alignment horizontal="center" vertical="center"/>
      <protection hidden="1"/>
    </xf>
    <xf numFmtId="0" fontId="22" fillId="2" borderId="10" xfId="0" applyFont="1" applyFill="1" applyBorder="1" applyAlignment="1" applyProtection="1">
      <alignment horizontal="center"/>
      <protection locked="0"/>
    </xf>
    <xf numFmtId="0" fontId="23" fillId="5" borderId="8" xfId="0" applyFont="1" applyFill="1" applyBorder="1" applyAlignment="1">
      <alignment horizontal="left"/>
    </xf>
    <xf numFmtId="2" fontId="23" fillId="5" borderId="8" xfId="0" applyNumberFormat="1" applyFont="1" applyFill="1" applyBorder="1" applyAlignment="1" applyProtection="1">
      <alignment horizontal="center"/>
      <protection hidden="1"/>
    </xf>
    <xf numFmtId="3" fontId="18" fillId="0" borderId="4" xfId="0" applyNumberFormat="1" applyFont="1" applyBorder="1" applyAlignment="1" applyProtection="1">
      <alignment horizontal="center"/>
      <protection hidden="1"/>
    </xf>
    <xf numFmtId="183" fontId="19" fillId="0" borderId="4" xfId="0" applyNumberFormat="1" applyFont="1" applyBorder="1" applyAlignment="1">
      <alignment horizontal="center"/>
    </xf>
    <xf numFmtId="0" fontId="13" fillId="8" borderId="10" xfId="0" applyFont="1" applyFill="1" applyBorder="1" applyAlignment="1" applyProtection="1">
      <alignment horizontal="center"/>
      <protection locked="0"/>
    </xf>
    <xf numFmtId="0" fontId="24" fillId="8" borderId="4" xfId="6" applyFill="1" applyBorder="1" applyAlignment="1" applyProtection="1">
      <alignment horizontal="center"/>
      <protection locked="0"/>
    </xf>
    <xf numFmtId="0" fontId="21" fillId="3" borderId="11" xfId="0" applyFont="1" applyFill="1" applyBorder="1" applyAlignment="1">
      <alignment horizontal="left" vertical="center"/>
    </xf>
    <xf numFmtId="2" fontId="21" fillId="3" borderId="11" xfId="0" applyNumberFormat="1" applyFont="1" applyFill="1" applyBorder="1" applyAlignment="1" applyProtection="1">
      <alignment horizontal="center" vertical="center"/>
      <protection hidden="1"/>
    </xf>
    <xf numFmtId="0" fontId="22" fillId="2" borderId="10" xfId="0" applyFont="1" applyFill="1" applyBorder="1" applyAlignment="1" applyProtection="1">
      <alignment horizontal="center" wrapText="1"/>
      <protection locked="0"/>
    </xf>
    <xf numFmtId="0" fontId="20" fillId="5" borderId="8" xfId="0" applyFont="1" applyFill="1" applyBorder="1" applyAlignment="1">
      <alignment horizontal="left"/>
    </xf>
    <xf numFmtId="2" fontId="23" fillId="5" borderId="8" xfId="0" applyNumberFormat="1" applyFont="1" applyFill="1" applyBorder="1" applyAlignment="1" applyProtection="1">
      <alignment horizontal="center" wrapText="1"/>
      <protection hidden="1"/>
    </xf>
    <xf numFmtId="0" fontId="20" fillId="5" borderId="4" xfId="0" applyFont="1" applyFill="1" applyBorder="1" applyAlignment="1">
      <alignment horizontal="left"/>
    </xf>
    <xf numFmtId="2" fontId="13" fillId="3" borderId="8" xfId="0" applyNumberFormat="1" applyFont="1" applyFill="1" applyBorder="1" applyAlignment="1" applyProtection="1">
      <alignment horizontal="center" vertical="center"/>
      <protection hidden="1"/>
    </xf>
    <xf numFmtId="2" fontId="20" fillId="7" borderId="4" xfId="0" applyNumberFormat="1" applyFont="1" applyFill="1" applyBorder="1" applyAlignment="1" applyProtection="1">
      <alignment horizontal="center"/>
      <protection hidden="1"/>
    </xf>
    <xf numFmtId="0" fontId="24" fillId="2" borderId="10" xfId="6" applyFill="1" applyBorder="1" applyAlignment="1" applyProtection="1">
      <alignment horizontal="center"/>
      <protection locked="0"/>
    </xf>
    <xf numFmtId="0" fontId="24" fillId="8" borderId="10" xfId="6" applyFill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hidden="1"/>
    </xf>
    <xf numFmtId="0" fontId="16" fillId="2" borderId="1" xfId="0" applyFont="1" applyFill="1" applyBorder="1" applyAlignment="1" applyProtection="1">
      <alignment horizontal="center"/>
      <protection locked="0"/>
    </xf>
    <xf numFmtId="0" fontId="16" fillId="2" borderId="10" xfId="0" applyFont="1" applyFill="1" applyBorder="1" applyAlignment="1" applyProtection="1">
      <alignment wrapText="1"/>
      <protection locked="0"/>
    </xf>
    <xf numFmtId="0" fontId="20" fillId="2" borderId="10" xfId="0" applyFont="1" applyFill="1" applyBorder="1" applyAlignment="1" applyProtection="1">
      <alignment horizontal="center" vertical="center" wrapText="1"/>
      <protection locked="0"/>
    </xf>
    <xf numFmtId="0" fontId="20" fillId="2" borderId="10" xfId="0" applyFont="1" applyFill="1" applyBorder="1" applyAlignment="1" applyProtection="1">
      <alignment vertical="center" wrapText="1"/>
      <protection locked="0"/>
    </xf>
    <xf numFmtId="0" fontId="17" fillId="5" borderId="8" xfId="0" applyFont="1" applyFill="1" applyBorder="1" applyAlignment="1">
      <alignment horizontal="left"/>
    </xf>
    <xf numFmtId="3" fontId="13" fillId="9" borderId="4" xfId="0" applyNumberFormat="1" applyFont="1" applyFill="1" applyBorder="1" applyAlignment="1" applyProtection="1">
      <alignment horizontal="center"/>
      <protection hidden="1"/>
    </xf>
    <xf numFmtId="183" fontId="15" fillId="9" borderId="4" xfId="0" applyNumberFormat="1" applyFont="1" applyFill="1" applyBorder="1" applyAlignment="1">
      <alignment horizontal="center"/>
    </xf>
    <xf numFmtId="3" fontId="13" fillId="9" borderId="11" xfId="0" applyNumberFormat="1" applyFont="1" applyFill="1" applyBorder="1" applyProtection="1">
      <protection hidden="1"/>
    </xf>
    <xf numFmtId="183" fontId="15" fillId="9" borderId="11" xfId="0" applyNumberFormat="1" applyFont="1" applyFill="1" applyBorder="1"/>
    <xf numFmtId="3" fontId="18" fillId="9" borderId="4" xfId="0" applyNumberFormat="1" applyFont="1" applyFill="1" applyBorder="1" applyAlignment="1" applyProtection="1">
      <alignment horizontal="center"/>
      <protection hidden="1"/>
    </xf>
    <xf numFmtId="3" fontId="18" fillId="9" borderId="8" xfId="0" applyNumberFormat="1" applyFont="1" applyFill="1" applyBorder="1" applyAlignment="1" applyProtection="1">
      <alignment horizontal="center"/>
      <protection hidden="1"/>
    </xf>
    <xf numFmtId="0" fontId="16" fillId="2" borderId="4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>
      <alignment vertical="center"/>
    </xf>
    <xf numFmtId="0" fontId="27" fillId="10" borderId="12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top" wrapText="1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0" fillId="2" borderId="0" xfId="0" applyFill="1"/>
    <xf numFmtId="0" fontId="33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 wrapText="1"/>
    </xf>
    <xf numFmtId="0" fontId="8" fillId="0" borderId="8" xfId="0" applyFont="1" applyBorder="1" applyAlignment="1" applyProtection="1" quotePrefix="1">
      <alignment horizontal="right" vertical="center"/>
      <protection hidden="1"/>
    </xf>
  </cellXfs>
  <cellStyles count="52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  <cellStyle name="Vírgula 2" xfId="49"/>
    <cellStyle name="Moeda 2" xfId="50"/>
    <cellStyle name="Normal 2" xfId="51"/>
  </cellStyles>
  <dxfs count="1">
    <dxf>
      <numFmt numFmtId="184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image" Target="../media/image10.jpeg"/><Relationship Id="rId8" Type="http://schemas.openxmlformats.org/officeDocument/2006/relationships/image" Target="../media/image9.jpeg"/><Relationship Id="rId7" Type="http://schemas.openxmlformats.org/officeDocument/2006/relationships/image" Target="../media/image8.jpe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3" Type="http://schemas.openxmlformats.org/officeDocument/2006/relationships/image" Target="../media/image14.png"/><Relationship Id="rId12" Type="http://schemas.openxmlformats.org/officeDocument/2006/relationships/image" Target="../media/image13.jpeg"/><Relationship Id="rId11" Type="http://schemas.openxmlformats.org/officeDocument/2006/relationships/image" Target="../media/image12.jpeg"/><Relationship Id="rId10" Type="http://schemas.openxmlformats.org/officeDocument/2006/relationships/image" Target="../media/image1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7" Type="http://schemas.openxmlformats.org/officeDocument/2006/relationships/image" Target="../media/image19.jpeg"/><Relationship Id="rId6" Type="http://schemas.openxmlformats.org/officeDocument/2006/relationships/image" Target="../media/image18.jpeg"/><Relationship Id="rId5" Type="http://schemas.openxmlformats.org/officeDocument/2006/relationships/image" Target="../media/image17.jpeg"/><Relationship Id="rId4" Type="http://schemas.openxmlformats.org/officeDocument/2006/relationships/image" Target="../media/image16.jpeg"/><Relationship Id="rId3" Type="http://schemas.openxmlformats.org/officeDocument/2006/relationships/image" Target="../media/image15.jpeg"/><Relationship Id="rId2" Type="http://schemas.openxmlformats.org/officeDocument/2006/relationships/image" Target="../media/image1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1.jpeg"/><Relationship Id="rId3" Type="http://schemas.openxmlformats.org/officeDocument/2006/relationships/image" Target="../media/image14.png"/><Relationship Id="rId2" Type="http://schemas.openxmlformats.org/officeDocument/2006/relationships/image" Target="../media/image20.jpe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10</xdr:col>
      <xdr:colOff>44450</xdr:colOff>
      <xdr:row>4</xdr:row>
      <xdr:rowOff>44450</xdr:rowOff>
    </xdr:from>
    <xdr:ext cx="3189953" cy="5832000"/>
    <xdr:pic>
      <xdr:nvPicPr>
        <xdr:cNvPr id="2" name="Imagem 1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1663700" y="768350"/>
          <a:ext cx="3189605" cy="5831840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1000125</xdr:colOff>
      <xdr:row>0</xdr:row>
      <xdr:rowOff>57206</xdr:rowOff>
    </xdr:from>
    <xdr:to>
      <xdr:col>0</xdr:col>
      <xdr:colOff>1468125</xdr:colOff>
      <xdr:row>1</xdr:row>
      <xdr:rowOff>188870</xdr:rowOff>
    </xdr:to>
    <xdr:pic>
      <xdr:nvPicPr>
        <xdr:cNvPr id="3" name="Imagem 2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1000125" y="57150"/>
          <a:ext cx="467995" cy="82677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228621</xdr:colOff>
      <xdr:row>5</xdr:row>
      <xdr:rowOff>22860</xdr:rowOff>
    </xdr:from>
    <xdr:to>
      <xdr:col>0</xdr:col>
      <xdr:colOff>2465291</xdr:colOff>
      <xdr:row>12</xdr:row>
      <xdr:rowOff>146700</xdr:rowOff>
    </xdr:to>
    <xdr:pic>
      <xdr:nvPicPr>
        <xdr:cNvPr id="5" name="Imagem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228600" y="1316355"/>
          <a:ext cx="2236470" cy="145732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180975</xdr:colOff>
      <xdr:row>194</xdr:row>
      <xdr:rowOff>19050</xdr:rowOff>
    </xdr:from>
    <xdr:to>
      <xdr:col>0</xdr:col>
      <xdr:colOff>2508714</xdr:colOff>
      <xdr:row>201</xdr:row>
      <xdr:rowOff>143550</xdr:rowOff>
    </xdr:to>
    <xdr:pic>
      <xdr:nvPicPr>
        <xdr:cNvPr id="13" name="Imagem 12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180975" y="37282120"/>
          <a:ext cx="2327275" cy="145796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171450</xdr:colOff>
      <xdr:row>116</xdr:row>
      <xdr:rowOff>28575</xdr:rowOff>
    </xdr:from>
    <xdr:to>
      <xdr:col>0</xdr:col>
      <xdr:colOff>2499190</xdr:colOff>
      <xdr:row>123</xdr:row>
      <xdr:rowOff>153075</xdr:rowOff>
    </xdr:to>
    <xdr:pic>
      <xdr:nvPicPr>
        <xdr:cNvPr id="4" name="Imagem 3"/>
        <xdr:cNvPicPr>
          <a:picLocks noChangeAspect="1"/>
        </xdr:cNvPicPr>
      </xdr:nvPicPr>
      <xdr:blipFill>
        <a:blip r:embed="rId4" cstate="print"/>
        <a:stretch>
          <a:fillRect/>
        </a:stretch>
      </xdr:blipFill>
      <xdr:spPr>
        <a:xfrm>
          <a:off x="171450" y="22453600"/>
          <a:ext cx="2327275" cy="145796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171450</xdr:colOff>
      <xdr:row>59</xdr:row>
      <xdr:rowOff>28575</xdr:rowOff>
    </xdr:from>
    <xdr:to>
      <xdr:col>0</xdr:col>
      <xdr:colOff>2499190</xdr:colOff>
      <xdr:row>66</xdr:row>
      <xdr:rowOff>153075</xdr:rowOff>
    </xdr:to>
    <xdr:pic>
      <xdr:nvPicPr>
        <xdr:cNvPr id="9" name="Imagem 8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171450" y="11602085"/>
          <a:ext cx="2327275" cy="145796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190500</xdr:colOff>
      <xdr:row>93</xdr:row>
      <xdr:rowOff>28575</xdr:rowOff>
    </xdr:from>
    <xdr:to>
      <xdr:col>0</xdr:col>
      <xdr:colOff>2489502</xdr:colOff>
      <xdr:row>100</xdr:row>
      <xdr:rowOff>135075</xdr:rowOff>
    </xdr:to>
    <xdr:pic>
      <xdr:nvPicPr>
        <xdr:cNvPr id="7" name="Imagem 6"/>
        <xdr:cNvPicPr>
          <a:picLocks noChangeAspect="1"/>
        </xdr:cNvPicPr>
      </xdr:nvPicPr>
      <xdr:blipFill>
        <a:blip r:embed="rId6" cstate="print"/>
        <a:stretch>
          <a:fillRect/>
        </a:stretch>
      </xdr:blipFill>
      <xdr:spPr>
        <a:xfrm>
          <a:off x="190500" y="18072100"/>
          <a:ext cx="2298700" cy="143954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171450</xdr:colOff>
      <xdr:row>103</xdr:row>
      <xdr:rowOff>133350</xdr:rowOff>
    </xdr:from>
    <xdr:to>
      <xdr:col>0</xdr:col>
      <xdr:colOff>2470452</xdr:colOff>
      <xdr:row>111</xdr:row>
      <xdr:rowOff>49350</xdr:rowOff>
    </xdr:to>
    <xdr:pic>
      <xdr:nvPicPr>
        <xdr:cNvPr id="12" name="Imagem 11"/>
        <xdr:cNvPicPr>
          <a:picLocks noChangeAspect="1"/>
        </xdr:cNvPicPr>
      </xdr:nvPicPr>
      <xdr:blipFill>
        <a:blip r:embed="rId7" cstate="print"/>
        <a:stretch>
          <a:fillRect/>
        </a:stretch>
      </xdr:blipFill>
      <xdr:spPr>
        <a:xfrm>
          <a:off x="171450" y="20081875"/>
          <a:ext cx="2298700" cy="143954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209550</xdr:colOff>
      <xdr:row>165</xdr:row>
      <xdr:rowOff>28575</xdr:rowOff>
    </xdr:from>
    <xdr:to>
      <xdr:col>0</xdr:col>
      <xdr:colOff>2508552</xdr:colOff>
      <xdr:row>172</xdr:row>
      <xdr:rowOff>135075</xdr:rowOff>
    </xdr:to>
    <xdr:pic>
      <xdr:nvPicPr>
        <xdr:cNvPr id="16" name="Imagem 15"/>
        <xdr:cNvPicPr>
          <a:picLocks noChangeAspect="1"/>
        </xdr:cNvPicPr>
      </xdr:nvPicPr>
      <xdr:blipFill>
        <a:blip r:embed="rId8" cstate="print"/>
        <a:stretch>
          <a:fillRect/>
        </a:stretch>
      </xdr:blipFill>
      <xdr:spPr>
        <a:xfrm>
          <a:off x="209550" y="31774130"/>
          <a:ext cx="2298700" cy="143954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38101</xdr:colOff>
      <xdr:row>179</xdr:row>
      <xdr:rowOff>0</xdr:rowOff>
    </xdr:from>
    <xdr:to>
      <xdr:col>0</xdr:col>
      <xdr:colOff>2575685</xdr:colOff>
      <xdr:row>186</xdr:row>
      <xdr:rowOff>8025</xdr:rowOff>
    </xdr:to>
    <xdr:pic>
      <xdr:nvPicPr>
        <xdr:cNvPr id="20" name="Imagem 19"/>
        <xdr:cNvPicPr>
          <a:picLocks noChangeAspect="1"/>
        </xdr:cNvPicPr>
      </xdr:nvPicPr>
      <xdr:blipFill>
        <a:blip r:embed="rId9" cstate="print"/>
        <a:stretch>
          <a:fillRect/>
        </a:stretch>
      </xdr:blipFill>
      <xdr:spPr>
        <a:xfrm>
          <a:off x="38100" y="34412555"/>
          <a:ext cx="2537460" cy="133413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180975</xdr:colOff>
      <xdr:row>148</xdr:row>
      <xdr:rowOff>28575</xdr:rowOff>
    </xdr:from>
    <xdr:to>
      <xdr:col>0</xdr:col>
      <xdr:colOff>2479977</xdr:colOff>
      <xdr:row>155</xdr:row>
      <xdr:rowOff>135075</xdr:rowOff>
    </xdr:to>
    <xdr:pic>
      <xdr:nvPicPr>
        <xdr:cNvPr id="22" name="Imagem 21"/>
        <xdr:cNvPicPr>
          <a:picLocks noChangeAspect="1"/>
        </xdr:cNvPicPr>
      </xdr:nvPicPr>
      <xdr:blipFill>
        <a:blip r:embed="rId10" cstate="print"/>
        <a:stretch>
          <a:fillRect/>
        </a:stretch>
      </xdr:blipFill>
      <xdr:spPr>
        <a:xfrm>
          <a:off x="180975" y="28542615"/>
          <a:ext cx="2298700" cy="143954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771525</xdr:colOff>
      <xdr:row>157</xdr:row>
      <xdr:rowOff>142875</xdr:rowOff>
    </xdr:from>
    <xdr:to>
      <xdr:col>0</xdr:col>
      <xdr:colOff>1851525</xdr:colOff>
      <xdr:row>163</xdr:row>
      <xdr:rowOff>89400</xdr:rowOff>
    </xdr:to>
    <xdr:pic>
      <xdr:nvPicPr>
        <xdr:cNvPr id="24" name="Imagem 23"/>
        <xdr:cNvPicPr>
          <a:picLocks noChangeAspect="1"/>
        </xdr:cNvPicPr>
      </xdr:nvPicPr>
      <xdr:blipFill>
        <a:blip r:embed="rId11" cstate="print"/>
        <a:stretch>
          <a:fillRect/>
        </a:stretch>
      </xdr:blipFill>
      <xdr:spPr>
        <a:xfrm>
          <a:off x="771525" y="30371415"/>
          <a:ext cx="1079500" cy="108204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180975</xdr:colOff>
      <xdr:row>132</xdr:row>
      <xdr:rowOff>142875</xdr:rowOff>
    </xdr:from>
    <xdr:to>
      <xdr:col>0</xdr:col>
      <xdr:colOff>2508715</xdr:colOff>
      <xdr:row>140</xdr:row>
      <xdr:rowOff>76875</xdr:rowOff>
    </xdr:to>
    <xdr:pic>
      <xdr:nvPicPr>
        <xdr:cNvPr id="2" name="Imagem 1"/>
        <xdr:cNvPicPr>
          <a:picLocks noChangeAspect="1"/>
        </xdr:cNvPicPr>
      </xdr:nvPicPr>
      <xdr:blipFill>
        <a:blip r:embed="rId12" cstate="print"/>
        <a:stretch>
          <a:fillRect/>
        </a:stretch>
      </xdr:blipFill>
      <xdr:spPr>
        <a:xfrm>
          <a:off x="180975" y="25608915"/>
          <a:ext cx="2327275" cy="1457960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639701</xdr:colOff>
      <xdr:row>67</xdr:row>
      <xdr:rowOff>180164</xdr:rowOff>
    </xdr:from>
    <xdr:ext cx="188259" cy="184910"/>
    <xdr:pic>
      <xdr:nvPicPr>
        <xdr:cNvPr id="8" name="Imagem 7"/>
        <xdr:cNvPicPr>
          <a:picLocks noChangeAspect="1"/>
        </xdr:cNvPicPr>
      </xdr:nvPicPr>
      <xdr:blipFill>
        <a:blip r:embed="rId13" cstate="email"/>
        <a:stretch>
          <a:fillRect/>
        </a:stretch>
      </xdr:blipFill>
      <xdr:spPr>
        <a:xfrm>
          <a:off x="639445" y="13277215"/>
          <a:ext cx="187960" cy="184785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0</xdr:col>
      <xdr:colOff>573026</xdr:colOff>
      <xdr:row>124</xdr:row>
      <xdr:rowOff>189689</xdr:rowOff>
    </xdr:from>
    <xdr:ext cx="188259" cy="184910"/>
    <xdr:pic>
      <xdr:nvPicPr>
        <xdr:cNvPr id="11" name="Imagem 10"/>
        <xdr:cNvPicPr>
          <a:picLocks noChangeAspect="1"/>
        </xdr:cNvPicPr>
      </xdr:nvPicPr>
      <xdr:blipFill>
        <a:blip r:embed="rId13" cstate="email"/>
        <a:stretch>
          <a:fillRect/>
        </a:stretch>
      </xdr:blipFill>
      <xdr:spPr>
        <a:xfrm>
          <a:off x="572770" y="24138255"/>
          <a:ext cx="187960" cy="184785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0</xdr:col>
      <xdr:colOff>639701</xdr:colOff>
      <xdr:row>174</xdr:row>
      <xdr:rowOff>180164</xdr:rowOff>
    </xdr:from>
    <xdr:ext cx="188259" cy="184910"/>
    <xdr:pic>
      <xdr:nvPicPr>
        <xdr:cNvPr id="25" name="Imagem 24"/>
        <xdr:cNvPicPr>
          <a:picLocks noChangeAspect="1"/>
        </xdr:cNvPicPr>
      </xdr:nvPicPr>
      <xdr:blipFill>
        <a:blip r:embed="rId13" cstate="email"/>
        <a:stretch>
          <a:fillRect/>
        </a:stretch>
      </xdr:blipFill>
      <xdr:spPr>
        <a:xfrm>
          <a:off x="639445" y="33639760"/>
          <a:ext cx="187960" cy="184785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285750</xdr:colOff>
          <xdr:row>0</xdr:row>
          <xdr:rowOff>66675</xdr:rowOff>
        </xdr:from>
        <xdr:to>
          <xdr:col>16</xdr:col>
          <xdr:colOff>514350</xdr:colOff>
          <xdr:row>0</xdr:row>
          <xdr:rowOff>600075</xdr:rowOff>
        </xdr:to>
        <xdr:sp macro="[0]!excluir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2763500" y="66675"/>
              <a:ext cx="1609725" cy="5334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Calibri" panose="020F0502020204030204" charset="-122"/>
                  <a:ea typeface="Calibri" panose="020F0502020204030204" charset="-122"/>
                  <a:cs typeface="Calibri" panose="020F0502020204030204" charset="-122"/>
                  <a:sym typeface="Calibri" panose="020F0502020204030204" charset="-122"/>
                </a:rPr>
                <a:t>EXCLUIR LINHA</a:t>
              </a:r>
              <a:endParaRPr lang="zh-CN" altLang="en-US">
                <a:solidFill>
                  <a:srgbClr val="000000"/>
                </a:solidFill>
                <a:latin typeface="Calibri" panose="020F0502020204030204" charset="-122"/>
                <a:ea typeface="Calibri" panose="020F0502020204030204" charset="-122"/>
                <a:cs typeface="Calibri" panose="020F0502020204030204" charset="-122"/>
                <a:sym typeface="Calibri" panose="020F050202020403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666750</xdr:colOff>
      <xdr:row>0</xdr:row>
      <xdr:rowOff>57150</xdr:rowOff>
    </xdr:from>
    <xdr:to>
      <xdr:col>0</xdr:col>
      <xdr:colOff>1134750</xdr:colOff>
      <xdr:row>1</xdr:row>
      <xdr:rowOff>191952</xdr:rowOff>
    </xdr:to>
    <xdr:pic>
      <xdr:nvPicPr>
        <xdr:cNvPr id="78" name="Imagem 77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666750" y="57150"/>
          <a:ext cx="467995" cy="829945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235841</xdr:colOff>
      <xdr:row>11</xdr:row>
      <xdr:rowOff>180164</xdr:rowOff>
    </xdr:from>
    <xdr:to>
      <xdr:col>0</xdr:col>
      <xdr:colOff>424100</xdr:colOff>
      <xdr:row>12</xdr:row>
      <xdr:rowOff>182194</xdr:rowOff>
    </xdr:to>
    <xdr:pic>
      <xdr:nvPicPr>
        <xdr:cNvPr id="7" name="Imagem 6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35585" y="2616200"/>
          <a:ext cx="187960" cy="19240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314325</xdr:colOff>
      <xdr:row>5</xdr:row>
      <xdr:rowOff>19050</xdr:rowOff>
    </xdr:from>
    <xdr:to>
      <xdr:col>0</xdr:col>
      <xdr:colOff>1397925</xdr:colOff>
      <xdr:row>10</xdr:row>
      <xdr:rowOff>150150</xdr:rowOff>
    </xdr:to>
    <xdr:pic>
      <xdr:nvPicPr>
        <xdr:cNvPr id="2" name="Imagem 1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314325" y="1312545"/>
          <a:ext cx="1083310" cy="108331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216791</xdr:colOff>
      <xdr:row>20</xdr:row>
      <xdr:rowOff>189689</xdr:rowOff>
    </xdr:from>
    <xdr:to>
      <xdr:col>0</xdr:col>
      <xdr:colOff>405050</xdr:colOff>
      <xdr:row>22</xdr:row>
      <xdr:rowOff>1219</xdr:rowOff>
    </xdr:to>
    <xdr:pic>
      <xdr:nvPicPr>
        <xdr:cNvPr id="3" name="Imagem 2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16535" y="4340225"/>
          <a:ext cx="187960" cy="192405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235841</xdr:colOff>
      <xdr:row>29</xdr:row>
      <xdr:rowOff>180164</xdr:rowOff>
    </xdr:from>
    <xdr:to>
      <xdr:col>0</xdr:col>
      <xdr:colOff>424100</xdr:colOff>
      <xdr:row>30</xdr:row>
      <xdr:rowOff>182194</xdr:rowOff>
    </xdr:to>
    <xdr:pic>
      <xdr:nvPicPr>
        <xdr:cNvPr id="5" name="Imagem 4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35585" y="6045200"/>
          <a:ext cx="187960" cy="192405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235841</xdr:colOff>
      <xdr:row>56</xdr:row>
      <xdr:rowOff>180164</xdr:rowOff>
    </xdr:from>
    <xdr:to>
      <xdr:col>0</xdr:col>
      <xdr:colOff>424100</xdr:colOff>
      <xdr:row>57</xdr:row>
      <xdr:rowOff>182194</xdr:rowOff>
    </xdr:to>
    <xdr:pic>
      <xdr:nvPicPr>
        <xdr:cNvPr id="12" name="Imagem 11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35585" y="11188700"/>
          <a:ext cx="187960" cy="19240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342900</xdr:colOff>
      <xdr:row>23</xdr:row>
      <xdr:rowOff>28575</xdr:rowOff>
    </xdr:from>
    <xdr:to>
      <xdr:col>0</xdr:col>
      <xdr:colOff>1422900</xdr:colOff>
      <xdr:row>28</xdr:row>
      <xdr:rowOff>156075</xdr:rowOff>
    </xdr:to>
    <xdr:pic>
      <xdr:nvPicPr>
        <xdr:cNvPr id="16" name="Imagem 15"/>
        <xdr:cNvPicPr>
          <a:picLocks noChangeAspect="1"/>
        </xdr:cNvPicPr>
      </xdr:nvPicPr>
      <xdr:blipFill>
        <a:blip r:embed="rId4" cstate="print"/>
        <a:stretch>
          <a:fillRect/>
        </a:stretch>
      </xdr:blipFill>
      <xdr:spPr>
        <a:xfrm>
          <a:off x="342900" y="4751070"/>
          <a:ext cx="1079500" cy="10795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314325</xdr:colOff>
      <xdr:row>50</xdr:row>
      <xdr:rowOff>28575</xdr:rowOff>
    </xdr:from>
    <xdr:to>
      <xdr:col>0</xdr:col>
      <xdr:colOff>1394325</xdr:colOff>
      <xdr:row>55</xdr:row>
      <xdr:rowOff>156075</xdr:rowOff>
    </xdr:to>
    <xdr:pic>
      <xdr:nvPicPr>
        <xdr:cNvPr id="18" name="Imagem 17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314325" y="9894570"/>
          <a:ext cx="1079500" cy="10795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333375</xdr:colOff>
      <xdr:row>14</xdr:row>
      <xdr:rowOff>28574</xdr:rowOff>
    </xdr:from>
    <xdr:to>
      <xdr:col>0</xdr:col>
      <xdr:colOff>1413375</xdr:colOff>
      <xdr:row>19</xdr:row>
      <xdr:rowOff>156074</xdr:rowOff>
    </xdr:to>
    <xdr:pic>
      <xdr:nvPicPr>
        <xdr:cNvPr id="6" name="Imagem 5"/>
        <xdr:cNvPicPr>
          <a:picLocks noChangeAspect="1"/>
        </xdr:cNvPicPr>
      </xdr:nvPicPr>
      <xdr:blipFill>
        <a:blip r:embed="rId6" cstate="print"/>
        <a:stretch>
          <a:fillRect/>
        </a:stretch>
      </xdr:blipFill>
      <xdr:spPr>
        <a:xfrm>
          <a:off x="333375" y="3035935"/>
          <a:ext cx="1079500" cy="1080135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235841</xdr:colOff>
      <xdr:row>38</xdr:row>
      <xdr:rowOff>180164</xdr:rowOff>
    </xdr:from>
    <xdr:to>
      <xdr:col>0</xdr:col>
      <xdr:colOff>424100</xdr:colOff>
      <xdr:row>39</xdr:row>
      <xdr:rowOff>182194</xdr:rowOff>
    </xdr:to>
    <xdr:pic>
      <xdr:nvPicPr>
        <xdr:cNvPr id="4" name="Imagem 3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35585" y="7759700"/>
          <a:ext cx="187960" cy="19240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342900</xdr:colOff>
      <xdr:row>32</xdr:row>
      <xdr:rowOff>28575</xdr:rowOff>
    </xdr:from>
    <xdr:to>
      <xdr:col>0</xdr:col>
      <xdr:colOff>1432429</xdr:colOff>
      <xdr:row>37</xdr:row>
      <xdr:rowOff>156075</xdr:rowOff>
    </xdr:to>
    <xdr:pic>
      <xdr:nvPicPr>
        <xdr:cNvPr id="9" name="Imagem 8"/>
        <xdr:cNvPicPr>
          <a:picLocks noChangeAspect="1"/>
        </xdr:cNvPicPr>
      </xdr:nvPicPr>
      <xdr:blipFill>
        <a:blip r:embed="rId7" cstate="print"/>
        <a:stretch>
          <a:fillRect/>
        </a:stretch>
      </xdr:blipFill>
      <xdr:spPr>
        <a:xfrm>
          <a:off x="342900" y="6465570"/>
          <a:ext cx="1089025" cy="10795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235841</xdr:colOff>
      <xdr:row>47</xdr:row>
      <xdr:rowOff>180164</xdr:rowOff>
    </xdr:from>
    <xdr:to>
      <xdr:col>0</xdr:col>
      <xdr:colOff>424100</xdr:colOff>
      <xdr:row>48</xdr:row>
      <xdr:rowOff>182194</xdr:rowOff>
    </xdr:to>
    <xdr:pic>
      <xdr:nvPicPr>
        <xdr:cNvPr id="8" name="Imagem 7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35585" y="9474200"/>
          <a:ext cx="187960" cy="19240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342900</xdr:colOff>
      <xdr:row>41</xdr:row>
      <xdr:rowOff>28575</xdr:rowOff>
    </xdr:from>
    <xdr:ext cx="1089529" cy="1080000"/>
    <xdr:pic>
      <xdr:nvPicPr>
        <xdr:cNvPr id="10" name="Imagem 9"/>
        <xdr:cNvPicPr>
          <a:picLocks noChangeAspect="1"/>
        </xdr:cNvPicPr>
      </xdr:nvPicPr>
      <xdr:blipFill>
        <a:blip r:embed="rId7" cstate="print"/>
        <a:stretch>
          <a:fillRect/>
        </a:stretch>
      </xdr:blipFill>
      <xdr:spPr>
        <a:xfrm>
          <a:off x="342900" y="8180070"/>
          <a:ext cx="1089025" cy="1079500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0</xdr:row>
          <xdr:rowOff>57150</xdr:rowOff>
        </xdr:from>
        <xdr:to>
          <xdr:col>15</xdr:col>
          <xdr:colOff>485775</xdr:colOff>
          <xdr:row>0</xdr:row>
          <xdr:rowOff>590550</xdr:rowOff>
        </xdr:to>
        <xdr:sp macro="[0]!excluir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0763250" y="57150"/>
              <a:ext cx="1600200" cy="5334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Calibri" panose="020F0502020204030204" charset="-122"/>
                  <a:ea typeface="Calibri" panose="020F0502020204030204" charset="-122"/>
                  <a:cs typeface="Calibri" panose="020F0502020204030204" charset="-122"/>
                  <a:sym typeface="Calibri" panose="020F0502020204030204" charset="-122"/>
                </a:rPr>
                <a:t>EXCLUIR LINHA</a:t>
              </a:r>
              <a:endParaRPr lang="zh-CN" altLang="en-US">
                <a:solidFill>
                  <a:srgbClr val="000000"/>
                </a:solidFill>
                <a:latin typeface="Calibri" panose="020F0502020204030204" charset="-122"/>
                <a:ea typeface="Calibri" panose="020F0502020204030204" charset="-122"/>
                <a:cs typeface="Calibri" panose="020F0502020204030204" charset="-122"/>
                <a:sym typeface="Calibri" panose="020F050202020403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638175</xdr:colOff>
      <xdr:row>0</xdr:row>
      <xdr:rowOff>47625</xdr:rowOff>
    </xdr:from>
    <xdr:to>
      <xdr:col>0</xdr:col>
      <xdr:colOff>1106175</xdr:colOff>
      <xdr:row>1</xdr:row>
      <xdr:rowOff>179289</xdr:rowOff>
    </xdr:to>
    <xdr:pic>
      <xdr:nvPicPr>
        <xdr:cNvPr id="17" name="Imagem 16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638175" y="47625"/>
          <a:ext cx="467995" cy="82677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358140</xdr:colOff>
      <xdr:row>5</xdr:row>
      <xdr:rowOff>22860</xdr:rowOff>
    </xdr:from>
    <xdr:to>
      <xdr:col>0</xdr:col>
      <xdr:colOff>1402140</xdr:colOff>
      <xdr:row>10</xdr:row>
      <xdr:rowOff>152460</xdr:rowOff>
    </xdr:to>
    <xdr:pic>
      <xdr:nvPicPr>
        <xdr:cNvPr id="2" name="Imagem 1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358140" y="1316355"/>
          <a:ext cx="1043940" cy="108204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167261</xdr:colOff>
      <xdr:row>11</xdr:row>
      <xdr:rowOff>180164</xdr:rowOff>
    </xdr:from>
    <xdr:to>
      <xdr:col>0</xdr:col>
      <xdr:colOff>355520</xdr:colOff>
      <xdr:row>12</xdr:row>
      <xdr:rowOff>182194</xdr:rowOff>
    </xdr:to>
    <xdr:pic>
      <xdr:nvPicPr>
        <xdr:cNvPr id="3" name="Imagem 2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167005" y="2616200"/>
          <a:ext cx="187960" cy="192405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161925</xdr:colOff>
      <xdr:row>12</xdr:row>
      <xdr:rowOff>9525</xdr:rowOff>
    </xdr:from>
    <xdr:to>
      <xdr:col>0</xdr:col>
      <xdr:colOff>350184</xdr:colOff>
      <xdr:row>13</xdr:row>
      <xdr:rowOff>11555</xdr:rowOff>
    </xdr:to>
    <xdr:pic>
      <xdr:nvPicPr>
        <xdr:cNvPr id="4" name="Imagem 3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161925" y="2636520"/>
          <a:ext cx="187960" cy="192405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0</xdr:col>
      <xdr:colOff>91061</xdr:colOff>
      <xdr:row>21</xdr:row>
      <xdr:rowOff>8714</xdr:rowOff>
    </xdr:from>
    <xdr:to>
      <xdr:col>0</xdr:col>
      <xdr:colOff>279320</xdr:colOff>
      <xdr:row>22</xdr:row>
      <xdr:rowOff>10744</xdr:rowOff>
    </xdr:to>
    <xdr:pic>
      <xdr:nvPicPr>
        <xdr:cNvPr id="6" name="Imagem 5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90805" y="4349750"/>
          <a:ext cx="187960" cy="18224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323850</xdr:colOff>
      <xdr:row>14</xdr:row>
      <xdr:rowOff>28575</xdr:rowOff>
    </xdr:from>
    <xdr:to>
      <xdr:col>0</xdr:col>
      <xdr:colOff>1403850</xdr:colOff>
      <xdr:row>19</xdr:row>
      <xdr:rowOff>156075</xdr:rowOff>
    </xdr:to>
    <xdr:pic>
      <xdr:nvPicPr>
        <xdr:cNvPr id="11" name="Imagem 10"/>
        <xdr:cNvPicPr>
          <a:picLocks noChangeAspect="1"/>
        </xdr:cNvPicPr>
      </xdr:nvPicPr>
      <xdr:blipFill>
        <a:blip r:embed="rId4" cstate="print"/>
        <a:stretch>
          <a:fillRect/>
        </a:stretch>
      </xdr:blipFill>
      <xdr:spPr>
        <a:xfrm>
          <a:off x="323850" y="3036570"/>
          <a:ext cx="1079500" cy="1079500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0</xdr:row>
          <xdr:rowOff>76200</xdr:rowOff>
        </xdr:from>
        <xdr:to>
          <xdr:col>15</xdr:col>
          <xdr:colOff>514350</xdr:colOff>
          <xdr:row>0</xdr:row>
          <xdr:rowOff>609600</xdr:rowOff>
        </xdr:to>
        <xdr:sp macro="[0]!excluir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9772650" y="76200"/>
              <a:ext cx="1609725" cy="5334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Calibri" panose="020F0502020204030204" charset="-122"/>
                  <a:ea typeface="Calibri" panose="020F0502020204030204" charset="-122"/>
                  <a:cs typeface="Calibri" panose="020F0502020204030204" charset="-122"/>
                  <a:sym typeface="Calibri" panose="020F0502020204030204" charset="-122"/>
                </a:rPr>
                <a:t>EXCLUIR LINHA</a:t>
              </a:r>
              <a:endParaRPr lang="zh-CN" altLang="en-US">
                <a:solidFill>
                  <a:srgbClr val="000000"/>
                </a:solidFill>
                <a:latin typeface="Calibri" panose="020F0502020204030204" charset="-122"/>
                <a:ea typeface="Calibri" panose="020F0502020204030204" charset="-122"/>
                <a:cs typeface="Calibri" panose="020F0502020204030204" charset="-122"/>
                <a:sym typeface="Calibri" panose="020F050202020403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171450</xdr:colOff>
      <xdr:row>5</xdr:row>
      <xdr:rowOff>28575</xdr:rowOff>
    </xdr:from>
    <xdr:to>
      <xdr:col>0</xdr:col>
      <xdr:colOff>2470452</xdr:colOff>
      <xdr:row>12</xdr:row>
      <xdr:rowOff>135075</xdr:rowOff>
    </xdr:to>
    <xdr:pic>
      <xdr:nvPicPr>
        <xdr:cNvPr id="4" name="Imagem 3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171450" y="1322070"/>
          <a:ext cx="2298700" cy="143954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1000125</xdr:colOff>
      <xdr:row>0</xdr:row>
      <xdr:rowOff>57206</xdr:rowOff>
    </xdr:from>
    <xdr:ext cx="468000" cy="825084"/>
    <xdr:pic>
      <xdr:nvPicPr>
        <xdr:cNvPr id="2" name="Imagem 1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00125" y="57150"/>
          <a:ext cx="467995" cy="824865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0</xdr:row>
          <xdr:rowOff>66675</xdr:rowOff>
        </xdr:from>
        <xdr:to>
          <xdr:col>15</xdr:col>
          <xdr:colOff>514350</xdr:colOff>
          <xdr:row>0</xdr:row>
          <xdr:rowOff>600075</xdr:rowOff>
        </xdr:to>
        <xdr:sp macro="[0]!excluir">
          <xdr:nvSpPr>
            <xdr:cNvPr id="14337" name="Button 1025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1430000" y="66675"/>
              <a:ext cx="1609725" cy="5334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Calibri" panose="020F0502020204030204" charset="-122"/>
                  <a:ea typeface="Calibri" panose="020F0502020204030204" charset="-122"/>
                  <a:cs typeface="Calibri" panose="020F0502020204030204" charset="-122"/>
                  <a:sym typeface="Calibri" panose="020F0502020204030204" charset="-122"/>
                </a:rPr>
                <a:t>EXCLUIR LINHA</a:t>
              </a:r>
              <a:endParaRPr lang="zh-CN" altLang="en-US">
                <a:solidFill>
                  <a:srgbClr val="000000"/>
                </a:solidFill>
                <a:latin typeface="Calibri" panose="020F0502020204030204" charset="-122"/>
                <a:ea typeface="Calibri" panose="020F0502020204030204" charset="-122"/>
                <a:cs typeface="Calibri" panose="020F0502020204030204" charset="-122"/>
                <a:sym typeface="Calibri" panose="020F050202020403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hyperlink" Target="https://www.instagram.com/joaodemele/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hyperlink" Target="https://www.instagram.com/estudiogalho/" TargetMode="External"/><Relationship Id="rId4" Type="http://schemas.openxmlformats.org/officeDocument/2006/relationships/hyperlink" Target="https://www.instagram.com/joaodemele/" TargetMode="Externa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hyperlink" Target="https://www.instagram.com/luciano_santelli/" TargetMode="External"/><Relationship Id="rId4" Type="http://schemas.openxmlformats.org/officeDocument/2006/relationships/hyperlink" Target="https://www.instagram.com/joaodemele/" TargetMode="Externa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5"/>
  <dimension ref="A1:AM55"/>
  <sheetViews>
    <sheetView workbookViewId="0">
      <selection activeCell="A1" sqref="A1"/>
    </sheetView>
  </sheetViews>
  <sheetFormatPr defaultColWidth="0" defaultRowHeight="15" customHeight="1" zeroHeight="1"/>
  <cols>
    <col min="1" max="39" width="2.42857142857143" customWidth="1"/>
    <col min="40" max="16384" width="8.71428571428571" hidden="1" customWidth="1"/>
  </cols>
  <sheetData>
    <row r="1" ht="14.25" customHeight="1" spans="1:39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</row>
    <row r="2" ht="14.25" customHeight="1" spans="1:39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</row>
    <row r="3" ht="14.25" customHeight="1" spans="1:39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</row>
    <row r="4" ht="14.25" customHeight="1" spans="1:39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</row>
    <row r="5" ht="14.25" customHeight="1" spans="1:39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</row>
    <row r="6" ht="14.25" customHeight="1" spans="1:39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</row>
    <row r="7" ht="14.25" customHeight="1" spans="1:39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</row>
    <row r="8" ht="14.25" customHeight="1" spans="1:39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</row>
    <row r="9" ht="14.25" customHeight="1" spans="1:39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</row>
    <row r="10" ht="14.25" customHeight="1" spans="1:39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</row>
    <row r="11" ht="14.25" customHeight="1" spans="1:39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</row>
    <row r="12" ht="14.25" customHeight="1" spans="1:39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</row>
    <row r="13" ht="14.25" customHeight="1" spans="1:39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</row>
    <row r="14" ht="14.25" customHeight="1" spans="1:39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</row>
    <row r="15" ht="14.25" customHeight="1" spans="1:39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</row>
    <row r="16" ht="14.25" customHeight="1" spans="1:39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  <c r="AJ16" s="101"/>
      <c r="AK16" s="101"/>
      <c r="AL16" s="101"/>
      <c r="AM16" s="101"/>
    </row>
    <row r="17" ht="14.25" customHeight="1" spans="1:39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1"/>
      <c r="AL17" s="101"/>
      <c r="AM17" s="101"/>
    </row>
    <row r="18" ht="14.25" customHeight="1" spans="1:39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1"/>
      <c r="AL18" s="101"/>
      <c r="AM18" s="101"/>
    </row>
    <row r="19" ht="14.25" customHeight="1" spans="1:39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  <c r="AJ19" s="101"/>
      <c r="AK19" s="101"/>
      <c r="AL19" s="101"/>
      <c r="AM19" s="101"/>
    </row>
    <row r="20" ht="14.25" customHeight="1" spans="1:39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</row>
    <row r="21" ht="14.25" customHeight="1" spans="1:39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01"/>
      <c r="AM21" s="101"/>
    </row>
    <row r="22" ht="14.25" customHeight="1" spans="1:39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  <c r="AJ22" s="101"/>
      <c r="AK22" s="101"/>
      <c r="AL22" s="101"/>
      <c r="AM22" s="101"/>
    </row>
    <row r="23" ht="14.25" customHeight="1" spans="1:39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101"/>
      <c r="AH23" s="101"/>
      <c r="AI23" s="101"/>
      <c r="AJ23" s="101"/>
      <c r="AK23" s="101"/>
      <c r="AL23" s="101"/>
      <c r="AM23" s="101"/>
    </row>
    <row r="24" ht="14.25" customHeight="1" spans="1:39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</row>
    <row r="25" ht="14.25" customHeight="1" spans="1:39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</row>
    <row r="26" ht="14.25" customHeight="1" spans="1:39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</row>
    <row r="27" ht="14.25" customHeight="1" spans="1:39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01"/>
      <c r="AJ27" s="101"/>
      <c r="AK27" s="101"/>
      <c r="AL27" s="101"/>
      <c r="AM27" s="101"/>
    </row>
    <row r="28" ht="14.25" customHeight="1" spans="1:39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  <c r="AJ28" s="101"/>
      <c r="AK28" s="101"/>
      <c r="AL28" s="101"/>
      <c r="AM28" s="101"/>
    </row>
    <row r="29" ht="14.25" customHeight="1" spans="1:39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  <c r="AJ29" s="101"/>
      <c r="AK29" s="101"/>
      <c r="AL29" s="101"/>
      <c r="AM29" s="101"/>
    </row>
    <row r="30" ht="14.25" customHeight="1" spans="1:39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  <c r="AJ30" s="101"/>
      <c r="AK30" s="101"/>
      <c r="AL30" s="101"/>
      <c r="AM30" s="101"/>
    </row>
    <row r="31" ht="14.25" customHeight="1" spans="1:39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1"/>
      <c r="AL31" s="101"/>
      <c r="AM31" s="101"/>
    </row>
    <row r="32" ht="14.25" customHeight="1" spans="1:39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1"/>
      <c r="AL32" s="101"/>
      <c r="AM32" s="101"/>
    </row>
    <row r="33" ht="14.25" customHeight="1" spans="1:39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</row>
    <row r="34" ht="14.25" customHeight="1" spans="1:39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1"/>
      <c r="AL34" s="101"/>
      <c r="AM34" s="101"/>
    </row>
    <row r="35" ht="14.25" customHeight="1" spans="1:39">
      <c r="A35" s="101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1"/>
      <c r="AL35" s="101"/>
      <c r="AM35" s="101"/>
    </row>
    <row r="36" ht="14.25" customHeight="1" spans="1:39">
      <c r="A36" s="101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</row>
    <row r="37" ht="14.25" customHeight="1" spans="1:39">
      <c r="A37" s="101"/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</row>
    <row r="38" ht="14.25" customHeight="1" spans="1:39">
      <c r="A38" s="101"/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</row>
    <row r="39" ht="14.25" customHeight="1" spans="1:39">
      <c r="A39" s="101"/>
      <c r="B39" s="102" t="s">
        <v>0</v>
      </c>
      <c r="AM39" s="101"/>
    </row>
    <row r="40" ht="14.25" customHeight="1" spans="1:39">
      <c r="A40" s="101"/>
      <c r="AM40" s="101"/>
    </row>
    <row r="41" ht="14.25" customHeight="1" spans="1:39">
      <c r="A41" s="101"/>
      <c r="AM41" s="101"/>
    </row>
    <row r="42" ht="14.25" customHeight="1" spans="1:39">
      <c r="A42" s="101"/>
      <c r="AM42" s="101"/>
    </row>
    <row r="43" ht="14.25" customHeight="1" spans="1:39">
      <c r="A43" s="101"/>
      <c r="AM43" s="101"/>
    </row>
    <row r="44" ht="14.25" customHeight="1" spans="1:39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</row>
    <row r="45" ht="14.25" customHeight="1" spans="1:39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  <c r="AJ45" s="101"/>
      <c r="AK45" s="101"/>
      <c r="AL45" s="101"/>
      <c r="AM45" s="101"/>
    </row>
    <row r="46" ht="14.25" customHeight="1" spans="1:39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  <c r="AJ46" s="101"/>
      <c r="AK46" s="101"/>
      <c r="AL46" s="101"/>
      <c r="AM46" s="101"/>
    </row>
    <row r="47" ht="14.25" customHeight="1" spans="1:39">
      <c r="A47" s="101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  <c r="AJ47" s="101"/>
      <c r="AK47" s="101"/>
      <c r="AL47" s="101"/>
      <c r="AM47" s="101"/>
    </row>
    <row r="48" ht="14.25" customHeight="1" spans="1:39">
      <c r="A48" s="101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</row>
    <row r="49" ht="14.25" customHeight="1" spans="1:39">
      <c r="A49" s="101"/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  <c r="AF49" s="101"/>
      <c r="AG49" s="101"/>
      <c r="AH49" s="101"/>
      <c r="AI49" s="101"/>
      <c r="AJ49" s="101"/>
      <c r="AK49" s="101"/>
      <c r="AL49" s="101"/>
      <c r="AM49" s="101"/>
    </row>
    <row r="50" ht="14.25" customHeight="1" spans="1:39">
      <c r="A50" s="101"/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  <c r="AF50" s="101"/>
      <c r="AG50" s="101"/>
      <c r="AH50" s="101"/>
      <c r="AI50" s="101"/>
      <c r="AJ50" s="101"/>
      <c r="AK50" s="101"/>
      <c r="AL50" s="101"/>
      <c r="AM50" s="101"/>
    </row>
    <row r="51" ht="14.25" customHeight="1" spans="1:39">
      <c r="A51" s="103" t="s">
        <v>1</v>
      </c>
    </row>
    <row r="52" ht="14.25" customHeight="1"/>
    <row r="53" ht="14.25" customHeight="1"/>
    <row r="54" ht="14.25" customHeight="1"/>
    <row r="55" ht="14.25" customHeight="1"/>
  </sheetData>
  <mergeCells count="2">
    <mergeCell ref="A51:AM55"/>
    <mergeCell ref="B39:AL43"/>
  </mergeCells>
  <pageMargins left="0.31496062992126" right="0.31496062992126" top="0.31496062992126" bottom="0.31496062992126" header="0" footer="0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5"/>
  <dimension ref="A1:XFD52"/>
  <sheetViews>
    <sheetView showGridLines="0" workbookViewId="0">
      <selection activeCell="A1" sqref="A1:K2"/>
    </sheetView>
  </sheetViews>
  <sheetFormatPr defaultColWidth="0" defaultRowHeight="12" zeroHeight="1"/>
  <cols>
    <col min="1" max="10" width="8.71428571428571" style="87" customWidth="1"/>
    <col min="11" max="11" width="8.28571428571429" style="87" customWidth="1"/>
    <col min="12" max="16384" width="8.71428571428571" style="87" hidden="1" customWidth="1"/>
  </cols>
  <sheetData>
    <row r="1" ht="14.45" customHeight="1" spans="1:11">
      <c r="A1" s="88" t="s">
        <v>2</v>
      </c>
      <c r="B1" s="89"/>
      <c r="C1" s="89"/>
      <c r="D1" s="89"/>
      <c r="E1" s="89"/>
      <c r="F1" s="89"/>
      <c r="G1" s="89"/>
      <c r="H1" s="89"/>
      <c r="I1" s="89"/>
      <c r="J1" s="89"/>
      <c r="K1" s="90"/>
    </row>
    <row r="2" ht="14.25" customHeight="1" spans="1:11">
      <c r="A2" s="91"/>
      <c r="B2" s="92"/>
      <c r="C2" s="92"/>
      <c r="D2" s="92"/>
      <c r="E2" s="92"/>
      <c r="F2" s="92"/>
      <c r="G2" s="92"/>
      <c r="H2" s="92"/>
      <c r="I2" s="92"/>
      <c r="J2" s="92"/>
      <c r="K2" s="93"/>
    </row>
    <row r="3" ht="13.9" customHeight="1" spans="1:11">
      <c r="A3" s="94" t="s">
        <v>3</v>
      </c>
    </row>
    <row r="4" ht="13.9" customHeight="1" spans="1:11">
      <c r="A4" s="85" t="s">
        <v>4</v>
      </c>
    </row>
    <row r="5" ht="13.9" customHeight="1" spans="1:11">
      <c r="A5" s="85" t="s">
        <v>5</v>
      </c>
    </row>
    <row r="6" ht="13.9" customHeight="1" spans="1:11">
      <c r="A6" s="86" t="s">
        <v>6</v>
      </c>
    </row>
    <row r="7" ht="13.9" customHeight="1"/>
    <row r="8" ht="13.9" customHeight="1" spans="1:11">
      <c r="A8" s="86" t="s">
        <v>7</v>
      </c>
    </row>
    <row r="9" ht="13.9" customHeight="1"/>
    <row r="10" ht="13.9" customHeight="1" spans="1:11">
      <c r="A10" s="85" t="s">
        <v>8</v>
      </c>
    </row>
    <row r="11" ht="13.9" customHeight="1" spans="1:11">
      <c r="A11" s="95" t="s">
        <v>9</v>
      </c>
    </row>
    <row r="12" s="83" customFormat="1" ht="13.9" customHeight="1" spans="1:11">
      <c r="A12" s="96" t="s">
        <v>10</v>
      </c>
    </row>
    <row r="13" ht="13.15" customHeight="1" spans="1:11">
      <c r="A13" s="97" t="s">
        <v>11</v>
      </c>
    </row>
    <row r="14" ht="13.15" customHeight="1"/>
    <row r="15" ht="13.15" customHeight="1" spans="1:11">
      <c r="A15" s="85" t="s">
        <v>12</v>
      </c>
    </row>
    <row r="16" ht="13.15" customHeight="1" spans="1:11">
      <c r="A16" s="97" t="s">
        <v>13</v>
      </c>
    </row>
    <row r="17" ht="13.15" customHeight="1"/>
    <row r="18" ht="13.15" customHeight="1" spans="1:1">
      <c r="A18" s="86" t="s">
        <v>14</v>
      </c>
    </row>
    <row r="19" ht="13.15" customHeight="1"/>
    <row r="20" ht="13.15" customHeight="1"/>
    <row r="21" ht="13.15" customHeight="1" spans="1:1">
      <c r="A21" s="85" t="s">
        <v>15</v>
      </c>
    </row>
    <row r="22" ht="13.15" customHeight="1" spans="1:1">
      <c r="A22" s="85" t="s">
        <v>16</v>
      </c>
    </row>
    <row r="23" s="83" customFormat="1" ht="13.9" customHeight="1" spans="1:1">
      <c r="A23" s="96" t="s">
        <v>17</v>
      </c>
    </row>
    <row r="24" ht="13.9" customHeight="1" spans="1:1">
      <c r="A24" s="98" t="s">
        <v>18</v>
      </c>
    </row>
    <row r="25" ht="13.9" customHeight="1" spans="1:1">
      <c r="A25" s="86" t="s">
        <v>19</v>
      </c>
    </row>
    <row r="26" ht="13.9" customHeight="1"/>
    <row r="27" ht="13.9" customHeight="1" spans="1:1">
      <c r="A27" s="86" t="s">
        <v>20</v>
      </c>
    </row>
    <row r="28" ht="13.9" customHeight="1"/>
    <row r="29" ht="13.9" customHeight="1" spans="1:1">
      <c r="A29" s="86" t="s">
        <v>21</v>
      </c>
    </row>
    <row r="30" ht="13.9" customHeight="1"/>
    <row r="31" s="84" customFormat="1" ht="13.9" customHeight="1" spans="1:1">
      <c r="A31" s="86" t="s">
        <v>22</v>
      </c>
    </row>
    <row r="32" ht="13.9" customHeight="1"/>
    <row r="33" ht="13.9" customHeight="1" spans="1:1">
      <c r="A33" s="85" t="s">
        <v>23</v>
      </c>
    </row>
    <row r="34" ht="13.9" customHeight="1" spans="1:1">
      <c r="A34" s="96" t="s">
        <v>24</v>
      </c>
    </row>
    <row r="35" s="85" customFormat="1" ht="13.9" customHeight="1" spans="1:1">
      <c r="A35" s="85" t="s">
        <v>25</v>
      </c>
    </row>
    <row r="36" s="85" customFormat="1" ht="13.9" customHeight="1" spans="1:1">
      <c r="A36" s="86" t="s">
        <v>26</v>
      </c>
    </row>
    <row r="37" s="86" customFormat="1" ht="13.9" customHeight="1" spans="1:1">
      <c r="A37" s="86" t="s">
        <v>27</v>
      </c>
    </row>
    <row r="38" s="85" customFormat="1" ht="13.9" customHeight="1" spans="1:1">
      <c r="A38" s="86" t="s">
        <v>28</v>
      </c>
    </row>
    <row r="39" ht="13.9" customHeight="1" spans="1:1">
      <c r="A39" s="96" t="s">
        <v>29</v>
      </c>
    </row>
    <row r="40" ht="13.9" customHeight="1" spans="1:1">
      <c r="A40" s="86" t="s">
        <v>30</v>
      </c>
    </row>
    <row r="41" ht="13.9" customHeight="1"/>
    <row r="42" ht="13.9" customHeight="1"/>
    <row r="43" ht="13.9" customHeight="1" spans="1:1">
      <c r="A43" s="96" t="s">
        <v>31</v>
      </c>
    </row>
    <row r="44" ht="13.9" customHeight="1" spans="1:1">
      <c r="A44" s="99" t="s">
        <v>32</v>
      </c>
    </row>
    <row r="45" ht="13.9" customHeight="1"/>
    <row r="46" ht="13.9" customHeight="1"/>
    <row r="47" ht="13.9" customHeight="1"/>
    <row r="48" ht="13.9" customHeight="1"/>
    <row r="49" ht="13.9" customHeight="1"/>
    <row r="50" s="83" customFormat="1" ht="13.9" customHeight="1" spans="1:1">
      <c r="A50" s="100"/>
    </row>
    <row r="51" ht="13.9" customHeight="1" spans="1:1">
      <c r="A51" s="99"/>
    </row>
    <row r="52" ht="13.9" customHeight="1"/>
  </sheetData>
  <mergeCells count="33">
    <mergeCell ref="A3:K3"/>
    <mergeCell ref="A4:K4"/>
    <mergeCell ref="A5:K5"/>
    <mergeCell ref="A10:K10"/>
    <mergeCell ref="A11:K11"/>
    <mergeCell ref="A12:K12"/>
    <mergeCell ref="A15:K15"/>
    <mergeCell ref="A21:K21"/>
    <mergeCell ref="A22:K22"/>
    <mergeCell ref="A23:K23"/>
    <mergeCell ref="A24:K24"/>
    <mergeCell ref="A33:K33"/>
    <mergeCell ref="A34:K34"/>
    <mergeCell ref="A35:K35"/>
    <mergeCell ref="A36:K36"/>
    <mergeCell ref="A37:XFD37"/>
    <mergeCell ref="A38:K38"/>
    <mergeCell ref="A39:K39"/>
    <mergeCell ref="A43:K43"/>
    <mergeCell ref="A50:K50"/>
    <mergeCell ref="A25:K26"/>
    <mergeCell ref="A27:K28"/>
    <mergeCell ref="A44:K48"/>
    <mergeCell ref="A8:K9"/>
    <mergeCell ref="A13:K14"/>
    <mergeCell ref="A29:K30"/>
    <mergeCell ref="A31:K32"/>
    <mergeCell ref="A40:K41"/>
    <mergeCell ref="A18:K20"/>
    <mergeCell ref="A1:K2"/>
    <mergeCell ref="A51:K52"/>
    <mergeCell ref="A16:K17"/>
    <mergeCell ref="A6:K7"/>
  </mergeCells>
  <pageMargins left="0.31496062992126" right="0.31496062992126" top="0.31496062992126" bottom="0.31496062992126" header="0" footer="0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">
    <tabColor rgb="FF92D050"/>
    <pageSetUpPr fitToPage="1"/>
  </sheetPr>
  <dimension ref="A1:AI204"/>
  <sheetViews>
    <sheetView tabSelected="1" topLeftCell="A76" workbookViewId="0">
      <selection activeCell="J6" sqref="J6"/>
    </sheetView>
  </sheetViews>
  <sheetFormatPr defaultColWidth="0" defaultRowHeight="15.75" zeroHeight="1"/>
  <cols>
    <col min="1" max="1" width="39.5714285714286" style="1" customWidth="1"/>
    <col min="2" max="2" width="48.5714285714286" style="2" customWidth="1"/>
    <col min="3" max="5" width="6.71428571428571" style="3" customWidth="1"/>
    <col min="6" max="6" width="6.71428571428571" style="4" hidden="1" customWidth="1"/>
    <col min="7" max="8" width="6.71428571428571" style="4" customWidth="1"/>
    <col min="9" max="9" width="8.71428571428571" style="5" customWidth="1"/>
    <col min="10" max="11" width="12" style="5" customWidth="1"/>
    <col min="12" max="12" width="8.71428571428571" style="6" customWidth="1"/>
    <col min="13" max="14" width="12" style="6" customWidth="1"/>
    <col min="15" max="15" width="8.71428571428571" style="6" customWidth="1"/>
    <col min="16" max="17" width="12" style="6" customWidth="1"/>
    <col min="18" max="18" width="8.85714285714286" style="7" hidden="1" customWidth="1"/>
    <col min="19" max="20" width="12" style="7" customWidth="1"/>
    <col min="21" max="21" width="8.85714285714286" style="7" hidden="1" customWidth="1"/>
    <col min="22" max="23" width="12" style="7" customWidth="1"/>
    <col min="24" max="24" width="8.85714285714286" style="7" hidden="1" customWidth="1"/>
    <col min="25" max="26" width="12" style="7" customWidth="1"/>
    <col min="27" max="27" width="8.85714285714286" style="7" hidden="1" customWidth="1"/>
    <col min="28" max="29" width="12" style="7" customWidth="1"/>
    <col min="30" max="30" width="8.85714285714286" style="7" hidden="1" customWidth="1"/>
    <col min="31" max="32" width="12" style="7" customWidth="1"/>
    <col min="33" max="33" width="8.85714285714286" style="7" hidden="1" customWidth="1"/>
    <col min="34" max="35" width="12" style="7" customWidth="1"/>
    <col min="36" max="16384" width="8.85714285714286" style="7" hidden="1" customWidth="1"/>
  </cols>
  <sheetData>
    <row r="1" ht="54.75" customHeight="1" spans="1:35">
      <c r="A1" s="8" t="s">
        <v>33</v>
      </c>
      <c r="B1" s="9"/>
      <c r="C1" s="9"/>
      <c r="D1" s="9"/>
      <c r="E1" s="9"/>
      <c r="F1" s="9"/>
      <c r="G1" s="9"/>
      <c r="H1" s="9"/>
      <c r="I1" s="9"/>
      <c r="L1" s="9"/>
      <c r="O1" s="9"/>
      <c r="R1" s="9"/>
      <c r="U1" s="9"/>
      <c r="X1" s="9"/>
      <c r="AA1" s="9"/>
      <c r="AD1" s="9"/>
      <c r="AG1" s="10"/>
    </row>
    <row r="2" ht="20.1" customHeight="1" spans="1:35">
      <c r="A2" s="11" t="s">
        <v>34</v>
      </c>
      <c r="B2" s="12"/>
      <c r="C2" s="12"/>
      <c r="D2" s="12"/>
      <c r="E2" s="12"/>
      <c r="F2" s="12"/>
      <c r="G2" s="12"/>
      <c r="H2" s="12"/>
      <c r="I2" s="12"/>
      <c r="L2" s="12"/>
      <c r="O2" s="12"/>
      <c r="R2" s="12"/>
      <c r="U2" s="12"/>
      <c r="X2" s="12"/>
      <c r="AA2" s="12"/>
      <c r="AD2" s="12"/>
      <c r="AG2" s="13"/>
    </row>
    <row r="3" ht="6" customHeight="1" spans="1:35">
      <c r="A3" s="14"/>
      <c r="B3" s="15"/>
      <c r="C3" s="15"/>
      <c r="D3" s="15"/>
      <c r="E3" s="15"/>
      <c r="F3" s="15"/>
      <c r="G3" s="15"/>
      <c r="H3" s="15"/>
      <c r="I3" s="15"/>
      <c r="L3" s="15"/>
      <c r="O3" s="15"/>
      <c r="R3" s="15"/>
      <c r="U3" s="15"/>
      <c r="X3" s="15"/>
      <c r="AA3" s="15"/>
      <c r="AD3" s="104" t="s">
        <v>35</v>
      </c>
      <c r="AG3" s="17">
        <v>46234</v>
      </c>
    </row>
    <row r="4" ht="6" customHeight="1" spans="1:35">
      <c r="A4" s="18"/>
      <c r="B4" s="19"/>
      <c r="C4" s="20"/>
      <c r="D4" s="20"/>
      <c r="E4" s="20"/>
      <c r="F4" s="21"/>
      <c r="G4" s="21"/>
      <c r="H4" s="21"/>
      <c r="I4" s="22"/>
      <c r="L4" s="22"/>
      <c r="O4" s="23"/>
      <c r="R4" s="21"/>
      <c r="U4" s="21"/>
      <c r="X4" s="21"/>
      <c r="AA4" s="21"/>
      <c r="AD4" s="24"/>
      <c r="AG4" s="24"/>
    </row>
    <row r="5" ht="15" customHeight="1" spans="1:35">
      <c r="A5" s="25" t="s">
        <v>36</v>
      </c>
      <c r="B5" s="26" t="s">
        <v>37</v>
      </c>
      <c r="C5" s="27" t="s">
        <v>38</v>
      </c>
      <c r="D5" s="27" t="s">
        <v>39</v>
      </c>
      <c r="E5" s="66" t="s">
        <v>40</v>
      </c>
      <c r="F5" s="28" t="s">
        <v>41</v>
      </c>
      <c r="G5" s="28" t="s">
        <v>42</v>
      </c>
      <c r="H5" s="29" t="s">
        <v>43</v>
      </c>
      <c r="I5" s="51" t="s">
        <v>44</v>
      </c>
      <c r="J5" s="31" t="s">
        <v>45</v>
      </c>
      <c r="K5" s="31" t="s">
        <v>46</v>
      </c>
      <c r="L5" s="51" t="s">
        <v>47</v>
      </c>
      <c r="M5" s="31" t="s">
        <v>45</v>
      </c>
      <c r="N5" s="31" t="s">
        <v>46</v>
      </c>
      <c r="O5" s="51" t="s">
        <v>48</v>
      </c>
      <c r="P5" s="31" t="s">
        <v>45</v>
      </c>
      <c r="Q5" s="31" t="s">
        <v>46</v>
      </c>
      <c r="R5" s="51" t="s">
        <v>49</v>
      </c>
      <c r="S5" s="31" t="s">
        <v>45</v>
      </c>
      <c r="T5" s="31" t="s">
        <v>46</v>
      </c>
      <c r="U5" s="51" t="s">
        <v>50</v>
      </c>
      <c r="V5" s="31" t="s">
        <v>45</v>
      </c>
      <c r="W5" s="31" t="s">
        <v>46</v>
      </c>
      <c r="X5" s="51" t="s">
        <v>51</v>
      </c>
      <c r="Y5" s="31" t="s">
        <v>45</v>
      </c>
      <c r="Z5" s="31" t="s">
        <v>46</v>
      </c>
      <c r="AA5" s="51" t="s">
        <v>52</v>
      </c>
      <c r="AB5" s="31" t="s">
        <v>45</v>
      </c>
      <c r="AC5" s="31" t="s">
        <v>46</v>
      </c>
      <c r="AD5" s="51" t="s">
        <v>53</v>
      </c>
      <c r="AE5" s="31" t="s">
        <v>45</v>
      </c>
      <c r="AF5" s="31" t="s">
        <v>46</v>
      </c>
      <c r="AG5" s="52" t="s">
        <v>54</v>
      </c>
      <c r="AH5" s="33" t="s">
        <v>45</v>
      </c>
      <c r="AI5" s="33" t="s">
        <v>46</v>
      </c>
    </row>
    <row r="6" ht="15" customHeight="1" spans="1:35">
      <c r="A6" s="34"/>
      <c r="B6" s="35" t="s">
        <v>55</v>
      </c>
      <c r="C6" s="36">
        <v>0.8</v>
      </c>
      <c r="D6" s="36">
        <v>1.08</v>
      </c>
      <c r="E6" s="67">
        <v>0</v>
      </c>
      <c r="F6" s="37">
        <v>0.864</v>
      </c>
      <c r="G6" s="38">
        <v>0.86</v>
      </c>
      <c r="H6" s="39">
        <v>5.1</v>
      </c>
      <c r="I6" s="40">
        <v>1589.69199375</v>
      </c>
      <c r="J6" s="41">
        <f>I6/5</f>
        <v>317.93839875</v>
      </c>
      <c r="K6" s="41">
        <f>J6+27.7044</f>
        <v>345.64279875</v>
      </c>
      <c r="L6" s="42">
        <v>1630.035225</v>
      </c>
      <c r="M6" s="43">
        <f>L6/5</f>
        <v>326.007045</v>
      </c>
      <c r="N6" s="43">
        <f>M6+27.7044</f>
        <v>353.711445</v>
      </c>
      <c r="O6" s="40">
        <v>1693.43173125</v>
      </c>
      <c r="P6" s="41">
        <f>O6/5</f>
        <v>338.68634625</v>
      </c>
      <c r="Q6" s="41">
        <f>P6+27.7044</f>
        <v>366.39074625</v>
      </c>
      <c r="R6" s="42">
        <v>1751.06491875</v>
      </c>
      <c r="S6" s="43">
        <f>R6/5</f>
        <v>350.21298375</v>
      </c>
      <c r="T6" s="43">
        <f>S6+27.7044</f>
        <v>377.91738375</v>
      </c>
      <c r="U6" s="40">
        <v>1814.461425</v>
      </c>
      <c r="V6" s="41">
        <f>U6/5</f>
        <v>362.892285</v>
      </c>
      <c r="W6" s="41">
        <f>V6+27.7044</f>
        <v>390.596685</v>
      </c>
      <c r="X6" s="42">
        <v>1877.85793125</v>
      </c>
      <c r="Y6" s="43">
        <f>X6/5</f>
        <v>375.57158625</v>
      </c>
      <c r="Z6" s="43">
        <f>Y6+27.7044</f>
        <v>403.27598625</v>
      </c>
      <c r="AA6" s="40">
        <v>1941.2544375</v>
      </c>
      <c r="AB6" s="41">
        <f>AA6/5</f>
        <v>388.2508875</v>
      </c>
      <c r="AC6" s="41">
        <f>AB6+27.7044</f>
        <v>415.9552875</v>
      </c>
      <c r="AD6" s="42">
        <v>2050.75749375</v>
      </c>
      <c r="AE6" s="43">
        <f>AD6/5</f>
        <v>410.15149875</v>
      </c>
      <c r="AF6" s="43">
        <f>AE6+27.7044</f>
        <v>437.85589875</v>
      </c>
      <c r="AG6" s="44">
        <v>2229.420375</v>
      </c>
      <c r="AH6" s="45">
        <f>AG6/5</f>
        <v>445.884075</v>
      </c>
      <c r="AI6" s="45">
        <f>AH6+27.7044</f>
        <v>473.588475</v>
      </c>
    </row>
    <row r="7" ht="15" customHeight="1" spans="1:35">
      <c r="A7" s="34"/>
      <c r="B7" s="35" t="s">
        <v>56</v>
      </c>
      <c r="C7" s="36">
        <v>0.9</v>
      </c>
      <c r="D7" s="36">
        <v>1.08</v>
      </c>
      <c r="E7" s="67">
        <v>0</v>
      </c>
      <c r="F7" s="37">
        <v>0.972</v>
      </c>
      <c r="G7" s="38">
        <v>0.86</v>
      </c>
      <c r="H7" s="39">
        <v>5.4</v>
      </c>
      <c r="I7" s="40">
        <v>1703.130975</v>
      </c>
      <c r="J7" s="41">
        <f>I7/5</f>
        <v>340.626195</v>
      </c>
      <c r="K7" s="41">
        <f>J7+27.7044</f>
        <v>368.330595</v>
      </c>
      <c r="L7" s="42">
        <v>1746.42615</v>
      </c>
      <c r="M7" s="43">
        <f>L7/5</f>
        <v>349.28523</v>
      </c>
      <c r="N7" s="43">
        <f>M7+27.7044</f>
        <v>376.98963</v>
      </c>
      <c r="O7" s="40">
        <v>1814.461425</v>
      </c>
      <c r="P7" s="41">
        <f>O7/5</f>
        <v>362.892285</v>
      </c>
      <c r="Q7" s="41">
        <f>P7+27.7044</f>
        <v>390.596685</v>
      </c>
      <c r="R7" s="42">
        <v>1876.311675</v>
      </c>
      <c r="S7" s="43">
        <f>R7/5</f>
        <v>375.262335</v>
      </c>
      <c r="T7" s="43">
        <f>S7+27.7044</f>
        <v>402.966735</v>
      </c>
      <c r="U7" s="40">
        <v>1944.34695</v>
      </c>
      <c r="V7" s="41">
        <f>U7/5</f>
        <v>388.86939</v>
      </c>
      <c r="W7" s="41">
        <f>V7+27.7044</f>
        <v>416.57379</v>
      </c>
      <c r="X7" s="42">
        <v>2012.382225</v>
      </c>
      <c r="Y7" s="43">
        <f>X7/5</f>
        <v>402.476445</v>
      </c>
      <c r="Z7" s="43">
        <f>Y7+27.7044</f>
        <v>430.180845</v>
      </c>
      <c r="AA7" s="40">
        <v>2080.4175</v>
      </c>
      <c r="AB7" s="41">
        <f>AA7/5</f>
        <v>416.0835</v>
      </c>
      <c r="AC7" s="41">
        <f>AB7+27.7044</f>
        <v>443.7879</v>
      </c>
      <c r="AD7" s="42">
        <v>2197.932975</v>
      </c>
      <c r="AE7" s="43">
        <f>AD7/5</f>
        <v>439.586595</v>
      </c>
      <c r="AF7" s="43">
        <f>AE7+27.7044</f>
        <v>467.290995</v>
      </c>
      <c r="AG7" s="44">
        <v>2389.66875</v>
      </c>
      <c r="AH7" s="45">
        <f>AG7/5</f>
        <v>477.93375</v>
      </c>
      <c r="AI7" s="45">
        <f>AH7+27.7044</f>
        <v>505.63815</v>
      </c>
    </row>
    <row r="8" ht="15" customHeight="1" spans="1:35">
      <c r="A8" s="34"/>
      <c r="B8" s="35" t="s">
        <v>57</v>
      </c>
      <c r="C8" s="36">
        <v>1</v>
      </c>
      <c r="D8" s="36">
        <v>1.08</v>
      </c>
      <c r="E8" s="67">
        <v>0</v>
      </c>
      <c r="F8" s="37">
        <v>1.08</v>
      </c>
      <c r="G8" s="38">
        <v>0.86</v>
      </c>
      <c r="H8" s="39">
        <v>5.7</v>
      </c>
      <c r="I8" s="40">
        <v>1819.38133125</v>
      </c>
      <c r="J8" s="41">
        <f>I8/5</f>
        <v>363.87626625</v>
      </c>
      <c r="K8" s="41">
        <f>J8+27.7044</f>
        <v>391.58066625</v>
      </c>
      <c r="L8" s="42">
        <v>1865.62845</v>
      </c>
      <c r="M8" s="43">
        <f>L8/5</f>
        <v>373.12569</v>
      </c>
      <c r="N8" s="43">
        <f>M8+27.7044</f>
        <v>400.83009</v>
      </c>
      <c r="O8" s="40">
        <v>1938.30249375</v>
      </c>
      <c r="P8" s="41">
        <f>O8/5</f>
        <v>387.66049875</v>
      </c>
      <c r="Q8" s="41">
        <f>P8+27.7044</f>
        <v>415.36489875</v>
      </c>
      <c r="R8" s="42">
        <v>2004.36980625</v>
      </c>
      <c r="S8" s="43">
        <f>R8/5</f>
        <v>400.87396125</v>
      </c>
      <c r="T8" s="43">
        <f>S8+27.7044</f>
        <v>428.57836125</v>
      </c>
      <c r="U8" s="40">
        <v>2077.04385</v>
      </c>
      <c r="V8" s="41">
        <f>U8/5</f>
        <v>415.40877</v>
      </c>
      <c r="W8" s="41">
        <f>V8+27.7044</f>
        <v>443.11317</v>
      </c>
      <c r="X8" s="42">
        <v>2149.71789375</v>
      </c>
      <c r="Y8" s="43">
        <f>X8/5</f>
        <v>429.94357875</v>
      </c>
      <c r="Z8" s="43">
        <f>Y8+27.7044</f>
        <v>457.64797875</v>
      </c>
      <c r="AA8" s="40">
        <v>2222.3919375</v>
      </c>
      <c r="AB8" s="41">
        <f>AA8/5</f>
        <v>444.4783875</v>
      </c>
      <c r="AC8" s="41">
        <f>AB8+27.7044</f>
        <v>472.1827875</v>
      </c>
      <c r="AD8" s="42">
        <v>2347.91983125</v>
      </c>
      <c r="AE8" s="43">
        <f>AD8/5</f>
        <v>469.58396625</v>
      </c>
      <c r="AF8" s="43">
        <f>AE8+27.7044</f>
        <v>497.28836625</v>
      </c>
      <c r="AG8" s="44">
        <v>2552.7285</v>
      </c>
      <c r="AH8" s="45">
        <f>AG8/5</f>
        <v>510.5457</v>
      </c>
      <c r="AI8" s="45">
        <f>AH8+27.7044</f>
        <v>538.2501</v>
      </c>
    </row>
    <row r="9" ht="15" customHeight="1" spans="1:35">
      <c r="A9" s="34"/>
      <c r="B9" s="35" t="s">
        <v>58</v>
      </c>
      <c r="C9" s="36">
        <v>1.1</v>
      </c>
      <c r="D9" s="36">
        <v>1.08</v>
      </c>
      <c r="E9" s="67">
        <v>0</v>
      </c>
      <c r="F9" s="37">
        <v>1.188</v>
      </c>
      <c r="G9" s="38">
        <v>0.86</v>
      </c>
      <c r="H9" s="39">
        <v>6</v>
      </c>
      <c r="I9" s="40">
        <v>1963.7454375</v>
      </c>
      <c r="J9" s="41">
        <f>I9/5</f>
        <v>392.7490875</v>
      </c>
      <c r="K9" s="41">
        <f>J9+27.7044</f>
        <v>420.4534875</v>
      </c>
      <c r="L9" s="42">
        <v>2012.9445</v>
      </c>
      <c r="M9" s="43">
        <f>L9/5</f>
        <v>402.5889</v>
      </c>
      <c r="N9" s="43">
        <f>M9+27.7044</f>
        <v>430.2933</v>
      </c>
      <c r="O9" s="40">
        <v>2090.2573125</v>
      </c>
      <c r="P9" s="41">
        <f>O9/5</f>
        <v>418.0514625</v>
      </c>
      <c r="Q9" s="41">
        <f>P9+27.7044</f>
        <v>445.7558625</v>
      </c>
      <c r="R9" s="42">
        <v>2160.5416875</v>
      </c>
      <c r="S9" s="43">
        <f>R9/5</f>
        <v>432.1083375</v>
      </c>
      <c r="T9" s="43">
        <f>S9+27.7044</f>
        <v>459.8127375</v>
      </c>
      <c r="U9" s="40">
        <v>2237.8545</v>
      </c>
      <c r="V9" s="41">
        <f>U9/5</f>
        <v>447.5709</v>
      </c>
      <c r="W9" s="41">
        <f>V9+27.7044</f>
        <v>475.2753</v>
      </c>
      <c r="X9" s="42">
        <v>2315.1673125</v>
      </c>
      <c r="Y9" s="43">
        <f>X9/5</f>
        <v>463.0334625</v>
      </c>
      <c r="Z9" s="43">
        <f>Y9+27.7044</f>
        <v>490.7378625</v>
      </c>
      <c r="AA9" s="40">
        <v>2392.480125</v>
      </c>
      <c r="AB9" s="41">
        <f>AA9/5</f>
        <v>478.496025</v>
      </c>
      <c r="AC9" s="41">
        <f>AB9+27.7044</f>
        <v>506.200425</v>
      </c>
      <c r="AD9" s="42">
        <v>2526.0204375</v>
      </c>
      <c r="AE9" s="43">
        <f>AD9/5</f>
        <v>505.2040875</v>
      </c>
      <c r="AF9" s="43">
        <f>AE9+27.7044</f>
        <v>532.9084875</v>
      </c>
      <c r="AG9" s="44">
        <v>2743.902</v>
      </c>
      <c r="AH9" s="45">
        <f>AG9/5</f>
        <v>548.7804</v>
      </c>
      <c r="AI9" s="45">
        <f>AH9+27.7044</f>
        <v>576.4848</v>
      </c>
    </row>
    <row r="10" ht="15" customHeight="1" spans="1:35">
      <c r="A10" s="34"/>
      <c r="B10" s="35"/>
      <c r="C10" s="36"/>
      <c r="D10" s="36"/>
      <c r="E10" s="67">
        <v>0</v>
      </c>
      <c r="F10" s="37" t="s">
        <v>59</v>
      </c>
      <c r="G10" s="38" t="s">
        <v>59</v>
      </c>
      <c r="H10" s="39" t="s">
        <v>59</v>
      </c>
      <c r="I10" s="40" t="s">
        <v>59</v>
      </c>
      <c r="L10" s="42" t="s">
        <v>59</v>
      </c>
      <c r="O10" s="40" t="s">
        <v>59</v>
      </c>
      <c r="R10" s="42" t="s">
        <v>59</v>
      </c>
      <c r="U10" s="40" t="s">
        <v>59</v>
      </c>
      <c r="X10" s="42" t="s">
        <v>59</v>
      </c>
      <c r="AA10" s="40" t="s">
        <v>59</v>
      </c>
      <c r="AD10" s="42" t="s">
        <v>59</v>
      </c>
      <c r="AG10" s="44" t="s">
        <v>59</v>
      </c>
    </row>
    <row r="11" ht="15" customHeight="1" spans="1:35">
      <c r="A11" s="34"/>
      <c r="B11" s="35" t="s">
        <v>60</v>
      </c>
      <c r="C11" s="36">
        <v>1</v>
      </c>
      <c r="D11" s="36">
        <v>1.08</v>
      </c>
      <c r="E11" s="67">
        <v>0</v>
      </c>
      <c r="F11" s="37">
        <v>1.08</v>
      </c>
      <c r="G11" s="38">
        <v>0.86</v>
      </c>
      <c r="H11" s="39">
        <v>6.3</v>
      </c>
      <c r="I11" s="40">
        <v>1809.0394875</v>
      </c>
      <c r="J11" s="41">
        <f>I11/5</f>
        <v>361.8078975</v>
      </c>
      <c r="K11" s="41">
        <f>J11+27.7044</f>
        <v>389.5122975</v>
      </c>
      <c r="L11" s="42">
        <v>1860.3627</v>
      </c>
      <c r="M11" s="43">
        <f>L11/5</f>
        <v>372.07254</v>
      </c>
      <c r="N11" s="43">
        <f>M11+27.7044</f>
        <v>399.77694</v>
      </c>
      <c r="O11" s="40">
        <v>1941.0134625</v>
      </c>
      <c r="P11" s="41">
        <f>O11/5</f>
        <v>388.2026925</v>
      </c>
      <c r="Q11" s="41">
        <f>P11+27.7044</f>
        <v>415.9070925</v>
      </c>
      <c r="R11" s="42">
        <v>2014.3323375</v>
      </c>
      <c r="S11" s="43">
        <f>R11/5</f>
        <v>402.8664675</v>
      </c>
      <c r="T11" s="43">
        <f>S11+27.7044</f>
        <v>430.5708675</v>
      </c>
      <c r="U11" s="40">
        <v>2094.9831</v>
      </c>
      <c r="V11" s="41">
        <f>U11/5</f>
        <v>418.99662</v>
      </c>
      <c r="W11" s="41">
        <f>V11+27.7044</f>
        <v>446.70102</v>
      </c>
      <c r="X11" s="42">
        <v>2175.6338625</v>
      </c>
      <c r="Y11" s="43">
        <f>X11/5</f>
        <v>435.1267725</v>
      </c>
      <c r="Z11" s="43">
        <f>Y11+27.7044</f>
        <v>462.8311725</v>
      </c>
      <c r="AA11" s="40">
        <v>2256.284625</v>
      </c>
      <c r="AB11" s="41">
        <f>AA11/5</f>
        <v>451.256925</v>
      </c>
      <c r="AC11" s="41">
        <f>AB11+27.7044</f>
        <v>478.961325</v>
      </c>
      <c r="AD11" s="42">
        <v>2395.5904875</v>
      </c>
      <c r="AE11" s="43">
        <f>AD11/5</f>
        <v>479.1180975</v>
      </c>
      <c r="AF11" s="43">
        <f>AE11+27.7044</f>
        <v>506.8224975</v>
      </c>
      <c r="AG11" s="44">
        <v>2622.879</v>
      </c>
      <c r="AH11" s="45">
        <f>AG11/5</f>
        <v>524.5758</v>
      </c>
      <c r="AI11" s="45">
        <f>AH11+27.7044</f>
        <v>552.2802</v>
      </c>
    </row>
    <row r="12" ht="15" customHeight="1" spans="1:35">
      <c r="A12" s="34"/>
      <c r="B12" s="35" t="s">
        <v>61</v>
      </c>
      <c r="C12" s="36">
        <v>1.1</v>
      </c>
      <c r="D12" s="36">
        <v>1.08</v>
      </c>
      <c r="E12" s="67">
        <v>0</v>
      </c>
      <c r="F12" s="37">
        <v>1.188</v>
      </c>
      <c r="G12" s="38">
        <v>0.86</v>
      </c>
      <c r="H12" s="39">
        <v>6.6</v>
      </c>
      <c r="I12" s="40">
        <v>1951.1121</v>
      </c>
      <c r="J12" s="41">
        <f>I12/5</f>
        <v>390.22242</v>
      </c>
      <c r="K12" s="41">
        <f>J12+27.7044</f>
        <v>417.92682</v>
      </c>
      <c r="L12" s="42">
        <v>2005.3404</v>
      </c>
      <c r="M12" s="43">
        <f>L12/5</f>
        <v>401.06808</v>
      </c>
      <c r="N12" s="43">
        <f>M12+27.7044</f>
        <v>428.77248</v>
      </c>
      <c r="O12" s="40">
        <v>2090.5563</v>
      </c>
      <c r="P12" s="41">
        <f>O12/5</f>
        <v>418.11126</v>
      </c>
      <c r="Q12" s="41">
        <f>P12+27.7044</f>
        <v>445.81566</v>
      </c>
      <c r="R12" s="42">
        <v>2168.0253</v>
      </c>
      <c r="S12" s="43">
        <f>R12/5</f>
        <v>433.60506</v>
      </c>
      <c r="T12" s="43">
        <f>S12+27.7044</f>
        <v>461.30946</v>
      </c>
      <c r="U12" s="40">
        <v>2253.2412</v>
      </c>
      <c r="V12" s="41">
        <f>U12/5</f>
        <v>450.64824</v>
      </c>
      <c r="W12" s="41">
        <f>V12+27.7044</f>
        <v>478.35264</v>
      </c>
      <c r="X12" s="42">
        <v>2338.4571</v>
      </c>
      <c r="Y12" s="43">
        <f>X12/5</f>
        <v>467.69142</v>
      </c>
      <c r="Z12" s="43">
        <f>Y12+27.7044</f>
        <v>495.39582</v>
      </c>
      <c r="AA12" s="40">
        <v>2423.673</v>
      </c>
      <c r="AB12" s="41">
        <f>AA12/5</f>
        <v>484.7346</v>
      </c>
      <c r="AC12" s="41">
        <f>AB12+27.7044</f>
        <v>512.439</v>
      </c>
      <c r="AD12" s="42">
        <v>2570.8641</v>
      </c>
      <c r="AE12" s="43">
        <f>AD12/5</f>
        <v>514.17282</v>
      </c>
      <c r="AF12" s="43">
        <f>AE12+27.7044</f>
        <v>541.87722</v>
      </c>
      <c r="AG12" s="44">
        <v>2811.018</v>
      </c>
      <c r="AH12" s="45">
        <f>AG12/5</f>
        <v>562.2036</v>
      </c>
      <c r="AI12" s="45">
        <f>AH12+27.7044</f>
        <v>589.908</v>
      </c>
    </row>
    <row r="13" ht="15" customHeight="1" spans="1:35">
      <c r="A13" s="46"/>
      <c r="B13" s="35" t="s">
        <v>62</v>
      </c>
      <c r="C13" s="36">
        <v>1.2</v>
      </c>
      <c r="D13" s="36">
        <v>1.08</v>
      </c>
      <c r="E13" s="67">
        <v>0</v>
      </c>
      <c r="F13" s="37">
        <v>1.296</v>
      </c>
      <c r="G13" s="38">
        <v>0.86</v>
      </c>
      <c r="H13" s="39">
        <v>6.9</v>
      </c>
      <c r="I13" s="40">
        <v>2068.2839625</v>
      </c>
      <c r="J13" s="41">
        <f>I13/5</f>
        <v>413.6567925</v>
      </c>
      <c r="K13" s="41">
        <f>J13+27.7044</f>
        <v>441.3611925</v>
      </c>
      <c r="L13" s="42">
        <v>2125.41735</v>
      </c>
      <c r="M13" s="43">
        <f>L13/5</f>
        <v>425.08347</v>
      </c>
      <c r="N13" s="43">
        <f>M13+27.7044</f>
        <v>452.78787</v>
      </c>
      <c r="O13" s="40">
        <v>2215.1983875</v>
      </c>
      <c r="P13" s="41">
        <f>O13/5</f>
        <v>443.0396775</v>
      </c>
      <c r="Q13" s="41">
        <f>P13+27.7044</f>
        <v>470.7440775</v>
      </c>
      <c r="R13" s="42">
        <v>2296.8175125</v>
      </c>
      <c r="S13" s="43">
        <f>R13/5</f>
        <v>459.3635025</v>
      </c>
      <c r="T13" s="43">
        <f>S13+27.7044</f>
        <v>487.0679025</v>
      </c>
      <c r="U13" s="40">
        <v>2386.59855</v>
      </c>
      <c r="V13" s="41">
        <f>U13/5</f>
        <v>477.31971</v>
      </c>
      <c r="W13" s="41">
        <f>V13+27.7044</f>
        <v>505.02411</v>
      </c>
      <c r="X13" s="42">
        <v>2476.3795875</v>
      </c>
      <c r="Y13" s="43">
        <f>X13/5</f>
        <v>495.2759175</v>
      </c>
      <c r="Z13" s="43">
        <f>Y13+27.7044</f>
        <v>522.9803175</v>
      </c>
      <c r="AA13" s="40">
        <v>2566.160625</v>
      </c>
      <c r="AB13" s="41">
        <f>AA13/5</f>
        <v>513.232125</v>
      </c>
      <c r="AC13" s="41">
        <f>AB13+27.7044</f>
        <v>540.936525</v>
      </c>
      <c r="AD13" s="42">
        <v>2721.2369625</v>
      </c>
      <c r="AE13" s="43">
        <f>AD13/5</f>
        <v>544.2473925</v>
      </c>
      <c r="AF13" s="43">
        <f>AE13+27.7044</f>
        <v>571.9517925</v>
      </c>
      <c r="AG13" s="44">
        <v>2974.25625</v>
      </c>
      <c r="AH13" s="45">
        <f>AG13/5</f>
        <v>594.85125</v>
      </c>
      <c r="AI13" s="45">
        <f>AH13+27.7044</f>
        <v>622.55565</v>
      </c>
    </row>
    <row r="14" ht="15" customHeight="1" spans="1:35">
      <c r="A14" s="46" t="s">
        <v>63</v>
      </c>
      <c r="B14" s="35" t="s">
        <v>64</v>
      </c>
      <c r="C14" s="36">
        <v>1.3</v>
      </c>
      <c r="D14" s="36">
        <v>1.08</v>
      </c>
      <c r="E14" s="67">
        <v>0</v>
      </c>
      <c r="F14" s="37">
        <v>1.404</v>
      </c>
      <c r="G14" s="38">
        <v>0.86</v>
      </c>
      <c r="H14" s="39">
        <v>7.2</v>
      </c>
      <c r="I14" s="40">
        <v>2229.723825</v>
      </c>
      <c r="J14" s="41">
        <f>I14/5</f>
        <v>445.944765</v>
      </c>
      <c r="K14" s="41">
        <f>J14+27.7044</f>
        <v>473.649165</v>
      </c>
      <c r="L14" s="42">
        <v>2289.7623</v>
      </c>
      <c r="M14" s="43">
        <f>L14/5</f>
        <v>457.95246</v>
      </c>
      <c r="N14" s="43">
        <f>M14+27.7044</f>
        <v>485.65686</v>
      </c>
      <c r="O14" s="40">
        <v>2384.108475</v>
      </c>
      <c r="P14" s="41">
        <f>O14/5</f>
        <v>476.821695</v>
      </c>
      <c r="Q14" s="41">
        <f>P14+27.7044</f>
        <v>504.526095</v>
      </c>
      <c r="R14" s="42">
        <v>2469.877725</v>
      </c>
      <c r="S14" s="43">
        <f>R14/5</f>
        <v>493.975545</v>
      </c>
      <c r="T14" s="43">
        <f>S14+27.7044</f>
        <v>521.679945</v>
      </c>
      <c r="U14" s="40">
        <v>2564.2239</v>
      </c>
      <c r="V14" s="41">
        <f>U14/5</f>
        <v>512.84478</v>
      </c>
      <c r="W14" s="41">
        <f>V14+27.7044</f>
        <v>540.54918</v>
      </c>
      <c r="X14" s="42">
        <v>2658.570075</v>
      </c>
      <c r="Y14" s="43">
        <f>X14/5</f>
        <v>531.714015</v>
      </c>
      <c r="Z14" s="43">
        <f>Y14+27.7044</f>
        <v>559.418415</v>
      </c>
      <c r="AA14" s="40">
        <v>2752.91625</v>
      </c>
      <c r="AB14" s="41">
        <f>AA14/5</f>
        <v>550.58325</v>
      </c>
      <c r="AC14" s="41">
        <f>AB14+27.7044</f>
        <v>578.28765</v>
      </c>
      <c r="AD14" s="42">
        <v>2915.877825</v>
      </c>
      <c r="AE14" s="43">
        <f>AD14/5</f>
        <v>583.175565</v>
      </c>
      <c r="AF14" s="43">
        <f>AE14+27.7044</f>
        <v>610.879965</v>
      </c>
      <c r="AG14" s="44">
        <v>3181.7625</v>
      </c>
      <c r="AH14" s="45">
        <f>AG14/5</f>
        <v>636.3525</v>
      </c>
      <c r="AI14" s="45">
        <f>AH14+27.7044</f>
        <v>664.0569</v>
      </c>
    </row>
    <row r="15" ht="15" customHeight="1" spans="1:35">
      <c r="A15" s="46" t="s">
        <v>65</v>
      </c>
      <c r="B15" s="35"/>
      <c r="C15" s="36"/>
      <c r="D15" s="36"/>
      <c r="E15" s="67">
        <v>0</v>
      </c>
      <c r="F15" s="37" t="s">
        <v>59</v>
      </c>
      <c r="G15" s="38" t="s">
        <v>59</v>
      </c>
      <c r="H15" s="39" t="s">
        <v>59</v>
      </c>
      <c r="I15" s="40" t="s">
        <v>59</v>
      </c>
      <c r="L15" s="42" t="s">
        <v>59</v>
      </c>
      <c r="O15" s="40" t="s">
        <v>59</v>
      </c>
      <c r="R15" s="42" t="s">
        <v>59</v>
      </c>
      <c r="U15" s="40" t="s">
        <v>59</v>
      </c>
      <c r="X15" s="42" t="s">
        <v>59</v>
      </c>
      <c r="AA15" s="40" t="s">
        <v>59</v>
      </c>
      <c r="AD15" s="42" t="s">
        <v>59</v>
      </c>
      <c r="AG15" s="44" t="s">
        <v>59</v>
      </c>
    </row>
    <row r="16" ht="15" customHeight="1" spans="1:35">
      <c r="A16" s="46"/>
      <c r="B16" s="35" t="s">
        <v>66</v>
      </c>
      <c r="C16" s="36">
        <v>1.8</v>
      </c>
      <c r="D16" s="36">
        <v>1.08</v>
      </c>
      <c r="E16" s="67">
        <v>0</v>
      </c>
      <c r="F16" s="37">
        <v>1.944</v>
      </c>
      <c r="G16" s="38">
        <v>0.86</v>
      </c>
      <c r="H16" s="39">
        <v>9.05</v>
      </c>
      <c r="I16" s="40">
        <v>2823.456103125</v>
      </c>
      <c r="J16" s="41">
        <f>I16/5</f>
        <v>564.691220625</v>
      </c>
      <c r="K16" s="41">
        <f>J16+27.7044</f>
        <v>592.395620625</v>
      </c>
      <c r="L16" s="42">
        <v>2900.151975</v>
      </c>
      <c r="M16" s="43">
        <f>L16/5</f>
        <v>580.030395</v>
      </c>
      <c r="N16" s="43">
        <f>M16+27.7044</f>
        <v>607.734795</v>
      </c>
      <c r="O16" s="40">
        <v>3020.674059375</v>
      </c>
      <c r="P16" s="41">
        <f>O16/5</f>
        <v>604.134811875</v>
      </c>
      <c r="Q16" s="41">
        <f>P16+27.7044</f>
        <v>631.839211875</v>
      </c>
      <c r="R16" s="42">
        <v>3130.239590625</v>
      </c>
      <c r="S16" s="43">
        <f>R16/5</f>
        <v>626.047918125</v>
      </c>
      <c r="T16" s="43">
        <f>S16+27.7044</f>
        <v>653.752318125</v>
      </c>
      <c r="U16" s="40">
        <v>3250.761675</v>
      </c>
      <c r="V16" s="41">
        <f>U16/5</f>
        <v>650.152335</v>
      </c>
      <c r="W16" s="41">
        <f>V16+27.7044</f>
        <v>677.856735</v>
      </c>
      <c r="X16" s="42">
        <v>3371.283759375</v>
      </c>
      <c r="Y16" s="43">
        <f>X16/5</f>
        <v>674.256751875</v>
      </c>
      <c r="Z16" s="43">
        <f>Y16+27.7044</f>
        <v>701.961151875</v>
      </c>
      <c r="AA16" s="40">
        <v>3491.80584375</v>
      </c>
      <c r="AB16" s="41">
        <f>AA16/5</f>
        <v>698.36116875</v>
      </c>
      <c r="AC16" s="41">
        <f>AB16+27.7044</f>
        <v>726.06556875</v>
      </c>
      <c r="AD16" s="42">
        <v>3699.980353125</v>
      </c>
      <c r="AE16" s="43">
        <f>AD16/5</f>
        <v>739.996070625</v>
      </c>
      <c r="AF16" s="43">
        <f>AE16+27.7044</f>
        <v>767.700470625</v>
      </c>
      <c r="AG16" s="44">
        <v>4039.6335</v>
      </c>
      <c r="AH16" s="45">
        <f>AG16/5</f>
        <v>807.9267</v>
      </c>
      <c r="AI16" s="45">
        <f>AH16+27.7044</f>
        <v>835.6311</v>
      </c>
    </row>
    <row r="17" ht="15" customHeight="1" spans="1:35">
      <c r="A17" s="46"/>
      <c r="B17" s="35" t="s">
        <v>67</v>
      </c>
      <c r="C17" s="36">
        <v>2</v>
      </c>
      <c r="D17" s="36">
        <v>1.08</v>
      </c>
      <c r="E17" s="67">
        <v>0</v>
      </c>
      <c r="F17" s="37">
        <v>2.16</v>
      </c>
      <c r="G17" s="38">
        <v>0.86</v>
      </c>
      <c r="H17" s="39">
        <v>9.65</v>
      </c>
      <c r="I17" s="40">
        <v>3045.853715625</v>
      </c>
      <c r="J17" s="41">
        <f>I17/5</f>
        <v>609.170743125</v>
      </c>
      <c r="K17" s="41">
        <f>J17+27.7044</f>
        <v>636.875143125</v>
      </c>
      <c r="L17" s="42">
        <v>3128.26605</v>
      </c>
      <c r="M17" s="43">
        <f>L17/5</f>
        <v>625.65321</v>
      </c>
      <c r="N17" s="43">
        <f>M17+27.7044</f>
        <v>653.35761</v>
      </c>
      <c r="O17" s="40">
        <v>3257.771146875</v>
      </c>
      <c r="P17" s="41">
        <f>O17/5</f>
        <v>651.554229375</v>
      </c>
      <c r="Q17" s="41">
        <f>P17+27.7044</f>
        <v>679.258629375</v>
      </c>
      <c r="R17" s="42">
        <v>3375.503053125</v>
      </c>
      <c r="S17" s="43">
        <f>R17/5</f>
        <v>675.100610625</v>
      </c>
      <c r="T17" s="43">
        <f>S17+27.7044</f>
        <v>702.805010625</v>
      </c>
      <c r="U17" s="40">
        <v>3505.00815</v>
      </c>
      <c r="V17" s="41">
        <f>U17/5</f>
        <v>701.00163</v>
      </c>
      <c r="W17" s="41">
        <f>V17+27.7044</f>
        <v>728.70603</v>
      </c>
      <c r="X17" s="42">
        <v>3634.513246875</v>
      </c>
      <c r="Y17" s="43">
        <f>X17/5</f>
        <v>726.902649375</v>
      </c>
      <c r="Z17" s="43">
        <f>Y17+27.7044</f>
        <v>754.607049375</v>
      </c>
      <c r="AA17" s="40">
        <v>3764.01834375</v>
      </c>
      <c r="AB17" s="41">
        <f>AA17/5</f>
        <v>752.80366875</v>
      </c>
      <c r="AC17" s="41">
        <f>AB17+27.7044</f>
        <v>780.50806875</v>
      </c>
      <c r="AD17" s="42">
        <v>3987.708965625</v>
      </c>
      <c r="AE17" s="43">
        <f>AD17/5</f>
        <v>797.541793125</v>
      </c>
      <c r="AF17" s="43">
        <f>AE17+27.7044</f>
        <v>825.246193125</v>
      </c>
      <c r="AG17" s="44">
        <v>4352.677875</v>
      </c>
      <c r="AH17" s="45">
        <f>AG17/5</f>
        <v>870.535575</v>
      </c>
      <c r="AI17" s="45">
        <f>AH17+27.7044</f>
        <v>898.239975</v>
      </c>
    </row>
    <row r="18" ht="15" customHeight="1" spans="1:35">
      <c r="A18" s="46"/>
      <c r="B18" s="35" t="s">
        <v>68</v>
      </c>
      <c r="C18" s="36">
        <v>2.2</v>
      </c>
      <c r="D18" s="36">
        <v>1.08</v>
      </c>
      <c r="E18" s="67">
        <v>0</v>
      </c>
      <c r="F18" s="37">
        <v>2.376</v>
      </c>
      <c r="G18" s="38">
        <v>0.86</v>
      </c>
      <c r="H18" s="39">
        <v>10.25</v>
      </c>
      <c r="I18" s="40">
        <v>3298.194703125</v>
      </c>
      <c r="J18" s="41">
        <f>I18/5</f>
        <v>659.638940625</v>
      </c>
      <c r="K18" s="41">
        <f>J18+27.7044</f>
        <v>687.343340625</v>
      </c>
      <c r="L18" s="42">
        <v>3386.3235</v>
      </c>
      <c r="M18" s="43">
        <f>L18/5</f>
        <v>677.2647</v>
      </c>
      <c r="N18" s="43">
        <f>M18+27.7044</f>
        <v>704.9691</v>
      </c>
      <c r="O18" s="40">
        <v>3524.811609375</v>
      </c>
      <c r="P18" s="41">
        <f>O18/5</f>
        <v>704.962321875</v>
      </c>
      <c r="Q18" s="41">
        <f>P18+27.7044</f>
        <v>732.666721875</v>
      </c>
      <c r="R18" s="42">
        <v>3650.709890625</v>
      </c>
      <c r="S18" s="43">
        <f>R18/5</f>
        <v>730.141978125</v>
      </c>
      <c r="T18" s="43">
        <f>S18+27.7044</f>
        <v>757.846378125</v>
      </c>
      <c r="U18" s="40">
        <v>3789.198</v>
      </c>
      <c r="V18" s="41">
        <f>U18/5</f>
        <v>757.8396</v>
      </c>
      <c r="W18" s="41">
        <f>V18+27.7044</f>
        <v>785.544</v>
      </c>
      <c r="X18" s="42">
        <v>3927.686109375</v>
      </c>
      <c r="Y18" s="43">
        <f>X18/5</f>
        <v>785.537221875</v>
      </c>
      <c r="Z18" s="43">
        <f>Y18+27.7044</f>
        <v>813.241621875</v>
      </c>
      <c r="AA18" s="40">
        <v>4066.17421875</v>
      </c>
      <c r="AB18" s="41">
        <f>AA18/5</f>
        <v>813.23484375</v>
      </c>
      <c r="AC18" s="41">
        <f>AB18+27.7044</f>
        <v>840.93924375</v>
      </c>
      <c r="AD18" s="42">
        <v>4305.380953125</v>
      </c>
      <c r="AE18" s="43">
        <f>AD18/5</f>
        <v>861.076190625</v>
      </c>
      <c r="AF18" s="43">
        <f>AE18+27.7044</f>
        <v>888.780590625</v>
      </c>
      <c r="AG18" s="44">
        <v>4695.665625</v>
      </c>
      <c r="AH18" s="45">
        <f>AG18/5</f>
        <v>939.133125</v>
      </c>
      <c r="AI18" s="45">
        <f>AH18+27.7044</f>
        <v>966.837525</v>
      </c>
    </row>
    <row r="19" ht="15" customHeight="1" spans="1:35">
      <c r="A19" s="46"/>
      <c r="B19" s="35" t="s">
        <v>69</v>
      </c>
      <c r="C19" s="36">
        <v>2.4</v>
      </c>
      <c r="D19" s="36">
        <v>1.08</v>
      </c>
      <c r="E19" s="67">
        <v>0</v>
      </c>
      <c r="F19" s="37">
        <v>2.592</v>
      </c>
      <c r="G19" s="38">
        <v>0.86</v>
      </c>
      <c r="H19" s="39">
        <v>10.85</v>
      </c>
      <c r="I19" s="40">
        <v>3517.870190625</v>
      </c>
      <c r="J19" s="41">
        <f>I19/5</f>
        <v>703.574038125</v>
      </c>
      <c r="K19" s="41">
        <f>J19+882.5842</f>
        <v>1586.158238125</v>
      </c>
      <c r="L19" s="42">
        <v>3611.71545</v>
      </c>
      <c r="M19" s="43">
        <f>L19/5</f>
        <v>722.34309</v>
      </c>
      <c r="N19" s="43">
        <f>M19+882.5842</f>
        <v>1604.92729</v>
      </c>
      <c r="O19" s="40">
        <v>3759.186571875</v>
      </c>
      <c r="P19" s="41">
        <f>O19/5</f>
        <v>751.837314375</v>
      </c>
      <c r="Q19" s="41">
        <f>P19+882.5842</f>
        <v>1634.421514375</v>
      </c>
      <c r="R19" s="42">
        <v>3893.251228125</v>
      </c>
      <c r="S19" s="43">
        <f>R19/5</f>
        <v>778.650245625</v>
      </c>
      <c r="T19" s="43">
        <f>S19+882.5842</f>
        <v>1661.234445625</v>
      </c>
      <c r="U19" s="40">
        <v>4040.72235</v>
      </c>
      <c r="V19" s="41">
        <f>U19/5</f>
        <v>808.14447</v>
      </c>
      <c r="W19" s="41">
        <f>V19+882.5842</f>
        <v>1690.72867</v>
      </c>
      <c r="X19" s="42">
        <v>4188.193471875</v>
      </c>
      <c r="Y19" s="43">
        <f>X19/5</f>
        <v>837.638694375</v>
      </c>
      <c r="Z19" s="43">
        <f>Y19+882.5842</f>
        <v>1720.222894375</v>
      </c>
      <c r="AA19" s="40">
        <v>4335.66459375</v>
      </c>
      <c r="AB19" s="41">
        <f>AA19/5</f>
        <v>867.13291875</v>
      </c>
      <c r="AC19" s="41">
        <f>AB19+882.5842</f>
        <v>1749.71711875</v>
      </c>
      <c r="AD19" s="42">
        <v>4590.387440625</v>
      </c>
      <c r="AE19" s="43">
        <f>AD19/5</f>
        <v>918.077488125</v>
      </c>
      <c r="AF19" s="43">
        <f>AE19+882.5842</f>
        <v>1800.661688125</v>
      </c>
      <c r="AG19" s="44">
        <v>5005.987875</v>
      </c>
      <c r="AH19" s="45">
        <f>AG19/5</f>
        <v>1001.197575</v>
      </c>
      <c r="AI19" s="45">
        <f>AH19+882.5842</f>
        <v>1883.781775</v>
      </c>
    </row>
    <row r="20" ht="14.45" customHeight="1" spans="1:35">
      <c r="A20" s="46"/>
      <c r="B20" s="35"/>
      <c r="C20" s="36"/>
      <c r="D20" s="36"/>
      <c r="E20" s="67">
        <v>0</v>
      </c>
      <c r="F20" s="37" t="s">
        <v>59</v>
      </c>
      <c r="G20" s="38" t="s">
        <v>59</v>
      </c>
      <c r="H20" s="39" t="s">
        <v>59</v>
      </c>
      <c r="I20" s="40" t="s">
        <v>59</v>
      </c>
      <c r="L20" s="42" t="s">
        <v>59</v>
      </c>
      <c r="O20" s="40" t="s">
        <v>59</v>
      </c>
      <c r="R20" s="42" t="s">
        <v>59</v>
      </c>
      <c r="U20" s="40" t="s">
        <v>59</v>
      </c>
      <c r="X20" s="42" t="s">
        <v>59</v>
      </c>
      <c r="AA20" s="40" t="s">
        <v>59</v>
      </c>
      <c r="AD20" s="42" t="s">
        <v>59</v>
      </c>
      <c r="AG20" s="44" t="s">
        <v>59</v>
      </c>
    </row>
    <row r="21" ht="15" customHeight="1" spans="1:35">
      <c r="A21" s="46"/>
      <c r="B21" s="35" t="s">
        <v>70</v>
      </c>
      <c r="C21" s="36">
        <v>1.35</v>
      </c>
      <c r="D21" s="36">
        <v>1.08</v>
      </c>
      <c r="E21" s="67">
        <v>0</v>
      </c>
      <c r="F21" s="37">
        <v>1.458</v>
      </c>
      <c r="G21" s="38">
        <v>0.86</v>
      </c>
      <c r="H21" s="39">
        <v>5.7</v>
      </c>
      <c r="I21" s="40">
        <v>1875.95244375</v>
      </c>
      <c r="J21" s="41">
        <f t="shared" ref="J21:J27" si="0">I21/5</f>
        <v>375.19048875</v>
      </c>
      <c r="K21" s="41">
        <f>J21+27.7044</f>
        <v>402.89488875</v>
      </c>
      <c r="L21" s="42">
        <v>1920.7314</v>
      </c>
      <c r="M21" s="43">
        <f t="shared" ref="M21:M27" si="1">L21/5</f>
        <v>384.14628</v>
      </c>
      <c r="N21" s="43">
        <f>M21+27.7044</f>
        <v>411.85068</v>
      </c>
      <c r="O21" s="40">
        <v>1991.09833125</v>
      </c>
      <c r="P21" s="41">
        <f t="shared" ref="P21:P27" si="2">O21/5</f>
        <v>398.21966625</v>
      </c>
      <c r="Q21" s="41">
        <f>P21+27.7044</f>
        <v>425.92406625</v>
      </c>
      <c r="R21" s="42">
        <v>2055.06826875</v>
      </c>
      <c r="S21" s="43">
        <f t="shared" ref="S21:S27" si="3">R21/5</f>
        <v>411.01365375</v>
      </c>
      <c r="T21" s="43">
        <f>S21+27.7044</f>
        <v>438.71805375</v>
      </c>
      <c r="U21" s="40">
        <v>2125.4352</v>
      </c>
      <c r="V21" s="41">
        <f t="shared" ref="V21:V27" si="4">U21/5</f>
        <v>425.08704</v>
      </c>
      <c r="W21" s="41">
        <f>V21+27.7044</f>
        <v>452.79144</v>
      </c>
      <c r="X21" s="42">
        <v>2195.80213125</v>
      </c>
      <c r="Y21" s="43">
        <f t="shared" ref="Y21:Y27" si="5">X21/5</f>
        <v>439.16042625</v>
      </c>
      <c r="Z21" s="43">
        <f>Y21+27.7044</f>
        <v>466.86482625</v>
      </c>
      <c r="AA21" s="40">
        <v>2266.1690625</v>
      </c>
      <c r="AB21" s="41">
        <f t="shared" ref="AB21:AB27" si="6">AA21/5</f>
        <v>453.2338125</v>
      </c>
      <c r="AC21" s="41">
        <f>AB21+27.7044</f>
        <v>480.9382125</v>
      </c>
      <c r="AD21" s="42">
        <v>2387.71194375</v>
      </c>
      <c r="AE21" s="43">
        <f t="shared" ref="AE21:AE27" si="7">AD21/5</f>
        <v>477.54238875</v>
      </c>
      <c r="AF21" s="43">
        <f>AE21+27.7044</f>
        <v>505.24678875</v>
      </c>
      <c r="AG21" s="44">
        <v>2586.01875</v>
      </c>
      <c r="AH21" s="45">
        <f t="shared" ref="AH21:AH27" si="8">AG21/5</f>
        <v>517.20375</v>
      </c>
      <c r="AI21" s="45">
        <f>AH21+27.7044</f>
        <v>544.90815</v>
      </c>
    </row>
    <row r="22" ht="15" customHeight="1" spans="1:35">
      <c r="A22" s="46"/>
      <c r="B22" s="35" t="s">
        <v>71</v>
      </c>
      <c r="C22" s="36">
        <v>1.45</v>
      </c>
      <c r="D22" s="36">
        <v>1.08</v>
      </c>
      <c r="E22" s="67">
        <v>0</v>
      </c>
      <c r="F22" s="37">
        <v>1.566</v>
      </c>
      <c r="G22" s="38">
        <v>0.86</v>
      </c>
      <c r="H22" s="39">
        <v>6</v>
      </c>
      <c r="I22" s="40">
        <v>1985.7901875</v>
      </c>
      <c r="J22" s="41">
        <f t="shared" si="0"/>
        <v>397.1580375</v>
      </c>
      <c r="K22" s="41">
        <f>J22+27.7044</f>
        <v>424.8624375</v>
      </c>
      <c r="L22" s="42">
        <v>2033.427375</v>
      </c>
      <c r="M22" s="43">
        <f t="shared" si="1"/>
        <v>406.685475</v>
      </c>
      <c r="N22" s="43">
        <f>M22+27.7044</f>
        <v>434.389875</v>
      </c>
      <c r="O22" s="40">
        <v>2108.2858125</v>
      </c>
      <c r="P22" s="41">
        <f t="shared" si="2"/>
        <v>421.6571625</v>
      </c>
      <c r="Q22" s="41">
        <f>P22+27.7044</f>
        <v>449.3615625</v>
      </c>
      <c r="R22" s="42">
        <v>2176.3389375</v>
      </c>
      <c r="S22" s="43">
        <f t="shared" si="3"/>
        <v>435.2677875</v>
      </c>
      <c r="T22" s="43">
        <f>S22+27.7044</f>
        <v>462.9721875</v>
      </c>
      <c r="U22" s="40">
        <v>2251.197375</v>
      </c>
      <c r="V22" s="41">
        <f t="shared" si="4"/>
        <v>450.239475</v>
      </c>
      <c r="W22" s="41">
        <f>V22+27.7044</f>
        <v>477.943875</v>
      </c>
      <c r="X22" s="42">
        <v>2326.0558125</v>
      </c>
      <c r="Y22" s="43">
        <f t="shared" si="5"/>
        <v>465.2111625</v>
      </c>
      <c r="Z22" s="43">
        <f>Y22+27.7044</f>
        <v>492.9155625</v>
      </c>
      <c r="AA22" s="40">
        <v>2400.91425</v>
      </c>
      <c r="AB22" s="41">
        <f t="shared" si="6"/>
        <v>480.18285</v>
      </c>
      <c r="AC22" s="41">
        <f>AB22+27.7044</f>
        <v>507.88725</v>
      </c>
      <c r="AD22" s="42">
        <v>2530.2151875</v>
      </c>
      <c r="AE22" s="43">
        <f t="shared" si="7"/>
        <v>506.0430375</v>
      </c>
      <c r="AF22" s="43">
        <f>AE22+27.7044</f>
        <v>533.7474375</v>
      </c>
      <c r="AG22" s="44">
        <v>2741.179875</v>
      </c>
      <c r="AH22" s="45">
        <f t="shared" si="8"/>
        <v>548.235975</v>
      </c>
      <c r="AI22" s="45">
        <f>AH22+27.7044</f>
        <v>575.940375</v>
      </c>
    </row>
    <row r="23" ht="15" customHeight="1" spans="1:35">
      <c r="A23" s="46"/>
      <c r="B23" s="35" t="s">
        <v>72</v>
      </c>
      <c r="C23" s="36">
        <v>1.55</v>
      </c>
      <c r="D23" s="36">
        <v>1.08</v>
      </c>
      <c r="E23" s="67">
        <v>0</v>
      </c>
      <c r="F23" s="37">
        <v>1.674</v>
      </c>
      <c r="G23" s="38">
        <v>0.86</v>
      </c>
      <c r="H23" s="39">
        <v>6.3</v>
      </c>
      <c r="I23" s="40">
        <v>2139.18193125</v>
      </c>
      <c r="J23" s="41">
        <f t="shared" si="0"/>
        <v>427.83638625</v>
      </c>
      <c r="K23" s="41">
        <f>J23+27.7044</f>
        <v>455.54078625</v>
      </c>
      <c r="L23" s="42">
        <v>2189.67735</v>
      </c>
      <c r="M23" s="43">
        <f t="shared" si="1"/>
        <v>437.93547</v>
      </c>
      <c r="N23" s="43">
        <f>M23+27.7044</f>
        <v>465.63987</v>
      </c>
      <c r="O23" s="40">
        <v>2269.02729375</v>
      </c>
      <c r="P23" s="41">
        <f t="shared" si="2"/>
        <v>453.80545875</v>
      </c>
      <c r="Q23" s="41">
        <f>P23+27.7044</f>
        <v>481.50985875</v>
      </c>
      <c r="R23" s="42">
        <v>2341.16360625</v>
      </c>
      <c r="S23" s="43">
        <f t="shared" si="3"/>
        <v>468.23272125</v>
      </c>
      <c r="T23" s="43">
        <f>S23+27.7044</f>
        <v>495.93712125</v>
      </c>
      <c r="U23" s="40">
        <v>2420.51355</v>
      </c>
      <c r="V23" s="41">
        <f t="shared" si="4"/>
        <v>484.10271</v>
      </c>
      <c r="W23" s="41">
        <f>V23+27.7044</f>
        <v>511.80711</v>
      </c>
      <c r="X23" s="42">
        <v>2499.86349375</v>
      </c>
      <c r="Y23" s="43">
        <f t="shared" si="5"/>
        <v>499.97269875</v>
      </c>
      <c r="Z23" s="43">
        <f>Y23+27.7044</f>
        <v>527.67709875</v>
      </c>
      <c r="AA23" s="40">
        <v>2579.2134375</v>
      </c>
      <c r="AB23" s="41">
        <f t="shared" si="6"/>
        <v>515.8426875</v>
      </c>
      <c r="AC23" s="41">
        <f>AB23+27.7044</f>
        <v>543.5470875</v>
      </c>
      <c r="AD23" s="42">
        <v>2716.27243125</v>
      </c>
      <c r="AE23" s="43">
        <f t="shared" si="7"/>
        <v>543.25448625</v>
      </c>
      <c r="AF23" s="43">
        <f>AE23+27.7044</f>
        <v>570.95888625</v>
      </c>
      <c r="AG23" s="44">
        <v>2939.895</v>
      </c>
      <c r="AH23" s="45">
        <f t="shared" si="8"/>
        <v>587.979</v>
      </c>
      <c r="AI23" s="45">
        <f>AH23+27.7044</f>
        <v>615.6834</v>
      </c>
    </row>
    <row r="24" ht="15" customHeight="1" spans="1:35">
      <c r="A24" s="46"/>
      <c r="B24" s="35" t="s">
        <v>73</v>
      </c>
      <c r="C24" s="36">
        <v>1.65</v>
      </c>
      <c r="D24" s="36">
        <v>1.08</v>
      </c>
      <c r="E24" s="67">
        <v>0</v>
      </c>
      <c r="F24" s="37">
        <v>1.782</v>
      </c>
      <c r="G24" s="38">
        <v>0.86</v>
      </c>
      <c r="H24" s="39">
        <v>6.6</v>
      </c>
      <c r="I24" s="40">
        <v>2249.019675</v>
      </c>
      <c r="J24" s="41">
        <f t="shared" si="0"/>
        <v>449.803935</v>
      </c>
      <c r="K24" s="41">
        <f>J24+605.5399</f>
        <v>1055.343835</v>
      </c>
      <c r="L24" s="42">
        <v>2302.373325</v>
      </c>
      <c r="M24" s="43">
        <f t="shared" si="1"/>
        <v>460.474665</v>
      </c>
      <c r="N24" s="43">
        <f>M24+605.5399</f>
        <v>1066.014565</v>
      </c>
      <c r="O24" s="40">
        <v>2386.214775</v>
      </c>
      <c r="P24" s="41">
        <f t="shared" si="2"/>
        <v>477.242955</v>
      </c>
      <c r="Q24" s="41">
        <f>P24+605.5399</f>
        <v>1082.782855</v>
      </c>
      <c r="R24" s="42">
        <v>2462.434275</v>
      </c>
      <c r="S24" s="43">
        <f t="shared" si="3"/>
        <v>492.486855</v>
      </c>
      <c r="T24" s="43">
        <f>S24+605.5399</f>
        <v>1098.026755</v>
      </c>
      <c r="U24" s="40">
        <v>2546.275725</v>
      </c>
      <c r="V24" s="41">
        <f t="shared" si="4"/>
        <v>509.255145</v>
      </c>
      <c r="W24" s="41">
        <f>V24+605.5399</f>
        <v>1114.795045</v>
      </c>
      <c r="X24" s="42">
        <v>2630.117175</v>
      </c>
      <c r="Y24" s="43">
        <f t="shared" si="5"/>
        <v>526.023435</v>
      </c>
      <c r="Z24" s="43">
        <f>Y24+605.5399</f>
        <v>1131.563335</v>
      </c>
      <c r="AA24" s="40">
        <v>2713.958625</v>
      </c>
      <c r="AB24" s="41">
        <f t="shared" si="6"/>
        <v>542.791725</v>
      </c>
      <c r="AC24" s="41">
        <f>AB24+605.5399</f>
        <v>1148.331625</v>
      </c>
      <c r="AD24" s="42">
        <v>2858.775675</v>
      </c>
      <c r="AE24" s="43">
        <f t="shared" si="7"/>
        <v>571.755135</v>
      </c>
      <c r="AF24" s="43">
        <f>AE24+605.5399</f>
        <v>1177.295035</v>
      </c>
      <c r="AG24" s="44">
        <v>3095.056125</v>
      </c>
      <c r="AH24" s="45">
        <f t="shared" si="8"/>
        <v>619.011225</v>
      </c>
      <c r="AI24" s="45">
        <f>AH24+605.5399</f>
        <v>1224.551125</v>
      </c>
    </row>
    <row r="25" ht="15" customHeight="1" spans="1:35">
      <c r="A25" s="46"/>
      <c r="B25" s="35" t="s">
        <v>74</v>
      </c>
      <c r="C25" s="36">
        <v>1.75</v>
      </c>
      <c r="D25" s="36">
        <v>1.08</v>
      </c>
      <c r="E25" s="67">
        <v>0</v>
      </c>
      <c r="F25" s="37">
        <v>1.89</v>
      </c>
      <c r="G25" s="38">
        <v>0.86</v>
      </c>
      <c r="H25" s="39">
        <v>6.9</v>
      </c>
      <c r="I25" s="40">
        <v>2358.85741875</v>
      </c>
      <c r="J25" s="41">
        <f t="shared" si="0"/>
        <v>471.77148375</v>
      </c>
      <c r="K25" s="41">
        <f>J25+27.7044</f>
        <v>499.47588375</v>
      </c>
      <c r="L25" s="42">
        <v>2415.0693</v>
      </c>
      <c r="M25" s="43">
        <f t="shared" si="1"/>
        <v>483.01386</v>
      </c>
      <c r="N25" s="43">
        <f>M25+27.7044</f>
        <v>510.71826</v>
      </c>
      <c r="O25" s="40">
        <v>2503.40225625</v>
      </c>
      <c r="P25" s="41">
        <f t="shared" si="2"/>
        <v>500.68045125</v>
      </c>
      <c r="Q25" s="41">
        <f>P25+27.7044</f>
        <v>528.38485125</v>
      </c>
      <c r="R25" s="42">
        <v>2583.70494375</v>
      </c>
      <c r="S25" s="43">
        <f t="shared" si="3"/>
        <v>516.74098875</v>
      </c>
      <c r="T25" s="43">
        <f>S25+27.7044</f>
        <v>544.44538875</v>
      </c>
      <c r="U25" s="40">
        <v>2672.0379</v>
      </c>
      <c r="V25" s="41">
        <f t="shared" si="4"/>
        <v>534.40758</v>
      </c>
      <c r="W25" s="41">
        <f>V25+27.7044</f>
        <v>562.11198</v>
      </c>
      <c r="X25" s="42">
        <v>2760.37085625</v>
      </c>
      <c r="Y25" s="43">
        <f t="shared" si="5"/>
        <v>552.07417125</v>
      </c>
      <c r="Z25" s="43">
        <f>Y25+27.7044</f>
        <v>579.77857125</v>
      </c>
      <c r="AA25" s="40">
        <v>2848.7038125</v>
      </c>
      <c r="AB25" s="41">
        <f t="shared" si="6"/>
        <v>569.7407625</v>
      </c>
      <c r="AC25" s="41">
        <f>AB25+27.7044</f>
        <v>597.4451625</v>
      </c>
      <c r="AD25" s="42">
        <v>3001.27891875</v>
      </c>
      <c r="AE25" s="43">
        <f t="shared" si="7"/>
        <v>600.25578375</v>
      </c>
      <c r="AF25" s="43">
        <f>AE25+27.7044</f>
        <v>627.96018375</v>
      </c>
      <c r="AG25" s="44">
        <v>3250.21725</v>
      </c>
      <c r="AH25" s="45">
        <f t="shared" si="8"/>
        <v>650.04345</v>
      </c>
      <c r="AI25" s="45">
        <f>AH25+27.7044</f>
        <v>677.74785</v>
      </c>
    </row>
    <row r="26" ht="15" customHeight="1" spans="1:35">
      <c r="A26" s="46"/>
      <c r="B26" s="35" t="s">
        <v>75</v>
      </c>
      <c r="C26" s="36">
        <v>1.85</v>
      </c>
      <c r="D26" s="36">
        <v>1.08</v>
      </c>
      <c r="E26" s="67">
        <v>0</v>
      </c>
      <c r="F26" s="37">
        <v>1.998</v>
      </c>
      <c r="G26" s="38">
        <v>0.86</v>
      </c>
      <c r="H26" s="39">
        <v>7.2</v>
      </c>
      <c r="I26" s="40">
        <v>2468.6951625</v>
      </c>
      <c r="J26" s="41">
        <f t="shared" si="0"/>
        <v>493.7390325</v>
      </c>
      <c r="K26" s="41">
        <f>J26+27.7044</f>
        <v>521.4434325</v>
      </c>
      <c r="L26" s="42">
        <v>2527.765275</v>
      </c>
      <c r="M26" s="43">
        <f t="shared" si="1"/>
        <v>505.553055</v>
      </c>
      <c r="N26" s="43">
        <f>M26+27.7044</f>
        <v>533.257455</v>
      </c>
      <c r="O26" s="40">
        <v>2620.5897375</v>
      </c>
      <c r="P26" s="41">
        <f t="shared" si="2"/>
        <v>524.1179475</v>
      </c>
      <c r="Q26" s="41">
        <f>P26+27.7044</f>
        <v>551.8223475</v>
      </c>
      <c r="R26" s="42">
        <v>2704.9756125</v>
      </c>
      <c r="S26" s="43">
        <f t="shared" si="3"/>
        <v>540.9951225</v>
      </c>
      <c r="T26" s="43">
        <f>S26+27.7044</f>
        <v>568.6995225</v>
      </c>
      <c r="U26" s="40">
        <v>2797.800075</v>
      </c>
      <c r="V26" s="41">
        <f t="shared" si="4"/>
        <v>559.560015</v>
      </c>
      <c r="W26" s="41">
        <f>V26+27.7044</f>
        <v>587.264415</v>
      </c>
      <c r="X26" s="42">
        <v>2890.6245375</v>
      </c>
      <c r="Y26" s="43">
        <f t="shared" si="5"/>
        <v>578.1249075</v>
      </c>
      <c r="Z26" s="43">
        <f>Y26+27.7044</f>
        <v>605.8293075</v>
      </c>
      <c r="AA26" s="40">
        <v>2983.449</v>
      </c>
      <c r="AB26" s="41">
        <f t="shared" si="6"/>
        <v>596.6898</v>
      </c>
      <c r="AC26" s="41">
        <f>AB26+27.7044</f>
        <v>624.3942</v>
      </c>
      <c r="AD26" s="42">
        <v>3143.7821625</v>
      </c>
      <c r="AE26" s="43">
        <f t="shared" si="7"/>
        <v>628.7564325</v>
      </c>
      <c r="AF26" s="43">
        <f>AE26+27.7044</f>
        <v>656.4608325</v>
      </c>
      <c r="AG26" s="44">
        <v>3405.378375</v>
      </c>
      <c r="AH26" s="45">
        <f t="shared" si="8"/>
        <v>681.075675</v>
      </c>
      <c r="AI26" s="45">
        <f>AH26+27.7044</f>
        <v>708.780075</v>
      </c>
    </row>
    <row r="27" ht="15" customHeight="1" spans="1:35">
      <c r="A27" s="46"/>
      <c r="B27" s="35" t="s">
        <v>76</v>
      </c>
      <c r="C27" s="36">
        <v>1.95</v>
      </c>
      <c r="D27" s="36">
        <v>1.08</v>
      </c>
      <c r="E27" s="67">
        <v>0</v>
      </c>
      <c r="F27" s="37">
        <v>2.106</v>
      </c>
      <c r="G27" s="38">
        <v>0.86</v>
      </c>
      <c r="H27" s="39">
        <v>7.5</v>
      </c>
      <c r="I27" s="40">
        <v>2578.53290625</v>
      </c>
      <c r="J27" s="41">
        <f t="shared" si="0"/>
        <v>515.70658125</v>
      </c>
      <c r="K27" s="41">
        <f>J27+27.7044</f>
        <v>543.41098125</v>
      </c>
      <c r="L27" s="42">
        <v>2640.46125</v>
      </c>
      <c r="M27" s="43">
        <f t="shared" si="1"/>
        <v>528.09225</v>
      </c>
      <c r="N27" s="43">
        <f>M27+27.7044</f>
        <v>555.79665</v>
      </c>
      <c r="O27" s="40">
        <v>2737.77721875</v>
      </c>
      <c r="P27" s="41">
        <f t="shared" si="2"/>
        <v>547.55544375</v>
      </c>
      <c r="Q27" s="41">
        <f>P27+27.7044</f>
        <v>575.25984375</v>
      </c>
      <c r="R27" s="42">
        <v>2826.24628125</v>
      </c>
      <c r="S27" s="43">
        <f t="shared" si="3"/>
        <v>565.24925625</v>
      </c>
      <c r="T27" s="43">
        <f>S27+27.7044</f>
        <v>592.95365625</v>
      </c>
      <c r="U27" s="40">
        <v>2923.56225</v>
      </c>
      <c r="V27" s="41">
        <f t="shared" si="4"/>
        <v>584.71245</v>
      </c>
      <c r="W27" s="41">
        <f>V27+27.7044</f>
        <v>612.41685</v>
      </c>
      <c r="X27" s="42">
        <v>3020.87821875</v>
      </c>
      <c r="Y27" s="43">
        <f t="shared" si="5"/>
        <v>604.17564375</v>
      </c>
      <c r="Z27" s="43">
        <f>Y27+27.7044</f>
        <v>631.88004375</v>
      </c>
      <c r="AA27" s="40">
        <v>3118.1941875</v>
      </c>
      <c r="AB27" s="41">
        <f t="shared" si="6"/>
        <v>623.6388375</v>
      </c>
      <c r="AC27" s="41">
        <f>AB27+27.7044</f>
        <v>651.3432375</v>
      </c>
      <c r="AD27" s="42">
        <v>3286.28540625</v>
      </c>
      <c r="AE27" s="43">
        <f t="shared" si="7"/>
        <v>657.25708125</v>
      </c>
      <c r="AF27" s="43">
        <f>AE27+27.7044</f>
        <v>684.96148125</v>
      </c>
      <c r="AG27" s="44">
        <v>3560.5395</v>
      </c>
      <c r="AH27" s="45">
        <f t="shared" si="8"/>
        <v>712.1079</v>
      </c>
      <c r="AI27" s="45">
        <f>AH27+27.7044</f>
        <v>739.8123</v>
      </c>
    </row>
    <row r="28" ht="15" customHeight="1" spans="1:35">
      <c r="A28" s="46"/>
      <c r="B28" s="35"/>
      <c r="C28" s="36"/>
      <c r="D28" s="36"/>
      <c r="E28" s="67">
        <v>0</v>
      </c>
      <c r="F28" s="37" t="s">
        <v>59</v>
      </c>
      <c r="G28" s="38" t="s">
        <v>59</v>
      </c>
      <c r="H28" s="39" t="s">
        <v>59</v>
      </c>
      <c r="I28" s="40" t="s">
        <v>59</v>
      </c>
      <c r="L28" s="42" t="s">
        <v>59</v>
      </c>
      <c r="O28" s="40" t="s">
        <v>59</v>
      </c>
      <c r="R28" s="42" t="s">
        <v>59</v>
      </c>
      <c r="U28" s="40" t="s">
        <v>59</v>
      </c>
      <c r="X28" s="42" t="s">
        <v>59</v>
      </c>
      <c r="AA28" s="40" t="s">
        <v>59</v>
      </c>
      <c r="AD28" s="42" t="s">
        <v>59</v>
      </c>
      <c r="AG28" s="44" t="s">
        <v>59</v>
      </c>
    </row>
    <row r="29" ht="15" customHeight="1" spans="1:35">
      <c r="A29" s="46"/>
      <c r="B29" s="35" t="s">
        <v>77</v>
      </c>
      <c r="C29" s="36">
        <v>2.15</v>
      </c>
      <c r="D29" s="36">
        <v>1.08</v>
      </c>
      <c r="E29" s="67">
        <v>0</v>
      </c>
      <c r="F29" s="37">
        <v>2.322</v>
      </c>
      <c r="G29" s="38">
        <v>0.86</v>
      </c>
      <c r="H29" s="39">
        <v>9.3</v>
      </c>
      <c r="I29" s="40">
        <v>2924.51499375</v>
      </c>
      <c r="J29" s="41">
        <f>I29/5</f>
        <v>584.90299875</v>
      </c>
      <c r="K29" s="41">
        <f>J29+27.7044</f>
        <v>612.60739875</v>
      </c>
      <c r="L29" s="42">
        <v>3003.592725</v>
      </c>
      <c r="M29" s="43">
        <f>L29/5</f>
        <v>600.718545</v>
      </c>
      <c r="N29" s="43">
        <f>M29+27.7044</f>
        <v>628.422945</v>
      </c>
      <c r="O29" s="40">
        <v>3127.85773125</v>
      </c>
      <c r="P29" s="41">
        <f>O29/5</f>
        <v>625.57154625</v>
      </c>
      <c r="Q29" s="41">
        <f>P29+27.7044</f>
        <v>653.27594625</v>
      </c>
      <c r="R29" s="42">
        <v>3240.82591875</v>
      </c>
      <c r="S29" s="43">
        <f>R29/5</f>
        <v>648.16518375</v>
      </c>
      <c r="T29" s="43">
        <f>S29+27.7044</f>
        <v>675.86958375</v>
      </c>
      <c r="U29" s="40">
        <v>3365.090925</v>
      </c>
      <c r="V29" s="41">
        <f>U29/5</f>
        <v>673.018185</v>
      </c>
      <c r="W29" s="41">
        <f>V29+27.7044</f>
        <v>700.722585</v>
      </c>
      <c r="X29" s="42">
        <v>3489.35593125</v>
      </c>
      <c r="Y29" s="43">
        <f>X29/5</f>
        <v>697.87118625</v>
      </c>
      <c r="Z29" s="43">
        <f>Y29+27.7044</f>
        <v>725.57558625</v>
      </c>
      <c r="AA29" s="40">
        <v>3613.6209375</v>
      </c>
      <c r="AB29" s="41">
        <f>AA29/5</f>
        <v>722.7241875</v>
      </c>
      <c r="AC29" s="41">
        <f>AB29+27.7044</f>
        <v>750.4285875</v>
      </c>
      <c r="AD29" s="42">
        <v>3828.26049375</v>
      </c>
      <c r="AE29" s="43">
        <f>AD29/5</f>
        <v>765.65209875</v>
      </c>
      <c r="AF29" s="43">
        <f>AE29+27.7044</f>
        <v>793.35649875</v>
      </c>
      <c r="AG29" s="44">
        <v>4178.461875</v>
      </c>
      <c r="AH29" s="45">
        <f>AG29/5</f>
        <v>835.692375</v>
      </c>
      <c r="AI29" s="45">
        <f>AH29+27.7044</f>
        <v>863.396775</v>
      </c>
    </row>
    <row r="30" ht="15" customHeight="1" spans="1:35">
      <c r="A30" s="46"/>
      <c r="B30" s="35" t="s">
        <v>78</v>
      </c>
      <c r="C30" s="36">
        <v>2.35</v>
      </c>
      <c r="D30" s="36">
        <v>1.08</v>
      </c>
      <c r="E30" s="67">
        <v>0</v>
      </c>
      <c r="F30" s="37">
        <v>2.538</v>
      </c>
      <c r="G30" s="38">
        <v>0.86</v>
      </c>
      <c r="H30" s="39">
        <v>9.8</v>
      </c>
      <c r="I30" s="40">
        <v>3137.521275</v>
      </c>
      <c r="J30" s="41">
        <f>I30/5</f>
        <v>627.504255</v>
      </c>
      <c r="K30" s="41">
        <f>J30+27.7044</f>
        <v>655.208655</v>
      </c>
      <c r="L30" s="42">
        <v>3221.362725</v>
      </c>
      <c r="M30" s="43">
        <f>L30/5</f>
        <v>644.272545</v>
      </c>
      <c r="N30" s="43">
        <f>M30+27.7044</f>
        <v>671.976945</v>
      </c>
      <c r="O30" s="40">
        <v>3353.113575</v>
      </c>
      <c r="P30" s="41">
        <f>O30/5</f>
        <v>670.622715</v>
      </c>
      <c r="Q30" s="41">
        <f>P30+27.7044</f>
        <v>698.327115</v>
      </c>
      <c r="R30" s="42">
        <v>3472.887075</v>
      </c>
      <c r="S30" s="43">
        <f>R30/5</f>
        <v>694.577415</v>
      </c>
      <c r="T30" s="43">
        <f>S30+27.7044</f>
        <v>722.281815</v>
      </c>
      <c r="U30" s="40">
        <v>3604.637925</v>
      </c>
      <c r="V30" s="41">
        <f>U30/5</f>
        <v>720.927585</v>
      </c>
      <c r="W30" s="41">
        <f>V30+27.7044</f>
        <v>748.631985</v>
      </c>
      <c r="X30" s="42">
        <v>3736.388775</v>
      </c>
      <c r="Y30" s="43">
        <f>X30/5</f>
        <v>747.277755</v>
      </c>
      <c r="Z30" s="43">
        <f>Y30+27.7044</f>
        <v>774.982155</v>
      </c>
      <c r="AA30" s="40">
        <v>3868.139625</v>
      </c>
      <c r="AB30" s="41">
        <f>AA30/5</f>
        <v>773.627925</v>
      </c>
      <c r="AC30" s="41">
        <f>AB30+27.7044</f>
        <v>801.332325</v>
      </c>
      <c r="AD30" s="42">
        <v>4095.709275</v>
      </c>
      <c r="AE30" s="43">
        <f>AD30/5</f>
        <v>819.141855</v>
      </c>
      <c r="AF30" s="43">
        <f>AE30+27.7044</f>
        <v>846.846255</v>
      </c>
      <c r="AG30" s="44">
        <v>4467.007125</v>
      </c>
      <c r="AH30" s="45">
        <f>AG30/5</f>
        <v>893.401425</v>
      </c>
      <c r="AI30" s="45">
        <f>AH30+27.7044</f>
        <v>921.105825</v>
      </c>
    </row>
    <row r="31" ht="15" customHeight="1" spans="1:35">
      <c r="A31" s="46"/>
      <c r="B31" s="35" t="s">
        <v>79</v>
      </c>
      <c r="C31" s="36">
        <v>2.55</v>
      </c>
      <c r="D31" s="36">
        <v>1.08</v>
      </c>
      <c r="E31" s="67">
        <v>0</v>
      </c>
      <c r="F31" s="37">
        <v>2.754</v>
      </c>
      <c r="G31" s="38">
        <v>0.86</v>
      </c>
      <c r="H31" s="39">
        <v>10.3</v>
      </c>
      <c r="I31" s="40">
        <v>3388.63730625</v>
      </c>
      <c r="J31" s="41">
        <f>I31/5</f>
        <v>677.72746125</v>
      </c>
      <c r="K31" s="41">
        <f>J31+27.7044</f>
        <v>705.43186125</v>
      </c>
      <c r="L31" s="42">
        <v>3477.242475</v>
      </c>
      <c r="M31" s="43">
        <f>L31/5</f>
        <v>695.448495</v>
      </c>
      <c r="N31" s="43">
        <f>M31+27.7044</f>
        <v>723.152895</v>
      </c>
      <c r="O31" s="40">
        <v>3616.47916875</v>
      </c>
      <c r="P31" s="41">
        <f>O31/5</f>
        <v>723.29583375</v>
      </c>
      <c r="Q31" s="41">
        <f>P31+27.7044</f>
        <v>751.00023375</v>
      </c>
      <c r="R31" s="42">
        <v>3743.05798125</v>
      </c>
      <c r="S31" s="43">
        <f>R31/5</f>
        <v>748.61159625</v>
      </c>
      <c r="T31" s="43">
        <f>S31+27.7044</f>
        <v>776.31599625</v>
      </c>
      <c r="U31" s="40">
        <v>3882.294675</v>
      </c>
      <c r="V31" s="41">
        <f>U31/5</f>
        <v>776.458935</v>
      </c>
      <c r="W31" s="41">
        <f>V31+27.7044</f>
        <v>804.163335</v>
      </c>
      <c r="X31" s="42">
        <v>4021.53136875</v>
      </c>
      <c r="Y31" s="43">
        <f>X31/5</f>
        <v>804.30627375</v>
      </c>
      <c r="Z31" s="43">
        <f>Y31+27.7044</f>
        <v>832.01067375</v>
      </c>
      <c r="AA31" s="40">
        <v>4160.7680625</v>
      </c>
      <c r="AB31" s="41">
        <f>AA31/5</f>
        <v>832.1536125</v>
      </c>
      <c r="AC31" s="41">
        <f>AB31+27.7044</f>
        <v>859.8580125</v>
      </c>
      <c r="AD31" s="42">
        <v>4401.26780625</v>
      </c>
      <c r="AE31" s="43">
        <f>AD31/5</f>
        <v>880.25356125</v>
      </c>
      <c r="AF31" s="43">
        <f>AE31+27.7044</f>
        <v>907.95796125</v>
      </c>
      <c r="AG31" s="44">
        <v>4793.662125</v>
      </c>
      <c r="AH31" s="45">
        <f>AG31/5</f>
        <v>958.732425</v>
      </c>
      <c r="AI31" s="45">
        <f>AH31+27.7044</f>
        <v>986.436825</v>
      </c>
    </row>
    <row r="32" ht="15" customHeight="1" spans="1:35">
      <c r="A32" s="46"/>
      <c r="B32" s="35" t="s">
        <v>80</v>
      </c>
      <c r="C32" s="36">
        <v>2.75</v>
      </c>
      <c r="D32" s="36">
        <v>1.08</v>
      </c>
      <c r="E32" s="67">
        <v>0</v>
      </c>
      <c r="F32" s="37">
        <v>2.97</v>
      </c>
      <c r="G32" s="38">
        <v>0.86</v>
      </c>
      <c r="H32" s="39">
        <v>10.8</v>
      </c>
      <c r="I32" s="40">
        <v>3604.3657125</v>
      </c>
      <c r="J32" s="41">
        <f>I32/5</f>
        <v>720.8731425</v>
      </c>
      <c r="K32" s="41">
        <f>J32+27.7044</f>
        <v>748.5775425</v>
      </c>
      <c r="L32" s="42">
        <v>3697.7346</v>
      </c>
      <c r="M32" s="43">
        <f>L32/5</f>
        <v>739.54692</v>
      </c>
      <c r="N32" s="43">
        <f>M32+27.7044</f>
        <v>767.25132</v>
      </c>
      <c r="O32" s="40">
        <v>3844.4571375</v>
      </c>
      <c r="P32" s="41">
        <f>O32/5</f>
        <v>768.8914275</v>
      </c>
      <c r="Q32" s="41">
        <f>P32+27.7044</f>
        <v>796.5958275</v>
      </c>
      <c r="R32" s="42">
        <v>3977.8412625</v>
      </c>
      <c r="S32" s="43">
        <f>R32/5</f>
        <v>795.5682525</v>
      </c>
      <c r="T32" s="43">
        <f>S32+27.7044</f>
        <v>823.2726525</v>
      </c>
      <c r="U32" s="40">
        <v>4124.5638</v>
      </c>
      <c r="V32" s="41">
        <f>U32/5</f>
        <v>824.91276</v>
      </c>
      <c r="W32" s="41">
        <f>V32+27.7044</f>
        <v>852.61716</v>
      </c>
      <c r="X32" s="42">
        <v>4271.2863375</v>
      </c>
      <c r="Y32" s="43">
        <f>X32/5</f>
        <v>854.2572675</v>
      </c>
      <c r="Z32" s="43">
        <f>Y32+27.7044</f>
        <v>881.9616675</v>
      </c>
      <c r="AA32" s="40">
        <v>4418.008875</v>
      </c>
      <c r="AB32" s="41">
        <f>AA32/5</f>
        <v>883.601775</v>
      </c>
      <c r="AC32" s="41">
        <f>AB32+27.7044</f>
        <v>911.306175</v>
      </c>
      <c r="AD32" s="42">
        <v>4671.4387125</v>
      </c>
      <c r="AE32" s="43">
        <f>AD32/5</f>
        <v>934.2877425</v>
      </c>
      <c r="AF32" s="43">
        <f>AE32+27.7044</f>
        <v>961.9921425</v>
      </c>
      <c r="AG32" s="44">
        <v>5084.9295</v>
      </c>
      <c r="AH32" s="45">
        <f>AG32/5</f>
        <v>1016.9859</v>
      </c>
      <c r="AI32" s="45">
        <f>AH32+27.7044</f>
        <v>1044.6903</v>
      </c>
    </row>
    <row r="33" ht="15" customHeight="1" spans="1:35">
      <c r="A33" s="46"/>
      <c r="B33" s="35"/>
      <c r="C33" s="36"/>
      <c r="D33" s="36"/>
      <c r="E33" s="67">
        <v>0</v>
      </c>
      <c r="F33" s="37" t="s">
        <v>59</v>
      </c>
      <c r="G33" s="38" t="s">
        <v>59</v>
      </c>
      <c r="H33" s="39" t="s">
        <v>59</v>
      </c>
      <c r="I33" s="40" t="s">
        <v>59</v>
      </c>
      <c r="L33" s="42" t="s">
        <v>59</v>
      </c>
      <c r="O33" s="40" t="s">
        <v>59</v>
      </c>
      <c r="R33" s="42" t="s">
        <v>59</v>
      </c>
      <c r="U33" s="40" t="s">
        <v>59</v>
      </c>
      <c r="X33" s="42" t="s">
        <v>59</v>
      </c>
      <c r="AA33" s="40" t="s">
        <v>59</v>
      </c>
      <c r="AD33" s="42" t="s">
        <v>59</v>
      </c>
      <c r="AG33" s="44" t="s">
        <v>59</v>
      </c>
    </row>
    <row r="34" ht="15" customHeight="1" spans="1:35">
      <c r="A34" s="46"/>
      <c r="B34" s="35" t="s">
        <v>81</v>
      </c>
      <c r="C34" s="36">
        <v>1.04</v>
      </c>
      <c r="D34" s="36">
        <v>1.04</v>
      </c>
      <c r="E34" s="67">
        <v>0</v>
      </c>
      <c r="F34" s="37">
        <v>1.0816</v>
      </c>
      <c r="G34" s="38">
        <v>0.86</v>
      </c>
      <c r="H34" s="39">
        <v>7.1</v>
      </c>
      <c r="I34" s="40">
        <v>1819.227375</v>
      </c>
      <c r="J34" s="41">
        <f>I34/5</f>
        <v>363.845475</v>
      </c>
      <c r="K34" s="41">
        <f>J34+27.7044</f>
        <v>391.549875</v>
      </c>
      <c r="L34" s="42">
        <v>1876.392</v>
      </c>
      <c r="M34" s="43">
        <f>L34/5</f>
        <v>375.2784</v>
      </c>
      <c r="N34" s="43">
        <f>M34+27.7044</f>
        <v>402.9828</v>
      </c>
      <c r="O34" s="40">
        <v>1966.222125</v>
      </c>
      <c r="P34" s="41">
        <f>O34/5</f>
        <v>393.244425</v>
      </c>
      <c r="Q34" s="41">
        <f>P34+27.7044</f>
        <v>420.948825</v>
      </c>
      <c r="R34" s="42">
        <v>2047.885875</v>
      </c>
      <c r="S34" s="43">
        <f>R34/5</f>
        <v>409.577175</v>
      </c>
      <c r="T34" s="43">
        <f>S34+27.7044</f>
        <v>437.281575</v>
      </c>
      <c r="U34" s="40">
        <v>2137.716</v>
      </c>
      <c r="V34" s="41">
        <f>U34/5</f>
        <v>427.5432</v>
      </c>
      <c r="W34" s="41">
        <f>V34+27.7044</f>
        <v>455.2476</v>
      </c>
      <c r="X34" s="42">
        <v>2227.546125</v>
      </c>
      <c r="Y34" s="43">
        <f>X34/5</f>
        <v>445.509225</v>
      </c>
      <c r="Z34" s="43">
        <f>Y34+27.7044</f>
        <v>473.213625</v>
      </c>
      <c r="AA34" s="40">
        <v>2317.37625</v>
      </c>
      <c r="AB34" s="41">
        <f>AA34/5</f>
        <v>463.47525</v>
      </c>
      <c r="AC34" s="41">
        <f>AB34+27.7044</f>
        <v>491.17965</v>
      </c>
      <c r="AD34" s="42">
        <v>2472.537375</v>
      </c>
      <c r="AE34" s="43">
        <f>AD34/5</f>
        <v>494.507475</v>
      </c>
      <c r="AF34" s="43">
        <f>AE34+27.7044</f>
        <v>522.211875</v>
      </c>
      <c r="AG34" s="44">
        <v>2725.695</v>
      </c>
      <c r="AH34" s="45">
        <f>AG34/5</f>
        <v>545.139</v>
      </c>
      <c r="AI34" s="45">
        <f>AH34+27.7044</f>
        <v>572.8434</v>
      </c>
    </row>
    <row r="35" ht="15" customHeight="1" spans="1:35">
      <c r="A35" s="46"/>
      <c r="B35" s="35"/>
      <c r="C35" s="36"/>
      <c r="D35" s="36"/>
      <c r="E35" s="67">
        <v>0</v>
      </c>
      <c r="F35" s="37" t="s">
        <v>59</v>
      </c>
      <c r="G35" s="38" t="s">
        <v>59</v>
      </c>
      <c r="H35" s="39" t="s">
        <v>59</v>
      </c>
      <c r="I35" s="40" t="s">
        <v>59</v>
      </c>
      <c r="L35" s="42" t="s">
        <v>59</v>
      </c>
      <c r="O35" s="40" t="s">
        <v>59</v>
      </c>
      <c r="R35" s="42" t="s">
        <v>59</v>
      </c>
      <c r="U35" s="40" t="s">
        <v>59</v>
      </c>
      <c r="X35" s="42" t="s">
        <v>59</v>
      </c>
      <c r="AA35" s="40" t="s">
        <v>59</v>
      </c>
      <c r="AD35" s="42" t="s">
        <v>59</v>
      </c>
      <c r="AG35" s="44" t="s">
        <v>59</v>
      </c>
    </row>
    <row r="36" ht="15" customHeight="1" spans="1:35">
      <c r="A36" s="46"/>
      <c r="B36" s="35" t="s">
        <v>82</v>
      </c>
      <c r="C36" s="36">
        <v>1.1</v>
      </c>
      <c r="D36" s="36">
        <v>1.8</v>
      </c>
      <c r="E36" s="67">
        <v>0</v>
      </c>
      <c r="F36" s="37">
        <v>1.98</v>
      </c>
      <c r="G36" s="38">
        <v>0.86</v>
      </c>
      <c r="H36" s="39">
        <v>7.4</v>
      </c>
      <c r="I36" s="40">
        <v>2408.30415</v>
      </c>
      <c r="J36" s="41">
        <f>I36/5</f>
        <v>481.66083</v>
      </c>
      <c r="K36" s="41">
        <f>J36+27.7044</f>
        <v>509.36523</v>
      </c>
      <c r="L36" s="42">
        <v>2465.28135</v>
      </c>
      <c r="M36" s="43">
        <f>L36/5</f>
        <v>493.05627</v>
      </c>
      <c r="N36" s="43">
        <f>M36+27.7044</f>
        <v>520.76067</v>
      </c>
      <c r="O36" s="40">
        <v>2554.81695</v>
      </c>
      <c r="P36" s="41">
        <f>O36/5</f>
        <v>510.96339</v>
      </c>
      <c r="Q36" s="41">
        <f>P36+27.7044</f>
        <v>538.66779</v>
      </c>
      <c r="R36" s="42">
        <v>2636.21295</v>
      </c>
      <c r="S36" s="43">
        <f>R36/5</f>
        <v>527.24259</v>
      </c>
      <c r="T36" s="43">
        <f>S36+27.7044</f>
        <v>554.94699</v>
      </c>
      <c r="U36" s="40">
        <v>2725.74855</v>
      </c>
      <c r="V36" s="41">
        <f>U36/5</f>
        <v>545.14971</v>
      </c>
      <c r="W36" s="41">
        <f>V36+27.7044</f>
        <v>572.85411</v>
      </c>
      <c r="X36" s="42">
        <v>2815.28415</v>
      </c>
      <c r="Y36" s="43">
        <f>X36/5</f>
        <v>563.05683</v>
      </c>
      <c r="Z36" s="43">
        <f>Y36+27.7044</f>
        <v>590.76123</v>
      </c>
      <c r="AA36" s="40">
        <v>2904.81975</v>
      </c>
      <c r="AB36" s="41">
        <f>AA36/5</f>
        <v>580.96395</v>
      </c>
      <c r="AC36" s="41">
        <f>AB36+27.7044</f>
        <v>608.66835</v>
      </c>
      <c r="AD36" s="42">
        <v>3059.47215</v>
      </c>
      <c r="AE36" s="43">
        <f>AD36/5</f>
        <v>611.89443</v>
      </c>
      <c r="AF36" s="43">
        <f>AE36+27.7044</f>
        <v>639.59883</v>
      </c>
      <c r="AG36" s="44">
        <v>3311.79975</v>
      </c>
      <c r="AH36" s="45">
        <f>AG36/5</f>
        <v>662.35995</v>
      </c>
      <c r="AI36" s="45">
        <f>AH36+27.7044</f>
        <v>690.06435</v>
      </c>
    </row>
    <row r="37" ht="15" customHeight="1" spans="1:35">
      <c r="A37" s="46"/>
      <c r="B37" s="35" t="s">
        <v>83</v>
      </c>
      <c r="C37" s="36">
        <v>1.2</v>
      </c>
      <c r="D37" s="36">
        <v>1.8</v>
      </c>
      <c r="E37" s="67">
        <v>0</v>
      </c>
      <c r="F37" s="37">
        <v>2.16</v>
      </c>
      <c r="G37" s="38">
        <v>0.86</v>
      </c>
      <c r="H37" s="39">
        <v>7.7</v>
      </c>
      <c r="I37" s="40">
        <v>2571.98641875</v>
      </c>
      <c r="J37" s="41">
        <f>I37/5</f>
        <v>514.39728375</v>
      </c>
      <c r="K37" s="41">
        <f>J37+27.7044</f>
        <v>542.10168375</v>
      </c>
      <c r="L37" s="42">
        <v>2631.634425</v>
      </c>
      <c r="M37" s="43">
        <f>L37/5</f>
        <v>526.326885</v>
      </c>
      <c r="N37" s="43">
        <f>M37+27.7044</f>
        <v>554.031285</v>
      </c>
      <c r="O37" s="40">
        <v>2725.36700625</v>
      </c>
      <c r="P37" s="41">
        <f>O37/5</f>
        <v>545.07340125</v>
      </c>
      <c r="Q37" s="41">
        <f>P37+27.7044</f>
        <v>572.77780125</v>
      </c>
      <c r="R37" s="42">
        <v>2810.57844375</v>
      </c>
      <c r="S37" s="43">
        <f>R37/5</f>
        <v>562.11568875</v>
      </c>
      <c r="T37" s="43">
        <f>S37+27.7044</f>
        <v>589.82008875</v>
      </c>
      <c r="U37" s="40">
        <v>2904.311025</v>
      </c>
      <c r="V37" s="41">
        <f>U37/5</f>
        <v>580.862205</v>
      </c>
      <c r="W37" s="41">
        <f>V37+27.7044</f>
        <v>608.566605</v>
      </c>
      <c r="X37" s="42">
        <v>2998.04360625</v>
      </c>
      <c r="Y37" s="43">
        <f>X37/5</f>
        <v>599.60872125</v>
      </c>
      <c r="Z37" s="43">
        <f>Y37+27.7044</f>
        <v>627.31312125</v>
      </c>
      <c r="AA37" s="40">
        <v>3091.7761875</v>
      </c>
      <c r="AB37" s="41">
        <f>AA37/5</f>
        <v>618.3552375</v>
      </c>
      <c r="AC37" s="41">
        <f>AB37+27.7044</f>
        <v>646.0596375</v>
      </c>
      <c r="AD37" s="42">
        <v>3253.67791875</v>
      </c>
      <c r="AE37" s="43">
        <f>AD37/5</f>
        <v>650.73558375</v>
      </c>
      <c r="AF37" s="43">
        <f>AE37+27.7044</f>
        <v>678.43998375</v>
      </c>
      <c r="AG37" s="44">
        <v>3517.833375</v>
      </c>
      <c r="AH37" s="45">
        <f>AG37/5</f>
        <v>703.566675</v>
      </c>
      <c r="AI37" s="45">
        <f>AH37+27.7044</f>
        <v>731.271075</v>
      </c>
    </row>
    <row r="38" ht="15" customHeight="1" spans="1:35">
      <c r="A38" s="46"/>
      <c r="B38" s="35" t="s">
        <v>84</v>
      </c>
      <c r="C38" s="36">
        <v>1.3</v>
      </c>
      <c r="D38" s="36">
        <v>1.8</v>
      </c>
      <c r="E38" s="67">
        <v>0</v>
      </c>
      <c r="F38" s="37">
        <v>2.34</v>
      </c>
      <c r="G38" s="38">
        <v>0.86</v>
      </c>
      <c r="H38" s="39">
        <v>8</v>
      </c>
      <c r="I38" s="40">
        <v>2738.2123125</v>
      </c>
      <c r="J38" s="41">
        <f>I38/5</f>
        <v>547.6424625</v>
      </c>
      <c r="K38" s="41">
        <f>J38+27.7044</f>
        <v>575.3468625</v>
      </c>
      <c r="L38" s="42">
        <v>2800.531125</v>
      </c>
      <c r="M38" s="43">
        <f>L38/5</f>
        <v>560.106225</v>
      </c>
      <c r="N38" s="43">
        <f>M38+27.7044</f>
        <v>587.810625</v>
      </c>
      <c r="O38" s="40">
        <v>2898.4606875</v>
      </c>
      <c r="P38" s="41">
        <f>O38/5</f>
        <v>579.6921375</v>
      </c>
      <c r="Q38" s="41">
        <f>P38+27.7044</f>
        <v>607.3965375</v>
      </c>
      <c r="R38" s="42">
        <v>2987.4875625</v>
      </c>
      <c r="S38" s="43">
        <f>R38/5</f>
        <v>597.4975125</v>
      </c>
      <c r="T38" s="43">
        <f>S38+27.7044</f>
        <v>625.2019125</v>
      </c>
      <c r="U38" s="40">
        <v>3085.417125</v>
      </c>
      <c r="V38" s="41">
        <f>U38/5</f>
        <v>617.083425</v>
      </c>
      <c r="W38" s="41">
        <f>V38+27.7044</f>
        <v>644.787825</v>
      </c>
      <c r="X38" s="42">
        <v>3183.3466875</v>
      </c>
      <c r="Y38" s="43">
        <f>X38/5</f>
        <v>636.6693375</v>
      </c>
      <c r="Z38" s="43">
        <f>Y38+27.7044</f>
        <v>664.3737375</v>
      </c>
      <c r="AA38" s="40">
        <v>3281.27625</v>
      </c>
      <c r="AB38" s="41">
        <f>AA38/5</f>
        <v>656.25525</v>
      </c>
      <c r="AC38" s="41">
        <f>AB38+27.7044</f>
        <v>683.95965</v>
      </c>
      <c r="AD38" s="42">
        <v>3450.4273125</v>
      </c>
      <c r="AE38" s="43">
        <f>AD38/5</f>
        <v>690.0854625</v>
      </c>
      <c r="AF38" s="43">
        <f>AE38+27.7044</f>
        <v>717.7898625</v>
      </c>
      <c r="AG38" s="44">
        <v>3726.410625</v>
      </c>
      <c r="AH38" s="45">
        <f>AG38/5</f>
        <v>745.282125</v>
      </c>
      <c r="AI38" s="45">
        <f>AH38+27.7044</f>
        <v>772.986525</v>
      </c>
    </row>
    <row r="39" ht="15" customHeight="1" spans="1:35">
      <c r="A39" s="46"/>
      <c r="B39" s="35"/>
      <c r="C39" s="36"/>
      <c r="D39" s="36"/>
      <c r="E39" s="67">
        <v>0</v>
      </c>
      <c r="F39" s="37" t="s">
        <v>59</v>
      </c>
      <c r="G39" s="38" t="s">
        <v>59</v>
      </c>
      <c r="H39" s="39" t="s">
        <v>59</v>
      </c>
      <c r="I39" s="40" t="s">
        <v>59</v>
      </c>
      <c r="L39" s="42" t="s">
        <v>59</v>
      </c>
      <c r="O39" s="40" t="s">
        <v>59</v>
      </c>
      <c r="R39" s="42" t="s">
        <v>59</v>
      </c>
      <c r="U39" s="40" t="s">
        <v>59</v>
      </c>
      <c r="X39" s="42" t="s">
        <v>59</v>
      </c>
      <c r="AA39" s="40" t="s">
        <v>59</v>
      </c>
      <c r="AD39" s="42" t="s">
        <v>59</v>
      </c>
      <c r="AG39" s="44" t="s">
        <v>59</v>
      </c>
    </row>
    <row r="40" ht="15" customHeight="1" spans="1:35">
      <c r="A40" s="46"/>
      <c r="B40" s="35" t="s">
        <v>85</v>
      </c>
      <c r="C40" s="36">
        <v>1.04</v>
      </c>
      <c r="D40" s="36">
        <v>1.04</v>
      </c>
      <c r="E40" s="67">
        <v>0</v>
      </c>
      <c r="F40" s="37">
        <v>1.0816</v>
      </c>
      <c r="G40" s="38">
        <v>0.45</v>
      </c>
      <c r="H40" s="39">
        <v>4.55</v>
      </c>
      <c r="I40" s="40">
        <v>1439.628159375</v>
      </c>
      <c r="J40" s="41">
        <f>I40/5</f>
        <v>287.925631875</v>
      </c>
      <c r="K40" s="41">
        <f>J40+27.7044</f>
        <v>315.630031875</v>
      </c>
      <c r="L40" s="42">
        <v>1471.2327</v>
      </c>
      <c r="M40" s="43">
        <f>L40/5</f>
        <v>294.24654</v>
      </c>
      <c r="N40" s="43">
        <f>M40+27.7044</f>
        <v>321.95094</v>
      </c>
      <c r="O40" s="40">
        <v>1520.896978125</v>
      </c>
      <c r="P40" s="41">
        <f>O40/5</f>
        <v>304.179395625</v>
      </c>
      <c r="Q40" s="41">
        <f>P40+27.7044</f>
        <v>331.883795625</v>
      </c>
      <c r="R40" s="42">
        <v>1566.046321875</v>
      </c>
      <c r="S40" s="43">
        <f>R40/5</f>
        <v>313.209264375</v>
      </c>
      <c r="T40" s="43">
        <f>S40+27.7044</f>
        <v>340.913664375</v>
      </c>
      <c r="U40" s="40">
        <v>1615.7106</v>
      </c>
      <c r="V40" s="41">
        <f>U40/5</f>
        <v>323.14212</v>
      </c>
      <c r="W40" s="41">
        <f>V40+27.7044</f>
        <v>350.84652</v>
      </c>
      <c r="X40" s="42">
        <v>1665.374878125</v>
      </c>
      <c r="Y40" s="43">
        <f>X40/5</f>
        <v>333.074975625</v>
      </c>
      <c r="Z40" s="43">
        <f>Y40+27.7044</f>
        <v>360.779375625</v>
      </c>
      <c r="AA40" s="40">
        <v>1715.03915625</v>
      </c>
      <c r="AB40" s="41">
        <f>AA40/5</f>
        <v>343.00783125</v>
      </c>
      <c r="AC40" s="41">
        <f>AB40+27.7044</f>
        <v>370.71223125</v>
      </c>
      <c r="AD40" s="42">
        <v>1800.822909375</v>
      </c>
      <c r="AE40" s="43">
        <f>AD40/5</f>
        <v>360.164581875</v>
      </c>
      <c r="AF40" s="43">
        <f>AE40+27.7044</f>
        <v>387.868981875</v>
      </c>
      <c r="AG40" s="44">
        <v>1940.785875</v>
      </c>
      <c r="AH40" s="45">
        <f>AG40/5</f>
        <v>388.157175</v>
      </c>
      <c r="AI40" s="45">
        <f>AH40+27.7044</f>
        <v>415.861575</v>
      </c>
    </row>
    <row r="41" ht="15" customHeight="1" spans="1:35">
      <c r="A41" s="46"/>
      <c r="B41" s="35"/>
      <c r="C41" s="36"/>
      <c r="D41" s="36"/>
      <c r="E41" s="67">
        <v>0</v>
      </c>
      <c r="F41" s="37" t="s">
        <v>59</v>
      </c>
      <c r="G41" s="38" t="s">
        <v>59</v>
      </c>
      <c r="H41" s="39" t="s">
        <v>59</v>
      </c>
      <c r="I41" s="40" t="s">
        <v>59</v>
      </c>
      <c r="L41" s="42" t="s">
        <v>59</v>
      </c>
      <c r="O41" s="40" t="s">
        <v>59</v>
      </c>
      <c r="R41" s="42" t="s">
        <v>59</v>
      </c>
      <c r="U41" s="40" t="s">
        <v>59</v>
      </c>
      <c r="X41" s="42" t="s">
        <v>59</v>
      </c>
      <c r="AA41" s="40" t="s">
        <v>59</v>
      </c>
      <c r="AD41" s="42" t="s">
        <v>59</v>
      </c>
      <c r="AG41" s="44" t="s">
        <v>59</v>
      </c>
    </row>
    <row r="42" ht="15" customHeight="1" spans="1:35">
      <c r="A42" s="46"/>
      <c r="B42" s="35" t="s">
        <v>86</v>
      </c>
      <c r="C42" s="36">
        <v>0.8</v>
      </c>
      <c r="D42" s="36">
        <v>0.8</v>
      </c>
      <c r="E42" s="67">
        <v>0</v>
      </c>
      <c r="F42" s="37">
        <v>0.64</v>
      </c>
      <c r="G42" s="38">
        <v>0.45</v>
      </c>
      <c r="H42" s="39">
        <v>3.1</v>
      </c>
      <c r="I42" s="40">
        <v>1056.74900625</v>
      </c>
      <c r="J42" s="41">
        <f>I42/5</f>
        <v>211.34980125</v>
      </c>
      <c r="K42" s="41">
        <f>J42+27.7044</f>
        <v>239.05420125</v>
      </c>
      <c r="L42" s="42">
        <v>1075.44465</v>
      </c>
      <c r="M42" s="43">
        <f>L42/5</f>
        <v>215.08893</v>
      </c>
      <c r="N42" s="43">
        <f>M42+27.7044</f>
        <v>242.79333</v>
      </c>
      <c r="O42" s="40">
        <v>1104.82351875</v>
      </c>
      <c r="P42" s="41">
        <f>O42/5</f>
        <v>220.96470375</v>
      </c>
      <c r="Q42" s="41">
        <f>P42+27.7044</f>
        <v>248.66910375</v>
      </c>
      <c r="R42" s="42">
        <v>1131.53158125</v>
      </c>
      <c r="S42" s="43">
        <f>R42/5</f>
        <v>226.30631625</v>
      </c>
      <c r="T42" s="43">
        <f>S42+27.7044</f>
        <v>254.01071625</v>
      </c>
      <c r="U42" s="40">
        <v>1160.91045</v>
      </c>
      <c r="V42" s="41">
        <f>U42/5</f>
        <v>232.18209</v>
      </c>
      <c r="W42" s="41">
        <f>V42+27.7044</f>
        <v>259.88649</v>
      </c>
      <c r="X42" s="42">
        <v>1190.28931875</v>
      </c>
      <c r="Y42" s="43">
        <f>X42/5</f>
        <v>238.05786375</v>
      </c>
      <c r="Z42" s="43">
        <f>Y42+27.7044</f>
        <v>265.76226375</v>
      </c>
      <c r="AA42" s="40">
        <v>1219.6681875</v>
      </c>
      <c r="AB42" s="41">
        <f>AA42/5</f>
        <v>243.9336375</v>
      </c>
      <c r="AC42" s="41">
        <f>AB42+27.7044</f>
        <v>271.6380375</v>
      </c>
      <c r="AD42" s="42">
        <v>1270.41350625</v>
      </c>
      <c r="AE42" s="43">
        <f>AD42/5</f>
        <v>254.08270125</v>
      </c>
      <c r="AF42" s="43">
        <f>AE42+27.7044</f>
        <v>281.78710125</v>
      </c>
      <c r="AG42" s="44">
        <v>1353.2085</v>
      </c>
      <c r="AH42" s="45">
        <f>AG42/5</f>
        <v>270.6417</v>
      </c>
      <c r="AI42" s="45">
        <f>AH42+27.7044</f>
        <v>298.3461</v>
      </c>
    </row>
    <row r="43" ht="15" customHeight="1" spans="1:35">
      <c r="A43" s="46"/>
      <c r="B43" s="35" t="s">
        <v>87</v>
      </c>
      <c r="C43" s="36">
        <v>0.9</v>
      </c>
      <c r="D43" s="36">
        <v>0.8</v>
      </c>
      <c r="E43" s="67">
        <v>0</v>
      </c>
      <c r="F43" s="37">
        <v>0.72</v>
      </c>
      <c r="G43" s="38">
        <v>0.45</v>
      </c>
      <c r="H43" s="39">
        <v>3.3</v>
      </c>
      <c r="I43" s="40">
        <v>1125.17251875</v>
      </c>
      <c r="J43" s="41">
        <f>I43/5</f>
        <v>225.03450375</v>
      </c>
      <c r="K43" s="41">
        <f>J43+27.7044</f>
        <v>252.73890375</v>
      </c>
      <c r="L43" s="42">
        <v>1145.6487</v>
      </c>
      <c r="M43" s="43">
        <f>L43/5</f>
        <v>229.12974</v>
      </c>
      <c r="N43" s="43">
        <f>M43+27.7044</f>
        <v>256.83414</v>
      </c>
      <c r="O43" s="40">
        <v>1177.82555625</v>
      </c>
      <c r="P43" s="41">
        <f>O43/5</f>
        <v>235.56511125</v>
      </c>
      <c r="Q43" s="41">
        <f>P43+27.7044</f>
        <v>263.26951125</v>
      </c>
      <c r="R43" s="42">
        <v>1207.07724375</v>
      </c>
      <c r="S43" s="43">
        <f>R43/5</f>
        <v>241.41544875</v>
      </c>
      <c r="T43" s="43">
        <f>S43+27.7044</f>
        <v>269.11984875</v>
      </c>
      <c r="U43" s="40">
        <v>1239.2541</v>
      </c>
      <c r="V43" s="41">
        <f>U43/5</f>
        <v>247.85082</v>
      </c>
      <c r="W43" s="41">
        <f>V43+27.7044</f>
        <v>275.55522</v>
      </c>
      <c r="X43" s="42">
        <v>1271.43095625</v>
      </c>
      <c r="Y43" s="43">
        <f>X43/5</f>
        <v>254.28619125</v>
      </c>
      <c r="Z43" s="43">
        <f>Y43+27.7044</f>
        <v>281.99059125</v>
      </c>
      <c r="AA43" s="40">
        <v>1303.6078125</v>
      </c>
      <c r="AB43" s="41">
        <f>AA43/5</f>
        <v>260.7215625</v>
      </c>
      <c r="AC43" s="41">
        <f>AB43+27.7044</f>
        <v>288.4259625</v>
      </c>
      <c r="AD43" s="42">
        <v>1359.18601875</v>
      </c>
      <c r="AE43" s="43">
        <f>AD43/5</f>
        <v>271.83720375</v>
      </c>
      <c r="AF43" s="43">
        <f>AE43+27.7044</f>
        <v>299.54160375</v>
      </c>
      <c r="AG43" s="44">
        <v>1449.86625</v>
      </c>
      <c r="AH43" s="45">
        <f>AG43/5</f>
        <v>289.97325</v>
      </c>
      <c r="AI43" s="45">
        <f>AH43+27.7044</f>
        <v>317.67765</v>
      </c>
    </row>
    <row r="44" ht="15" customHeight="1" spans="1:35">
      <c r="A44" s="46"/>
      <c r="B44" s="35" t="s">
        <v>88</v>
      </c>
      <c r="C44" s="36">
        <v>1</v>
      </c>
      <c r="D44" s="36">
        <v>0.8</v>
      </c>
      <c r="E44" s="67">
        <v>0</v>
      </c>
      <c r="F44" s="37">
        <v>0.8</v>
      </c>
      <c r="G44" s="38">
        <v>0.45</v>
      </c>
      <c r="H44" s="39">
        <v>3.5</v>
      </c>
      <c r="I44" s="40">
        <v>1193.59603125</v>
      </c>
      <c r="J44" s="41">
        <f>I44/5</f>
        <v>238.71920625</v>
      </c>
      <c r="K44" s="41">
        <f>J44+27.7044</f>
        <v>266.42360625</v>
      </c>
      <c r="L44" s="42">
        <v>1215.85275</v>
      </c>
      <c r="M44" s="43">
        <f>L44/5</f>
        <v>243.17055</v>
      </c>
      <c r="N44" s="43">
        <f>M44+27.7044</f>
        <v>270.87495</v>
      </c>
      <c r="O44" s="40">
        <v>1250.82759375</v>
      </c>
      <c r="P44" s="41">
        <f>O44/5</f>
        <v>250.16551875</v>
      </c>
      <c r="Q44" s="41">
        <f>P44+27.7044</f>
        <v>277.86991875</v>
      </c>
      <c r="R44" s="42">
        <v>1282.62290625</v>
      </c>
      <c r="S44" s="43">
        <f>R44/5</f>
        <v>256.52458125</v>
      </c>
      <c r="T44" s="43">
        <f>S44+27.7044</f>
        <v>284.22898125</v>
      </c>
      <c r="U44" s="40">
        <v>1317.59775</v>
      </c>
      <c r="V44" s="41">
        <f>U44/5</f>
        <v>263.51955</v>
      </c>
      <c r="W44" s="41">
        <f>V44+27.7044</f>
        <v>291.22395</v>
      </c>
      <c r="X44" s="42">
        <v>1352.57259375</v>
      </c>
      <c r="Y44" s="43">
        <f>X44/5</f>
        <v>270.51451875</v>
      </c>
      <c r="Z44" s="43">
        <f>Y44+27.7044</f>
        <v>298.21891875</v>
      </c>
      <c r="AA44" s="40">
        <v>1387.5474375</v>
      </c>
      <c r="AB44" s="41">
        <f>AA44/5</f>
        <v>277.5094875</v>
      </c>
      <c r="AC44" s="41">
        <f>AB44+27.7044</f>
        <v>305.2138875</v>
      </c>
      <c r="AD44" s="42">
        <v>1447.95853125</v>
      </c>
      <c r="AE44" s="43">
        <f>AD44/5</f>
        <v>289.59170625</v>
      </c>
      <c r="AF44" s="43">
        <f>AE44+27.7044</f>
        <v>317.29610625</v>
      </c>
      <c r="AG44" s="44">
        <v>1546.524</v>
      </c>
      <c r="AH44" s="45">
        <f>AG44/5</f>
        <v>309.3048</v>
      </c>
      <c r="AI44" s="45">
        <f>AH44+27.7044</f>
        <v>337.0092</v>
      </c>
    </row>
    <row r="45" ht="15" customHeight="1" spans="1:35">
      <c r="A45" s="46"/>
      <c r="B45" s="35" t="s">
        <v>89</v>
      </c>
      <c r="C45" s="36">
        <v>1.1</v>
      </c>
      <c r="D45" s="36">
        <v>0.8</v>
      </c>
      <c r="E45" s="67">
        <v>0</v>
      </c>
      <c r="F45" s="37">
        <v>0.88</v>
      </c>
      <c r="G45" s="38">
        <v>0.45</v>
      </c>
      <c r="H45" s="39">
        <v>3.7</v>
      </c>
      <c r="I45" s="40">
        <v>1262.01954375</v>
      </c>
      <c r="J45" s="41">
        <f>I45/5</f>
        <v>252.40390875</v>
      </c>
      <c r="K45" s="41">
        <f>J45+158.3111</f>
        <v>410.71500875</v>
      </c>
      <c r="L45" s="42">
        <v>1286.0568</v>
      </c>
      <c r="M45" s="43">
        <f>L45/5</f>
        <v>257.21136</v>
      </c>
      <c r="N45" s="43">
        <f>M45+158.3111</f>
        <v>415.52246</v>
      </c>
      <c r="O45" s="40">
        <v>1323.82963125</v>
      </c>
      <c r="P45" s="41">
        <f>O45/5</f>
        <v>264.76592625</v>
      </c>
      <c r="Q45" s="41">
        <f>P45+158.3111</f>
        <v>423.07702625</v>
      </c>
      <c r="R45" s="42">
        <v>1358.16856875</v>
      </c>
      <c r="S45" s="43">
        <f>R45/5</f>
        <v>271.63371375</v>
      </c>
      <c r="T45" s="43">
        <f>S45+158.3111</f>
        <v>429.94481375</v>
      </c>
      <c r="U45" s="40">
        <v>1395.9414</v>
      </c>
      <c r="V45" s="41">
        <f>U45/5</f>
        <v>279.18828</v>
      </c>
      <c r="W45" s="41">
        <f>V45+158.3111</f>
        <v>437.49938</v>
      </c>
      <c r="X45" s="42">
        <v>1433.71423125</v>
      </c>
      <c r="Y45" s="43">
        <f>X45/5</f>
        <v>286.74284625</v>
      </c>
      <c r="Z45" s="43">
        <f>Y45+158.3111</f>
        <v>445.05394625</v>
      </c>
      <c r="AA45" s="40">
        <v>1471.4870625</v>
      </c>
      <c r="AB45" s="41">
        <f>AA45/5</f>
        <v>294.2974125</v>
      </c>
      <c r="AC45" s="41">
        <f>AB45+158.3111</f>
        <v>452.6085125</v>
      </c>
      <c r="AD45" s="42">
        <v>1536.73104375</v>
      </c>
      <c r="AE45" s="43">
        <f>AD45/5</f>
        <v>307.34620875</v>
      </c>
      <c r="AF45" s="43">
        <f>AE45+158.3111</f>
        <v>465.65730875</v>
      </c>
      <c r="AG45" s="44">
        <v>1643.18175</v>
      </c>
      <c r="AH45" s="45">
        <f>AG45/5</f>
        <v>328.63635</v>
      </c>
      <c r="AI45" s="45">
        <f>AH45+158.3111</f>
        <v>486.94745</v>
      </c>
    </row>
    <row r="46" ht="15" customHeight="1" spans="1:35">
      <c r="A46" s="46"/>
      <c r="B46" s="35"/>
      <c r="C46" s="36"/>
      <c r="D46" s="36"/>
      <c r="E46" s="67">
        <v>0</v>
      </c>
      <c r="F46" s="37" t="s">
        <v>59</v>
      </c>
      <c r="G46" s="38" t="s">
        <v>59</v>
      </c>
      <c r="H46" s="39" t="s">
        <v>59</v>
      </c>
      <c r="I46" s="40" t="s">
        <v>59</v>
      </c>
      <c r="L46" s="42" t="s">
        <v>59</v>
      </c>
      <c r="O46" s="40" t="s">
        <v>59</v>
      </c>
      <c r="R46" s="42" t="s">
        <v>59</v>
      </c>
      <c r="U46" s="40" t="s">
        <v>59</v>
      </c>
      <c r="X46" s="42" t="s">
        <v>59</v>
      </c>
      <c r="AA46" s="40" t="s">
        <v>59</v>
      </c>
      <c r="AD46" s="42" t="s">
        <v>59</v>
      </c>
      <c r="AG46" s="44" t="s">
        <v>59</v>
      </c>
    </row>
    <row r="47" ht="15" customHeight="1" spans="1:35">
      <c r="A47" s="46"/>
      <c r="B47" s="35" t="s">
        <v>90</v>
      </c>
      <c r="C47" s="36">
        <v>1.55</v>
      </c>
      <c r="D47" s="36">
        <v>0.8</v>
      </c>
      <c r="E47" s="67">
        <v>0</v>
      </c>
      <c r="F47" s="37">
        <v>1.24</v>
      </c>
      <c r="G47" s="38">
        <v>0.45</v>
      </c>
      <c r="H47" s="39">
        <v>3.05</v>
      </c>
      <c r="I47" s="40">
        <v>1483.505690625</v>
      </c>
      <c r="J47" s="41">
        <f>I47/5</f>
        <v>296.701138125</v>
      </c>
      <c r="K47" s="41">
        <f>J47+27.7044</f>
        <v>324.405538125</v>
      </c>
      <c r="L47" s="42">
        <v>1501.7562</v>
      </c>
      <c r="M47" s="43">
        <f>L47/5</f>
        <v>300.35124</v>
      </c>
      <c r="N47" s="43">
        <f>M47+27.7044</f>
        <v>328.05564</v>
      </c>
      <c r="O47" s="40">
        <v>1530.435571875</v>
      </c>
      <c r="P47" s="41">
        <f>O47/5</f>
        <v>306.087114375</v>
      </c>
      <c r="Q47" s="41">
        <f>P47+27.7044</f>
        <v>333.791514375</v>
      </c>
      <c r="R47" s="42">
        <v>1556.507728125</v>
      </c>
      <c r="S47" s="43">
        <f>R47/5</f>
        <v>311.301545625</v>
      </c>
      <c r="T47" s="43">
        <f>S47+27.7044</f>
        <v>339.005945625</v>
      </c>
      <c r="U47" s="40">
        <v>1585.1871</v>
      </c>
      <c r="V47" s="41">
        <f>U47/5</f>
        <v>317.03742</v>
      </c>
      <c r="W47" s="41">
        <f>V47+27.7044</f>
        <v>344.74182</v>
      </c>
      <c r="X47" s="42">
        <v>1613.866471875</v>
      </c>
      <c r="Y47" s="43">
        <f>X47/5</f>
        <v>322.773294375</v>
      </c>
      <c r="Z47" s="43">
        <f>Y47+27.7044</f>
        <v>350.477694375</v>
      </c>
      <c r="AA47" s="40">
        <v>1642.54584375</v>
      </c>
      <c r="AB47" s="41">
        <f>AA47/5</f>
        <v>328.50916875</v>
      </c>
      <c r="AC47" s="41">
        <f>AB47+27.7044</f>
        <v>356.21356875</v>
      </c>
      <c r="AD47" s="42">
        <v>1692.082940625</v>
      </c>
      <c r="AE47" s="43">
        <f>AD47/5</f>
        <v>338.416588125</v>
      </c>
      <c r="AF47" s="43">
        <f>AE47+27.7044</f>
        <v>366.120988125</v>
      </c>
      <c r="AG47" s="44">
        <v>1772.906625</v>
      </c>
      <c r="AH47" s="45">
        <f>AG47/5</f>
        <v>354.581325</v>
      </c>
      <c r="AI47" s="45">
        <f>AH47+27.7044</f>
        <v>382.285725</v>
      </c>
    </row>
    <row r="48" ht="15" customHeight="1" spans="1:35">
      <c r="A48" s="46"/>
      <c r="B48" s="35" t="s">
        <v>91</v>
      </c>
      <c r="C48" s="36">
        <v>1.65</v>
      </c>
      <c r="D48" s="36">
        <v>0.8</v>
      </c>
      <c r="E48" s="67">
        <v>0</v>
      </c>
      <c r="F48" s="37">
        <v>1.32</v>
      </c>
      <c r="G48" s="38">
        <v>0.45</v>
      </c>
      <c r="H48" s="39">
        <v>3.15</v>
      </c>
      <c r="I48" s="40">
        <v>1545.697321875</v>
      </c>
      <c r="J48" s="41">
        <f>I48/5</f>
        <v>309.139464375</v>
      </c>
      <c r="K48" s="41">
        <f>J48+233.5088</f>
        <v>542.648264375</v>
      </c>
      <c r="L48" s="42">
        <v>1564.8381</v>
      </c>
      <c r="M48" s="43">
        <f>L48/5</f>
        <v>312.96762</v>
      </c>
      <c r="N48" s="43">
        <f>M48+233.5088</f>
        <v>546.47642</v>
      </c>
      <c r="O48" s="40">
        <v>1594.916465625</v>
      </c>
      <c r="P48" s="41">
        <f>O48/5</f>
        <v>318.983293125</v>
      </c>
      <c r="Q48" s="41">
        <f>P48+233.5088</f>
        <v>552.492093125</v>
      </c>
      <c r="R48" s="42">
        <v>1622.260434375</v>
      </c>
      <c r="S48" s="43">
        <f>R48/5</f>
        <v>324.452086875</v>
      </c>
      <c r="T48" s="43">
        <f>S48+233.5088</f>
        <v>557.960886875</v>
      </c>
      <c r="U48" s="40">
        <v>1652.3388</v>
      </c>
      <c r="V48" s="41">
        <f>U48/5</f>
        <v>330.46776</v>
      </c>
      <c r="W48" s="41">
        <f>V48+233.5088</f>
        <v>563.97656</v>
      </c>
      <c r="X48" s="42">
        <v>1682.417165625</v>
      </c>
      <c r="Y48" s="43">
        <f>X48/5</f>
        <v>336.483433125</v>
      </c>
      <c r="Z48" s="43">
        <f>Y48+233.5088</f>
        <v>569.992233125</v>
      </c>
      <c r="AA48" s="40">
        <v>1712.49553125</v>
      </c>
      <c r="AB48" s="41">
        <f>AA48/5</f>
        <v>342.49910625</v>
      </c>
      <c r="AC48" s="41">
        <f>AB48+233.5088</f>
        <v>576.00790625</v>
      </c>
      <c r="AD48" s="42">
        <v>1764.449071875</v>
      </c>
      <c r="AE48" s="43">
        <f>AD48/5</f>
        <v>352.889814375</v>
      </c>
      <c r="AF48" s="43">
        <f>AE48+233.5088</f>
        <v>586.398614375</v>
      </c>
      <c r="AG48" s="44">
        <v>1849.215375</v>
      </c>
      <c r="AH48" s="45">
        <f>AG48/5</f>
        <v>369.843075</v>
      </c>
      <c r="AI48" s="45">
        <f>AH48+233.5088</f>
        <v>603.351875</v>
      </c>
    </row>
    <row r="49" ht="15" customHeight="1" spans="1:35">
      <c r="A49" s="46"/>
      <c r="B49" s="35"/>
      <c r="C49" s="36"/>
      <c r="D49" s="36"/>
      <c r="E49" s="67">
        <v>0</v>
      </c>
      <c r="F49" s="37" t="s">
        <v>59</v>
      </c>
      <c r="G49" s="38" t="s">
        <v>59</v>
      </c>
      <c r="H49" s="39" t="s">
        <v>59</v>
      </c>
      <c r="I49" s="40" t="s">
        <v>59</v>
      </c>
      <c r="L49" s="42" t="s">
        <v>59</v>
      </c>
      <c r="O49" s="40" t="s">
        <v>59</v>
      </c>
      <c r="R49" s="42" t="s">
        <v>59</v>
      </c>
      <c r="U49" s="40" t="s">
        <v>59</v>
      </c>
      <c r="X49" s="42" t="s">
        <v>59</v>
      </c>
      <c r="AA49" s="40" t="s">
        <v>59</v>
      </c>
      <c r="AD49" s="42" t="s">
        <v>59</v>
      </c>
      <c r="AG49" s="44" t="s">
        <v>59</v>
      </c>
    </row>
    <row r="50" ht="15" customHeight="1" spans="1:35">
      <c r="A50" s="46"/>
      <c r="B50" s="35" t="s">
        <v>92</v>
      </c>
      <c r="C50" s="36">
        <v>0.8</v>
      </c>
      <c r="D50" s="36">
        <v>0.2</v>
      </c>
      <c r="E50" s="67">
        <v>0</v>
      </c>
      <c r="F50" s="37">
        <v>0.16</v>
      </c>
      <c r="G50" s="38">
        <v>0.45</v>
      </c>
      <c r="H50" s="39">
        <v>2.2</v>
      </c>
      <c r="I50" s="40">
        <v>153.63495</v>
      </c>
      <c r="J50" s="41">
        <f>I50/5</f>
        <v>30.72699</v>
      </c>
      <c r="K50" s="41">
        <f>J50+27.7044</f>
        <v>58.43139</v>
      </c>
      <c r="L50" s="42">
        <v>164.318175</v>
      </c>
      <c r="M50" s="43">
        <f>L50/5</f>
        <v>32.863635</v>
      </c>
      <c r="N50" s="43">
        <f>M50+27.7044</f>
        <v>60.568035</v>
      </c>
      <c r="O50" s="40">
        <v>181.1061</v>
      </c>
      <c r="P50" s="41">
        <f>O50/5</f>
        <v>36.22122</v>
      </c>
      <c r="Q50" s="41">
        <f>P50+27.7044</f>
        <v>63.92562</v>
      </c>
      <c r="R50" s="42">
        <v>196.36785</v>
      </c>
      <c r="S50" s="43">
        <f>R50/5</f>
        <v>39.27357</v>
      </c>
      <c r="T50" s="43">
        <f>S50+27.7044</f>
        <v>66.97797</v>
      </c>
      <c r="U50" s="40">
        <v>213.155775</v>
      </c>
      <c r="V50" s="41">
        <f>U50/5</f>
        <v>42.631155</v>
      </c>
      <c r="W50" s="41">
        <f>V50+27.7044</f>
        <v>70.335555</v>
      </c>
      <c r="X50" s="42">
        <v>229.9437</v>
      </c>
      <c r="Y50" s="43">
        <f>X50/5</f>
        <v>45.98874</v>
      </c>
      <c r="Z50" s="43">
        <f>Y50+27.7044</f>
        <v>73.69314</v>
      </c>
      <c r="AA50" s="40">
        <v>246.731625</v>
      </c>
      <c r="AB50" s="41">
        <f>AA50/5</f>
        <v>49.346325</v>
      </c>
      <c r="AC50" s="41">
        <f>AB50+27.7044</f>
        <v>77.050725</v>
      </c>
      <c r="AD50" s="42">
        <v>275.72895</v>
      </c>
      <c r="AE50" s="43">
        <f>AD50/5</f>
        <v>55.14579</v>
      </c>
      <c r="AF50" s="43">
        <f>AE50+27.7044</f>
        <v>82.85019</v>
      </c>
      <c r="AG50" s="44">
        <v>323.040375</v>
      </c>
      <c r="AH50" s="45">
        <f>AG50/5</f>
        <v>64.608075</v>
      </c>
      <c r="AI50" s="45">
        <f>AH50+27.7044</f>
        <v>92.312475</v>
      </c>
    </row>
    <row r="51" ht="15" customHeight="1" spans="1:35">
      <c r="A51" s="46"/>
      <c r="B51" s="35" t="s">
        <v>92</v>
      </c>
      <c r="C51" s="36">
        <v>0.9</v>
      </c>
      <c r="D51" s="36">
        <v>0.2</v>
      </c>
      <c r="E51" s="67">
        <v>0</v>
      </c>
      <c r="F51" s="37">
        <v>0.18</v>
      </c>
      <c r="G51" s="38">
        <v>0.45</v>
      </c>
      <c r="H51" s="39">
        <v>2.3</v>
      </c>
      <c r="I51" s="40">
        <v>167.49770625</v>
      </c>
      <c r="J51" s="41">
        <f>I51/5</f>
        <v>33.49954125</v>
      </c>
      <c r="K51" s="41">
        <f>J51+27.7044</f>
        <v>61.20394125</v>
      </c>
      <c r="L51" s="42">
        <v>179.0712</v>
      </c>
      <c r="M51" s="43">
        <f>L51/5</f>
        <v>35.81424</v>
      </c>
      <c r="N51" s="43">
        <f>M51+27.7044</f>
        <v>63.51864</v>
      </c>
      <c r="O51" s="40">
        <v>197.25811875</v>
      </c>
      <c r="P51" s="41">
        <f>O51/5</f>
        <v>39.45162375</v>
      </c>
      <c r="Q51" s="41">
        <f>P51+27.7044</f>
        <v>67.15602375</v>
      </c>
      <c r="R51" s="42">
        <v>213.79168125</v>
      </c>
      <c r="S51" s="43">
        <f>R51/5</f>
        <v>42.75833625</v>
      </c>
      <c r="T51" s="43">
        <f>S51+27.7044</f>
        <v>70.46273625</v>
      </c>
      <c r="U51" s="40">
        <v>231.9786</v>
      </c>
      <c r="V51" s="41">
        <f>U51/5</f>
        <v>46.39572</v>
      </c>
      <c r="W51" s="41">
        <f>V51+27.7044</f>
        <v>74.10012</v>
      </c>
      <c r="X51" s="42">
        <v>250.16551875</v>
      </c>
      <c r="Y51" s="43">
        <f>X51/5</f>
        <v>50.03310375</v>
      </c>
      <c r="Z51" s="43">
        <f>Y51+27.7044</f>
        <v>77.73750375</v>
      </c>
      <c r="AA51" s="40">
        <v>268.3524375</v>
      </c>
      <c r="AB51" s="41">
        <f>AA51/5</f>
        <v>53.6704875</v>
      </c>
      <c r="AC51" s="41">
        <f>AB51+27.7044</f>
        <v>81.3748875</v>
      </c>
      <c r="AD51" s="42">
        <v>299.76620625</v>
      </c>
      <c r="AE51" s="43">
        <f>AD51/5</f>
        <v>59.95324125</v>
      </c>
      <c r="AF51" s="43">
        <f>AE51+27.7044</f>
        <v>87.65764125</v>
      </c>
      <c r="AG51" s="44">
        <v>351.02025</v>
      </c>
      <c r="AH51" s="45">
        <f>AG51/5</f>
        <v>70.20405</v>
      </c>
      <c r="AI51" s="45">
        <f>AH51+27.7044</f>
        <v>97.90845</v>
      </c>
    </row>
    <row r="52" ht="15" customHeight="1" spans="1:35">
      <c r="A52" s="46"/>
      <c r="B52" s="35" t="s">
        <v>92</v>
      </c>
      <c r="C52" s="36">
        <v>1</v>
      </c>
      <c r="D52" s="36">
        <v>0.2</v>
      </c>
      <c r="E52" s="67">
        <v>0</v>
      </c>
      <c r="F52" s="37">
        <v>0.2</v>
      </c>
      <c r="G52" s="38">
        <v>0.45</v>
      </c>
      <c r="H52" s="39">
        <v>2.4</v>
      </c>
      <c r="I52" s="40">
        <v>183.9040875</v>
      </c>
      <c r="J52" s="41">
        <f>I52/5</f>
        <v>36.7808175</v>
      </c>
      <c r="K52" s="41">
        <f>J52+27.7044</f>
        <v>64.4852175</v>
      </c>
      <c r="L52" s="42">
        <v>196.36785</v>
      </c>
      <c r="M52" s="43">
        <f>L52/5</f>
        <v>39.27357</v>
      </c>
      <c r="N52" s="43">
        <f>M52+27.7044</f>
        <v>66.97797</v>
      </c>
      <c r="O52" s="40">
        <v>215.9537625</v>
      </c>
      <c r="P52" s="41">
        <f>O52/5</f>
        <v>43.1907525</v>
      </c>
      <c r="Q52" s="41">
        <f>P52+27.7044</f>
        <v>70.8951525</v>
      </c>
      <c r="R52" s="42">
        <v>233.7591375</v>
      </c>
      <c r="S52" s="43">
        <f>R52/5</f>
        <v>46.7518275</v>
      </c>
      <c r="T52" s="43">
        <f>S52+27.7044</f>
        <v>74.4562275</v>
      </c>
      <c r="U52" s="40">
        <v>253.34505</v>
      </c>
      <c r="V52" s="41">
        <f>U52/5</f>
        <v>50.66901</v>
      </c>
      <c r="W52" s="41">
        <f>V52+27.7044</f>
        <v>78.37341</v>
      </c>
      <c r="X52" s="42">
        <v>272.9309625</v>
      </c>
      <c r="Y52" s="43">
        <f>X52/5</f>
        <v>54.5861925</v>
      </c>
      <c r="Z52" s="43">
        <f>Y52+27.7044</f>
        <v>82.2905925</v>
      </c>
      <c r="AA52" s="40">
        <v>292.516875</v>
      </c>
      <c r="AB52" s="41">
        <f>AA52/5</f>
        <v>58.503375</v>
      </c>
      <c r="AC52" s="41">
        <f>AB52+27.7044</f>
        <v>86.207775</v>
      </c>
      <c r="AD52" s="42">
        <v>326.3470875</v>
      </c>
      <c r="AE52" s="43">
        <f>AD52/5</f>
        <v>65.2694175</v>
      </c>
      <c r="AF52" s="43">
        <f>AE52+27.7044</f>
        <v>92.9738175</v>
      </c>
      <c r="AG52" s="44">
        <v>381.54375</v>
      </c>
      <c r="AH52" s="45">
        <f>AG52/5</f>
        <v>76.30875</v>
      </c>
      <c r="AI52" s="45">
        <f>AH52+27.7044</f>
        <v>104.01315</v>
      </c>
    </row>
    <row r="53" ht="15" customHeight="1" spans="1:35">
      <c r="A53" s="46"/>
      <c r="B53" s="35" t="s">
        <v>92</v>
      </c>
      <c r="C53" s="36">
        <v>1.1</v>
      </c>
      <c r="D53" s="36">
        <v>0.2</v>
      </c>
      <c r="E53" s="67">
        <v>0</v>
      </c>
      <c r="F53" s="37">
        <v>0.22</v>
      </c>
      <c r="G53" s="38">
        <v>0.45</v>
      </c>
      <c r="H53" s="39">
        <v>2.5</v>
      </c>
      <c r="I53" s="40">
        <v>197.76684375</v>
      </c>
      <c r="J53" s="41">
        <f>I53/5</f>
        <v>39.55336875</v>
      </c>
      <c r="K53" s="41">
        <f>J53+27.7044</f>
        <v>67.25776875</v>
      </c>
      <c r="L53" s="42">
        <v>211.120875</v>
      </c>
      <c r="M53" s="43">
        <f>L53/5</f>
        <v>42.224175</v>
      </c>
      <c r="N53" s="43">
        <f>M53+27.7044</f>
        <v>69.928575</v>
      </c>
      <c r="O53" s="40">
        <v>232.10578125</v>
      </c>
      <c r="P53" s="41">
        <f>O53/5</f>
        <v>46.42115625</v>
      </c>
      <c r="Q53" s="41">
        <f>P53+27.7044</f>
        <v>74.12555625</v>
      </c>
      <c r="R53" s="42">
        <v>251.18296875</v>
      </c>
      <c r="S53" s="43">
        <f>R53/5</f>
        <v>50.23659375</v>
      </c>
      <c r="T53" s="43">
        <f>S53+27.7044</f>
        <v>77.94099375</v>
      </c>
      <c r="U53" s="40">
        <v>272.167875</v>
      </c>
      <c r="V53" s="41">
        <f>U53/5</f>
        <v>54.433575</v>
      </c>
      <c r="W53" s="41">
        <f>V53+27.7044</f>
        <v>82.137975</v>
      </c>
      <c r="X53" s="42">
        <v>293.15278125</v>
      </c>
      <c r="Y53" s="43">
        <f>X53/5</f>
        <v>58.63055625</v>
      </c>
      <c r="Z53" s="43">
        <f>Y53+27.7044</f>
        <v>86.33495625</v>
      </c>
      <c r="AA53" s="40">
        <v>314.1376875</v>
      </c>
      <c r="AB53" s="41">
        <f>AA53/5</f>
        <v>62.8275375</v>
      </c>
      <c r="AC53" s="41">
        <f>AB53+27.7044</f>
        <v>90.5319375</v>
      </c>
      <c r="AD53" s="42">
        <v>350.38434375</v>
      </c>
      <c r="AE53" s="43">
        <f>AD53/5</f>
        <v>70.07686875</v>
      </c>
      <c r="AF53" s="43">
        <f>AE53+27.7044</f>
        <v>97.78126875</v>
      </c>
      <c r="AG53" s="44">
        <v>409.523625</v>
      </c>
      <c r="AH53" s="45">
        <f>AG53/5</f>
        <v>81.904725</v>
      </c>
      <c r="AI53" s="45">
        <f>AH53+27.7044</f>
        <v>109.609125</v>
      </c>
    </row>
    <row r="54" ht="15" customHeight="1" spans="1:35">
      <c r="A54" s="46"/>
      <c r="B54" s="35"/>
      <c r="C54" s="36"/>
      <c r="D54" s="36"/>
      <c r="E54" s="67">
        <v>0</v>
      </c>
      <c r="F54" s="37" t="s">
        <v>59</v>
      </c>
      <c r="G54" s="38" t="s">
        <v>59</v>
      </c>
      <c r="H54" s="39" t="s">
        <v>59</v>
      </c>
      <c r="I54" s="40" t="s">
        <v>59</v>
      </c>
      <c r="L54" s="42" t="s">
        <v>59</v>
      </c>
      <c r="O54" s="40" t="s">
        <v>59</v>
      </c>
      <c r="R54" s="42" t="s">
        <v>59</v>
      </c>
      <c r="U54" s="40" t="s">
        <v>59</v>
      </c>
      <c r="X54" s="42" t="s">
        <v>59</v>
      </c>
      <c r="AA54" s="40" t="s">
        <v>59</v>
      </c>
      <c r="AD54" s="42" t="s">
        <v>59</v>
      </c>
      <c r="AG54" s="44" t="s">
        <v>59</v>
      </c>
    </row>
    <row r="55" ht="15" customHeight="1" spans="1:35">
      <c r="A55" s="46"/>
      <c r="B55" s="35" t="s">
        <v>93</v>
      </c>
      <c r="C55" s="36">
        <v>2</v>
      </c>
      <c r="D55" s="36">
        <v>1.08</v>
      </c>
      <c r="E55" s="67">
        <v>0</v>
      </c>
      <c r="F55" s="37">
        <v>2.16</v>
      </c>
      <c r="G55" s="38">
        <v>0.86</v>
      </c>
      <c r="H55" s="39">
        <v>8.5</v>
      </c>
      <c r="I55" s="40">
        <v>2807.52609375</v>
      </c>
      <c r="J55" s="41">
        <f>I55/5</f>
        <v>561.50521875</v>
      </c>
      <c r="K55" s="41">
        <f>J55+27.7044</f>
        <v>589.20961875</v>
      </c>
      <c r="L55" s="42">
        <v>2874.29625</v>
      </c>
      <c r="M55" s="43">
        <f>L55/5</f>
        <v>574.85925</v>
      </c>
      <c r="N55" s="43">
        <f>M55+27.7044</f>
        <v>602.56365</v>
      </c>
      <c r="O55" s="40">
        <v>2979.22078125</v>
      </c>
      <c r="P55" s="41">
        <f>O55/5</f>
        <v>595.84415625</v>
      </c>
      <c r="Q55" s="41">
        <f>P55+27.7044</f>
        <v>623.54855625</v>
      </c>
      <c r="R55" s="42">
        <v>3074.60671875</v>
      </c>
      <c r="S55" s="43">
        <f>R55/5</f>
        <v>614.92134375</v>
      </c>
      <c r="T55" s="43">
        <f>S55+27.7044</f>
        <v>642.62574375</v>
      </c>
      <c r="U55" s="40">
        <v>3179.53125</v>
      </c>
      <c r="V55" s="41">
        <f>U55/5</f>
        <v>635.90625</v>
      </c>
      <c r="W55" s="41">
        <f>V55+27.7044</f>
        <v>663.61065</v>
      </c>
      <c r="X55" s="42">
        <v>3284.45578125</v>
      </c>
      <c r="Y55" s="43">
        <f>X55/5</f>
        <v>656.89115625</v>
      </c>
      <c r="Z55" s="43">
        <f>Y55+27.7044</f>
        <v>684.59555625</v>
      </c>
      <c r="AA55" s="40">
        <v>3389.3803125</v>
      </c>
      <c r="AB55" s="41">
        <f>AA55/5</f>
        <v>677.8760625</v>
      </c>
      <c r="AC55" s="41">
        <f>AB55+27.7044</f>
        <v>705.5804625</v>
      </c>
      <c r="AD55" s="42">
        <v>3570.61359375</v>
      </c>
      <c r="AE55" s="43">
        <f>AD55/5</f>
        <v>714.12271875</v>
      </c>
      <c r="AF55" s="43">
        <f>AE55+27.7044</f>
        <v>741.82711875</v>
      </c>
      <c r="AG55" s="44">
        <v>3866.31</v>
      </c>
      <c r="AH55" s="45">
        <f>AG55/5</f>
        <v>773.262</v>
      </c>
      <c r="AI55" s="45">
        <f>AH55+27.7044</f>
        <v>800.9664</v>
      </c>
    </row>
    <row r="56" ht="15" customHeight="1" spans="1:35">
      <c r="A56" s="46"/>
      <c r="B56" s="35" t="s">
        <v>94</v>
      </c>
      <c r="C56" s="36">
        <v>2.2</v>
      </c>
      <c r="D56" s="36">
        <v>1.08</v>
      </c>
      <c r="E56" s="67">
        <v>0</v>
      </c>
      <c r="F56" s="37">
        <v>2.376</v>
      </c>
      <c r="G56" s="38">
        <v>0.86</v>
      </c>
      <c r="H56" s="39">
        <v>9.3</v>
      </c>
      <c r="I56" s="40">
        <v>3043.06576875</v>
      </c>
      <c r="J56" s="41">
        <f>I56/5</f>
        <v>608.61315375</v>
      </c>
      <c r="K56" s="41">
        <f>J56+27.7044</f>
        <v>636.31755375</v>
      </c>
      <c r="L56" s="42">
        <v>3116.958075</v>
      </c>
      <c r="M56" s="43">
        <f>L56/5</f>
        <v>623.391615</v>
      </c>
      <c r="N56" s="43">
        <f>M56+27.7044</f>
        <v>651.096015</v>
      </c>
      <c r="O56" s="40">
        <v>3233.07455625</v>
      </c>
      <c r="P56" s="41">
        <f>O56/5</f>
        <v>646.61491125</v>
      </c>
      <c r="Q56" s="41">
        <f>P56+27.7044</f>
        <v>674.31931125</v>
      </c>
      <c r="R56" s="42">
        <v>3338.63499375</v>
      </c>
      <c r="S56" s="43">
        <f>R56/5</f>
        <v>667.72699875</v>
      </c>
      <c r="T56" s="43">
        <f>S56+27.7044</f>
        <v>695.43139875</v>
      </c>
      <c r="U56" s="40">
        <v>3454.751475</v>
      </c>
      <c r="V56" s="41">
        <f>U56/5</f>
        <v>690.950295</v>
      </c>
      <c r="W56" s="41">
        <f>V56+27.7044</f>
        <v>718.654695</v>
      </c>
      <c r="X56" s="42">
        <v>3570.86795625</v>
      </c>
      <c r="Y56" s="43">
        <f>X56/5</f>
        <v>714.17359125</v>
      </c>
      <c r="Z56" s="43">
        <f>Y56+27.7044</f>
        <v>741.87799125</v>
      </c>
      <c r="AA56" s="40">
        <v>3686.9844375</v>
      </c>
      <c r="AB56" s="41">
        <f>AA56/5</f>
        <v>737.3968875</v>
      </c>
      <c r="AC56" s="41">
        <f>AB56+27.7044</f>
        <v>765.1012875</v>
      </c>
      <c r="AD56" s="42">
        <v>3887.54926875</v>
      </c>
      <c r="AE56" s="43">
        <f>AD56/5</f>
        <v>777.50985375</v>
      </c>
      <c r="AF56" s="43">
        <f>AE56+27.7044</f>
        <v>805.21425375</v>
      </c>
      <c r="AG56" s="44">
        <v>4214.786625</v>
      </c>
      <c r="AH56" s="45">
        <f>AG56/5</f>
        <v>842.957325</v>
      </c>
      <c r="AI56" s="45">
        <f>AH56+27.7044</f>
        <v>870.661725</v>
      </c>
    </row>
    <row r="57" ht="15" customHeight="1" spans="1:35">
      <c r="A57" s="46"/>
      <c r="B57" s="35" t="s">
        <v>95</v>
      </c>
      <c r="C57" s="36">
        <v>2.4</v>
      </c>
      <c r="D57" s="36">
        <v>1.08</v>
      </c>
      <c r="E57" s="67">
        <v>0</v>
      </c>
      <c r="F57" s="37">
        <v>2.592</v>
      </c>
      <c r="G57" s="38">
        <v>0.86</v>
      </c>
      <c r="H57" s="39">
        <v>10.1</v>
      </c>
      <c r="I57" s="40">
        <v>3263.34369375</v>
      </c>
      <c r="J57" s="41">
        <f>I57/5</f>
        <v>652.66873875</v>
      </c>
      <c r="K57" s="41">
        <f>J57+27.7044</f>
        <v>680.37313875</v>
      </c>
      <c r="L57" s="42">
        <v>3344.35815</v>
      </c>
      <c r="M57" s="43">
        <f>L57/5</f>
        <v>668.87163</v>
      </c>
      <c r="N57" s="43">
        <f>M57+27.7044</f>
        <v>696.57603</v>
      </c>
      <c r="O57" s="40">
        <v>3471.66658125</v>
      </c>
      <c r="P57" s="41">
        <f>O57/5</f>
        <v>694.33331625</v>
      </c>
      <c r="Q57" s="41">
        <f>P57+27.7044</f>
        <v>722.03771625</v>
      </c>
      <c r="R57" s="42">
        <v>3587.40151875</v>
      </c>
      <c r="S57" s="43">
        <f>R57/5</f>
        <v>717.48030375</v>
      </c>
      <c r="T57" s="43">
        <f>S57+27.7044</f>
        <v>745.18470375</v>
      </c>
      <c r="U57" s="40">
        <v>3714.70995</v>
      </c>
      <c r="V57" s="41">
        <f>U57/5</f>
        <v>742.94199</v>
      </c>
      <c r="W57" s="41">
        <f>V57+27.7044</f>
        <v>770.64639</v>
      </c>
      <c r="X57" s="42">
        <v>3842.01838125</v>
      </c>
      <c r="Y57" s="43">
        <f>X57/5</f>
        <v>768.40367625</v>
      </c>
      <c r="Z57" s="43">
        <f>Y57+27.7044</f>
        <v>796.10807625</v>
      </c>
      <c r="AA57" s="40">
        <v>3969.3268125</v>
      </c>
      <c r="AB57" s="41">
        <f>AA57/5</f>
        <v>793.8653625</v>
      </c>
      <c r="AC57" s="41">
        <f>AB57+27.7044</f>
        <v>821.5697625</v>
      </c>
      <c r="AD57" s="42">
        <v>4189.22319375</v>
      </c>
      <c r="AE57" s="43">
        <f>AD57/5</f>
        <v>837.84463875</v>
      </c>
      <c r="AF57" s="43">
        <f>AE57+27.7044</f>
        <v>865.54903875</v>
      </c>
      <c r="AG57" s="44">
        <v>4548.0015</v>
      </c>
      <c r="AH57" s="45">
        <f>AG57/5</f>
        <v>909.6003</v>
      </c>
      <c r="AI57" s="45">
        <f>AH57+27.7044</f>
        <v>937.3047</v>
      </c>
    </row>
    <row r="58" ht="15" customHeight="1" spans="1:35">
      <c r="A58" s="46"/>
      <c r="B58" s="35"/>
      <c r="C58" s="36"/>
      <c r="D58" s="36"/>
      <c r="E58" s="67">
        <v>0</v>
      </c>
      <c r="F58" s="37" t="s">
        <v>59</v>
      </c>
      <c r="G58" s="38" t="s">
        <v>59</v>
      </c>
      <c r="H58" s="39" t="s">
        <v>59</v>
      </c>
      <c r="I58" s="40" t="s">
        <v>59</v>
      </c>
      <c r="L58" s="42" t="s">
        <v>59</v>
      </c>
      <c r="O58" s="40" t="s">
        <v>59</v>
      </c>
      <c r="R58" s="42" t="s">
        <v>59</v>
      </c>
      <c r="U58" s="40" t="s">
        <v>59</v>
      </c>
      <c r="X58" s="42" t="s">
        <v>59</v>
      </c>
      <c r="AA58" s="40" t="s">
        <v>59</v>
      </c>
      <c r="AD58" s="42" t="s">
        <v>59</v>
      </c>
      <c r="AG58" s="44" t="s">
        <v>59</v>
      </c>
    </row>
    <row r="59" ht="15" customHeight="1" spans="1:35">
      <c r="A59" s="25" t="s">
        <v>96</v>
      </c>
      <c r="B59" s="26" t="s">
        <v>37</v>
      </c>
      <c r="C59" s="27" t="s">
        <v>38</v>
      </c>
      <c r="D59" s="27" t="s">
        <v>39</v>
      </c>
      <c r="E59" s="66" t="s">
        <v>40</v>
      </c>
      <c r="F59" s="28" t="s">
        <v>41</v>
      </c>
      <c r="G59" s="28" t="s">
        <v>42</v>
      </c>
      <c r="H59" s="29" t="s">
        <v>43</v>
      </c>
      <c r="I59" s="51" t="s">
        <v>44</v>
      </c>
      <c r="J59" s="31" t="s">
        <v>45</v>
      </c>
      <c r="K59" s="31" t="s">
        <v>46</v>
      </c>
      <c r="L59" s="51" t="s">
        <v>47</v>
      </c>
      <c r="M59" s="31" t="s">
        <v>45</v>
      </c>
      <c r="N59" s="31" t="s">
        <v>46</v>
      </c>
      <c r="O59" s="51" t="s">
        <v>48</v>
      </c>
      <c r="P59" s="31" t="s">
        <v>45</v>
      </c>
      <c r="Q59" s="31" t="s">
        <v>46</v>
      </c>
      <c r="R59" s="51" t="s">
        <v>49</v>
      </c>
      <c r="S59" s="31" t="s">
        <v>45</v>
      </c>
      <c r="T59" s="31" t="s">
        <v>46</v>
      </c>
      <c r="U59" s="51" t="s">
        <v>50</v>
      </c>
      <c r="V59" s="31" t="s">
        <v>45</v>
      </c>
      <c r="W59" s="31" t="s">
        <v>46</v>
      </c>
      <c r="X59" s="51" t="s">
        <v>51</v>
      </c>
      <c r="Y59" s="31" t="s">
        <v>45</v>
      </c>
      <c r="Z59" s="31" t="s">
        <v>46</v>
      </c>
      <c r="AA59" s="51" t="s">
        <v>52</v>
      </c>
      <c r="AB59" s="31" t="s">
        <v>45</v>
      </c>
      <c r="AC59" s="31" t="s">
        <v>46</v>
      </c>
      <c r="AD59" s="51" t="s">
        <v>53</v>
      </c>
      <c r="AE59" s="31" t="s">
        <v>45</v>
      </c>
      <c r="AF59" s="31" t="s">
        <v>46</v>
      </c>
      <c r="AG59" s="52" t="s">
        <v>54</v>
      </c>
      <c r="AH59" s="33" t="s">
        <v>45</v>
      </c>
      <c r="AI59" s="33" t="s">
        <v>46</v>
      </c>
    </row>
    <row r="60" ht="15" customHeight="1" spans="1:35">
      <c r="A60" s="68"/>
      <c r="B60" s="35" t="s">
        <v>97</v>
      </c>
      <c r="C60" s="36">
        <v>1.15</v>
      </c>
      <c r="D60" s="36">
        <v>0.94</v>
      </c>
      <c r="E60" s="67">
        <v>0</v>
      </c>
      <c r="F60" s="37">
        <v>1.081</v>
      </c>
      <c r="G60" s="38">
        <v>0.78</v>
      </c>
      <c r="H60" s="39">
        <v>5.8</v>
      </c>
      <c r="I60" s="40">
        <v>3344.59734</v>
      </c>
      <c r="J60" s="41">
        <f t="shared" ref="J60:J66" si="9">I60/5</f>
        <v>668.919468</v>
      </c>
      <c r="K60" s="41">
        <f>J60+332.4533</f>
        <v>1001.372768</v>
      </c>
      <c r="L60" s="42">
        <v>3397.52616</v>
      </c>
      <c r="M60" s="43">
        <f t="shared" ref="M60:M66" si="10">L60/5</f>
        <v>679.505232</v>
      </c>
      <c r="N60" s="43">
        <f>M60+332.4533</f>
        <v>1011.958532</v>
      </c>
      <c r="O60" s="40">
        <v>3480.70002</v>
      </c>
      <c r="P60" s="41">
        <f t="shared" ref="P60:P66" si="11">O60/5</f>
        <v>696.140004</v>
      </c>
      <c r="Q60" s="41">
        <f>P60+332.4533</f>
        <v>1028.593304</v>
      </c>
      <c r="R60" s="42">
        <v>3556.31262</v>
      </c>
      <c r="S60" s="43">
        <f t="shared" ref="S60:S66" si="12">R60/5</f>
        <v>711.262524</v>
      </c>
      <c r="T60" s="43">
        <f>S60+332.4533</f>
        <v>1043.715824</v>
      </c>
      <c r="U60" s="40">
        <v>3639.48648</v>
      </c>
      <c r="V60" s="41">
        <f t="shared" ref="V60:V66" si="13">U60/5</f>
        <v>727.897296</v>
      </c>
      <c r="W60" s="41">
        <f>V60+332.4533</f>
        <v>1060.350596</v>
      </c>
      <c r="X60" s="42">
        <v>3722.66034</v>
      </c>
      <c r="Y60" s="43">
        <f t="shared" ref="Y60:Y66" si="14">X60/5</f>
        <v>744.532068</v>
      </c>
      <c r="Z60" s="43">
        <f>Y60+332.4533</f>
        <v>1076.985368</v>
      </c>
      <c r="AA60" s="40">
        <v>3805.8342</v>
      </c>
      <c r="AB60" s="41">
        <f t="shared" ref="AB60:AB66" si="15">AA60/5</f>
        <v>761.16684</v>
      </c>
      <c r="AC60" s="41">
        <f>AB60+332.4533</f>
        <v>1093.62014</v>
      </c>
      <c r="AD60" s="42">
        <v>3949.49814</v>
      </c>
      <c r="AE60" s="43">
        <f t="shared" ref="AE60:AE66" si="16">AD60/5</f>
        <v>789.899628</v>
      </c>
      <c r="AF60" s="43">
        <f>AE60+332.4533</f>
        <v>1122.352928</v>
      </c>
      <c r="AG60" s="44">
        <v>4183.8972</v>
      </c>
      <c r="AH60" s="45">
        <f t="shared" ref="AH60:AH66" si="17">AG60/5</f>
        <v>836.77944</v>
      </c>
      <c r="AI60" s="45">
        <f>AH60+332.4533</f>
        <v>1169.23274</v>
      </c>
    </row>
    <row r="61" ht="15" customHeight="1" spans="1:35">
      <c r="A61" s="68"/>
      <c r="B61" s="35" t="s">
        <v>98</v>
      </c>
      <c r="C61" s="36">
        <v>1.35</v>
      </c>
      <c r="D61" s="36">
        <v>0.94</v>
      </c>
      <c r="E61" s="67">
        <v>0</v>
      </c>
      <c r="F61" s="37">
        <v>1.269</v>
      </c>
      <c r="G61" s="38">
        <v>0.78</v>
      </c>
      <c r="H61" s="39">
        <v>6.5</v>
      </c>
      <c r="I61" s="40">
        <v>3644.36979375</v>
      </c>
      <c r="J61" s="41">
        <f t="shared" si="9"/>
        <v>728.87395875</v>
      </c>
      <c r="K61" s="41">
        <f t="shared" ref="K61:K66" si="18">J61+19.7889</f>
        <v>748.66285875</v>
      </c>
      <c r="L61" s="42">
        <v>3705.0174</v>
      </c>
      <c r="M61" s="43">
        <f t="shared" si="10"/>
        <v>741.00348</v>
      </c>
      <c r="N61" s="43">
        <f t="shared" ref="N61:N66" si="19">M61+19.7889</f>
        <v>760.79238</v>
      </c>
      <c r="O61" s="40">
        <v>3800.32078125</v>
      </c>
      <c r="P61" s="41">
        <f t="shared" si="11"/>
        <v>760.06415625</v>
      </c>
      <c r="Q61" s="41">
        <f t="shared" ref="Q61:Q66" si="20">P61+19.7889</f>
        <v>779.85305625</v>
      </c>
      <c r="R61" s="42">
        <v>3886.96021875</v>
      </c>
      <c r="S61" s="43">
        <f t="shared" si="12"/>
        <v>777.39204375</v>
      </c>
      <c r="T61" s="43">
        <f t="shared" ref="T61:T66" si="21">S61+19.7889</f>
        <v>797.18094375</v>
      </c>
      <c r="U61" s="40">
        <v>3982.2636</v>
      </c>
      <c r="V61" s="41">
        <f t="shared" si="13"/>
        <v>796.45272</v>
      </c>
      <c r="W61" s="41">
        <f t="shared" ref="W61:W66" si="22">V61+19.7889</f>
        <v>816.24162</v>
      </c>
      <c r="X61" s="42">
        <v>4077.56698125</v>
      </c>
      <c r="Y61" s="43">
        <f t="shared" si="14"/>
        <v>815.51339625</v>
      </c>
      <c r="Z61" s="43">
        <f t="shared" ref="Z61:Z66" si="23">Y61+19.7889</f>
        <v>835.30229625</v>
      </c>
      <c r="AA61" s="40">
        <v>4172.8703625</v>
      </c>
      <c r="AB61" s="41">
        <f t="shared" si="15"/>
        <v>834.5740725</v>
      </c>
      <c r="AC61" s="41">
        <f t="shared" ref="AC61:AC66" si="24">AB61+19.7889</f>
        <v>854.3629725</v>
      </c>
      <c r="AD61" s="42">
        <v>4337.48529375</v>
      </c>
      <c r="AE61" s="43">
        <f t="shared" si="16"/>
        <v>867.49705875</v>
      </c>
      <c r="AF61" s="43">
        <f t="shared" ref="AF61:AF66" si="25">AE61+19.7889</f>
        <v>887.28595875</v>
      </c>
      <c r="AG61" s="44">
        <v>4606.06755</v>
      </c>
      <c r="AH61" s="45">
        <f t="shared" si="17"/>
        <v>921.21351</v>
      </c>
      <c r="AI61" s="45">
        <f t="shared" ref="AI61:AI66" si="26">AH61+19.7889</f>
        <v>941.00241</v>
      </c>
    </row>
    <row r="62" ht="15" customHeight="1" spans="1:35">
      <c r="A62" s="68"/>
      <c r="B62" s="35" t="s">
        <v>99</v>
      </c>
      <c r="C62" s="36">
        <v>1.55</v>
      </c>
      <c r="D62" s="36">
        <v>0.94</v>
      </c>
      <c r="E62" s="67">
        <v>0</v>
      </c>
      <c r="F62" s="37">
        <v>1.457</v>
      </c>
      <c r="G62" s="38">
        <v>0.78</v>
      </c>
      <c r="H62" s="39">
        <v>7.2</v>
      </c>
      <c r="I62" s="40">
        <v>3947.2927725</v>
      </c>
      <c r="J62" s="41">
        <f t="shared" si="9"/>
        <v>789.4585545</v>
      </c>
      <c r="K62" s="41">
        <f t="shared" si="18"/>
        <v>809.2474545</v>
      </c>
      <c r="L62" s="42">
        <v>4015.659165</v>
      </c>
      <c r="M62" s="43">
        <f t="shared" si="10"/>
        <v>803.131833</v>
      </c>
      <c r="N62" s="43">
        <f t="shared" si="19"/>
        <v>822.920733</v>
      </c>
      <c r="O62" s="40">
        <v>4123.0920675</v>
      </c>
      <c r="P62" s="41">
        <f t="shared" si="11"/>
        <v>824.6184135</v>
      </c>
      <c r="Q62" s="41">
        <f t="shared" si="20"/>
        <v>844.4073135</v>
      </c>
      <c r="R62" s="42">
        <v>4220.7583425</v>
      </c>
      <c r="S62" s="43">
        <f t="shared" si="12"/>
        <v>844.1516685</v>
      </c>
      <c r="T62" s="43">
        <f t="shared" si="21"/>
        <v>863.9405685</v>
      </c>
      <c r="U62" s="40">
        <v>4328.191245</v>
      </c>
      <c r="V62" s="41">
        <f t="shared" si="13"/>
        <v>865.638249</v>
      </c>
      <c r="W62" s="41">
        <f t="shared" si="22"/>
        <v>885.427149</v>
      </c>
      <c r="X62" s="42">
        <v>4435.6241475</v>
      </c>
      <c r="Y62" s="43">
        <f t="shared" si="14"/>
        <v>887.1248295</v>
      </c>
      <c r="Z62" s="43">
        <f t="shared" si="23"/>
        <v>906.9137295</v>
      </c>
      <c r="AA62" s="40">
        <v>4543.05705</v>
      </c>
      <c r="AB62" s="41">
        <f t="shared" si="15"/>
        <v>908.61141</v>
      </c>
      <c r="AC62" s="41">
        <f t="shared" si="24"/>
        <v>928.40031</v>
      </c>
      <c r="AD62" s="42">
        <v>4728.6229725</v>
      </c>
      <c r="AE62" s="43">
        <f t="shared" si="16"/>
        <v>945.7245945</v>
      </c>
      <c r="AF62" s="43">
        <f t="shared" si="25"/>
        <v>965.5134945</v>
      </c>
      <c r="AG62" s="44">
        <v>5031.388425</v>
      </c>
      <c r="AH62" s="45">
        <f t="shared" si="17"/>
        <v>1006.277685</v>
      </c>
      <c r="AI62" s="45">
        <f t="shared" si="26"/>
        <v>1026.066585</v>
      </c>
    </row>
    <row r="63" ht="15" customHeight="1" spans="1:35">
      <c r="A63" s="68"/>
      <c r="B63" s="35" t="s">
        <v>100</v>
      </c>
      <c r="C63" s="36">
        <v>1.75</v>
      </c>
      <c r="D63" s="36">
        <v>0.94</v>
      </c>
      <c r="E63" s="67">
        <v>0</v>
      </c>
      <c r="F63" s="37">
        <v>1.645</v>
      </c>
      <c r="G63" s="38">
        <v>0.78</v>
      </c>
      <c r="H63" s="39">
        <v>7.9</v>
      </c>
      <c r="I63" s="40">
        <v>4291.17257625</v>
      </c>
      <c r="J63" s="41">
        <f t="shared" si="9"/>
        <v>858.23451525</v>
      </c>
      <c r="K63" s="41">
        <f t="shared" si="18"/>
        <v>878.02341525</v>
      </c>
      <c r="L63" s="42">
        <v>4367.257755</v>
      </c>
      <c r="M63" s="43">
        <f t="shared" si="10"/>
        <v>873.451551</v>
      </c>
      <c r="N63" s="43">
        <f t="shared" si="19"/>
        <v>893.240451</v>
      </c>
      <c r="O63" s="40">
        <v>4486.82017875</v>
      </c>
      <c r="P63" s="41">
        <f t="shared" si="11"/>
        <v>897.36403575</v>
      </c>
      <c r="Q63" s="41">
        <f t="shared" si="20"/>
        <v>917.15293575</v>
      </c>
      <c r="R63" s="42">
        <v>4595.51329125</v>
      </c>
      <c r="S63" s="43">
        <f t="shared" si="12"/>
        <v>919.10265825</v>
      </c>
      <c r="T63" s="43">
        <f t="shared" si="21"/>
        <v>938.89155825</v>
      </c>
      <c r="U63" s="40">
        <v>4715.075715</v>
      </c>
      <c r="V63" s="41">
        <f t="shared" si="13"/>
        <v>943.015143</v>
      </c>
      <c r="W63" s="41">
        <f t="shared" si="22"/>
        <v>962.804043</v>
      </c>
      <c r="X63" s="42">
        <v>4834.63813875</v>
      </c>
      <c r="Y63" s="43">
        <f t="shared" si="14"/>
        <v>966.92762775</v>
      </c>
      <c r="Z63" s="43">
        <f t="shared" si="23"/>
        <v>986.71652775</v>
      </c>
      <c r="AA63" s="40">
        <v>4954.2005625</v>
      </c>
      <c r="AB63" s="41">
        <f t="shared" si="15"/>
        <v>990.8401125</v>
      </c>
      <c r="AC63" s="41">
        <f t="shared" si="24"/>
        <v>1010.6290125</v>
      </c>
      <c r="AD63" s="42">
        <v>5160.71747625</v>
      </c>
      <c r="AE63" s="43">
        <f t="shared" si="16"/>
        <v>1032.14349525</v>
      </c>
      <c r="AF63" s="43">
        <f t="shared" si="25"/>
        <v>1051.93239525</v>
      </c>
      <c r="AG63" s="44">
        <v>5497.666125</v>
      </c>
      <c r="AH63" s="45">
        <f t="shared" si="17"/>
        <v>1099.533225</v>
      </c>
      <c r="AI63" s="45">
        <f t="shared" si="26"/>
        <v>1119.322125</v>
      </c>
    </row>
    <row r="64" ht="15" customHeight="1" spans="1:35">
      <c r="A64" s="68"/>
      <c r="B64" s="35" t="s">
        <v>101</v>
      </c>
      <c r="C64" s="36">
        <v>1.95</v>
      </c>
      <c r="D64" s="36">
        <v>0.94</v>
      </c>
      <c r="E64" s="67">
        <v>0</v>
      </c>
      <c r="F64" s="37">
        <v>1.833</v>
      </c>
      <c r="G64" s="38">
        <v>0.78</v>
      </c>
      <c r="H64" s="39">
        <v>8.6</v>
      </c>
      <c r="I64" s="40">
        <v>4600.396605</v>
      </c>
      <c r="J64" s="41">
        <f t="shared" si="9"/>
        <v>920.079321</v>
      </c>
      <c r="K64" s="41">
        <f t="shared" si="18"/>
        <v>939.868221</v>
      </c>
      <c r="L64" s="42">
        <v>4684.20057</v>
      </c>
      <c r="M64" s="43">
        <f t="shared" si="10"/>
        <v>936.840114</v>
      </c>
      <c r="N64" s="43">
        <f t="shared" si="19"/>
        <v>956.629014</v>
      </c>
      <c r="O64" s="40">
        <v>4815.892515</v>
      </c>
      <c r="P64" s="41">
        <f t="shared" si="11"/>
        <v>963.178503</v>
      </c>
      <c r="Q64" s="41">
        <f t="shared" si="20"/>
        <v>982.967403</v>
      </c>
      <c r="R64" s="42">
        <v>4935.612465</v>
      </c>
      <c r="S64" s="43">
        <f t="shared" si="12"/>
        <v>987.122493</v>
      </c>
      <c r="T64" s="43">
        <f t="shared" si="21"/>
        <v>1006.911393</v>
      </c>
      <c r="U64" s="40">
        <v>5067.30441</v>
      </c>
      <c r="V64" s="41">
        <f t="shared" si="13"/>
        <v>1013.460882</v>
      </c>
      <c r="W64" s="41">
        <f t="shared" si="22"/>
        <v>1033.249782</v>
      </c>
      <c r="X64" s="42">
        <v>5198.996355</v>
      </c>
      <c r="Y64" s="43">
        <f t="shared" si="14"/>
        <v>1039.799271</v>
      </c>
      <c r="Z64" s="43">
        <f t="shared" si="23"/>
        <v>1059.588171</v>
      </c>
      <c r="AA64" s="40">
        <v>5330.6883</v>
      </c>
      <c r="AB64" s="41">
        <f t="shared" si="15"/>
        <v>1066.13766</v>
      </c>
      <c r="AC64" s="41">
        <f t="shared" si="24"/>
        <v>1085.92656</v>
      </c>
      <c r="AD64" s="42">
        <v>5558.156205</v>
      </c>
      <c r="AE64" s="43">
        <f t="shared" si="16"/>
        <v>1111.631241</v>
      </c>
      <c r="AF64" s="43">
        <f t="shared" si="25"/>
        <v>1131.420141</v>
      </c>
      <c r="AG64" s="44">
        <v>5929.28805</v>
      </c>
      <c r="AH64" s="45">
        <f t="shared" si="17"/>
        <v>1185.85761</v>
      </c>
      <c r="AI64" s="45">
        <f t="shared" si="26"/>
        <v>1205.64651</v>
      </c>
    </row>
    <row r="65" ht="15" customHeight="1" spans="1:35">
      <c r="A65" s="68"/>
      <c r="B65" s="35" t="s">
        <v>102</v>
      </c>
      <c r="C65" s="36">
        <v>2.15</v>
      </c>
      <c r="D65" s="36">
        <v>0.94</v>
      </c>
      <c r="E65" s="67">
        <v>0</v>
      </c>
      <c r="F65" s="37">
        <v>2.021</v>
      </c>
      <c r="G65" s="38">
        <v>0.78</v>
      </c>
      <c r="H65" s="39">
        <v>9.3</v>
      </c>
      <c r="I65" s="40">
        <v>4937.97535875</v>
      </c>
      <c r="J65" s="41">
        <f t="shared" si="9"/>
        <v>987.59507175</v>
      </c>
      <c r="K65" s="41">
        <f t="shared" si="18"/>
        <v>1007.38397175</v>
      </c>
      <c r="L65" s="42">
        <v>5029.49811</v>
      </c>
      <c r="M65" s="43">
        <f t="shared" si="10"/>
        <v>1005.899622</v>
      </c>
      <c r="N65" s="43">
        <f t="shared" si="19"/>
        <v>1025.688522</v>
      </c>
      <c r="O65" s="40">
        <v>5173.31957625</v>
      </c>
      <c r="P65" s="41">
        <f t="shared" si="11"/>
        <v>1034.66391525</v>
      </c>
      <c r="Q65" s="41">
        <f t="shared" si="20"/>
        <v>1054.45281525</v>
      </c>
      <c r="R65" s="42">
        <v>5304.06636375</v>
      </c>
      <c r="S65" s="43">
        <f t="shared" si="12"/>
        <v>1060.81327275</v>
      </c>
      <c r="T65" s="43">
        <f t="shared" si="21"/>
        <v>1080.60217275</v>
      </c>
      <c r="U65" s="40">
        <v>5447.88783</v>
      </c>
      <c r="V65" s="41">
        <f t="shared" si="13"/>
        <v>1089.577566</v>
      </c>
      <c r="W65" s="41">
        <f t="shared" si="22"/>
        <v>1109.366466</v>
      </c>
      <c r="X65" s="42">
        <v>5591.70929625</v>
      </c>
      <c r="Y65" s="43">
        <f t="shared" si="14"/>
        <v>1118.34185925</v>
      </c>
      <c r="Z65" s="43">
        <f t="shared" si="23"/>
        <v>1138.13075925</v>
      </c>
      <c r="AA65" s="40">
        <v>5735.5307625</v>
      </c>
      <c r="AB65" s="41">
        <f t="shared" si="15"/>
        <v>1147.1061525</v>
      </c>
      <c r="AC65" s="41">
        <f t="shared" si="24"/>
        <v>1166.8950525</v>
      </c>
      <c r="AD65" s="42">
        <v>5983.94965875</v>
      </c>
      <c r="AE65" s="43">
        <f t="shared" si="16"/>
        <v>1196.78993175</v>
      </c>
      <c r="AF65" s="43">
        <f t="shared" si="25"/>
        <v>1216.57883175</v>
      </c>
      <c r="AG65" s="44">
        <v>6389.2647</v>
      </c>
      <c r="AH65" s="45">
        <f t="shared" si="17"/>
        <v>1277.85294</v>
      </c>
      <c r="AI65" s="45">
        <f t="shared" si="26"/>
        <v>1297.64184</v>
      </c>
    </row>
    <row r="66" ht="15" customHeight="1" spans="1:35">
      <c r="A66" s="68"/>
      <c r="B66" s="35" t="s">
        <v>103</v>
      </c>
      <c r="C66" s="36">
        <v>2.35</v>
      </c>
      <c r="D66" s="36">
        <v>0.94</v>
      </c>
      <c r="E66" s="67">
        <v>0</v>
      </c>
      <c r="F66" s="37">
        <v>2.209</v>
      </c>
      <c r="G66" s="38">
        <v>0.78</v>
      </c>
      <c r="H66" s="39">
        <v>10</v>
      </c>
      <c r="I66" s="40">
        <v>5199.9415125</v>
      </c>
      <c r="J66" s="41">
        <f t="shared" si="9"/>
        <v>1039.9883025</v>
      </c>
      <c r="K66" s="41">
        <f t="shared" si="18"/>
        <v>1059.7772025</v>
      </c>
      <c r="L66" s="42">
        <v>5299.18305</v>
      </c>
      <c r="M66" s="43">
        <f t="shared" si="10"/>
        <v>1059.83661</v>
      </c>
      <c r="N66" s="43">
        <f t="shared" si="19"/>
        <v>1079.62551</v>
      </c>
      <c r="O66" s="40">
        <v>5455.1340375</v>
      </c>
      <c r="P66" s="41">
        <f t="shared" si="11"/>
        <v>1091.0268075</v>
      </c>
      <c r="Q66" s="41">
        <f t="shared" si="20"/>
        <v>1110.8157075</v>
      </c>
      <c r="R66" s="42">
        <v>5596.9076625</v>
      </c>
      <c r="S66" s="43">
        <f t="shared" si="12"/>
        <v>1119.3815325</v>
      </c>
      <c r="T66" s="43">
        <f t="shared" si="21"/>
        <v>1139.1704325</v>
      </c>
      <c r="U66" s="40">
        <v>5752.85865</v>
      </c>
      <c r="V66" s="41">
        <f t="shared" si="13"/>
        <v>1150.57173</v>
      </c>
      <c r="W66" s="41">
        <f t="shared" si="22"/>
        <v>1170.36063</v>
      </c>
      <c r="X66" s="42">
        <v>5908.8096375</v>
      </c>
      <c r="Y66" s="43">
        <f t="shared" si="14"/>
        <v>1181.7619275</v>
      </c>
      <c r="Z66" s="43">
        <f t="shared" si="23"/>
        <v>1201.5508275</v>
      </c>
      <c r="AA66" s="40">
        <v>6064.760625</v>
      </c>
      <c r="AB66" s="41">
        <f t="shared" si="15"/>
        <v>1212.952125</v>
      </c>
      <c r="AC66" s="41">
        <f t="shared" si="24"/>
        <v>1232.741025</v>
      </c>
      <c r="AD66" s="42">
        <v>6334.1305125</v>
      </c>
      <c r="AE66" s="43">
        <f t="shared" si="16"/>
        <v>1266.8261025</v>
      </c>
      <c r="AF66" s="43">
        <f t="shared" si="25"/>
        <v>1286.6150025</v>
      </c>
      <c r="AG66" s="44">
        <v>6773.62875</v>
      </c>
      <c r="AH66" s="45">
        <f t="shared" si="17"/>
        <v>1354.72575</v>
      </c>
      <c r="AI66" s="45">
        <f t="shared" si="26"/>
        <v>1374.51465</v>
      </c>
    </row>
    <row r="67" ht="15" customHeight="1" spans="1:35">
      <c r="A67" s="68"/>
      <c r="B67" s="35"/>
      <c r="C67" s="36"/>
      <c r="D67" s="36"/>
      <c r="E67" s="67">
        <v>0</v>
      </c>
      <c r="F67" s="37" t="s">
        <v>59</v>
      </c>
      <c r="G67" s="38" t="s">
        <v>59</v>
      </c>
      <c r="H67" s="39" t="s">
        <v>59</v>
      </c>
      <c r="I67" s="40" t="s">
        <v>59</v>
      </c>
      <c r="L67" s="42" t="s">
        <v>59</v>
      </c>
      <c r="O67" s="40" t="s">
        <v>59</v>
      </c>
      <c r="R67" s="42" t="s">
        <v>59</v>
      </c>
      <c r="U67" s="40" t="s">
        <v>59</v>
      </c>
      <c r="X67" s="42" t="s">
        <v>59</v>
      </c>
      <c r="AA67" s="40" t="s">
        <v>59</v>
      </c>
      <c r="AD67" s="42" t="s">
        <v>59</v>
      </c>
      <c r="AG67" s="44" t="s">
        <v>59</v>
      </c>
    </row>
    <row r="68" ht="15" customHeight="1" spans="1:35">
      <c r="A68" s="58" t="s">
        <v>104</v>
      </c>
      <c r="B68" s="35" t="s">
        <v>105</v>
      </c>
      <c r="C68" s="36">
        <v>1.45</v>
      </c>
      <c r="D68" s="36">
        <v>0.94</v>
      </c>
      <c r="E68" s="67">
        <v>0</v>
      </c>
      <c r="F68" s="37">
        <v>1.363</v>
      </c>
      <c r="G68" s="38">
        <v>0.78</v>
      </c>
      <c r="H68" s="39">
        <v>5.8</v>
      </c>
      <c r="I68" s="40">
        <v>3448.564665</v>
      </c>
      <c r="J68" s="41">
        <f t="shared" ref="J68:J74" si="27">I68/5</f>
        <v>689.712933</v>
      </c>
      <c r="K68" s="41">
        <f t="shared" ref="K68:K73" si="28">J68+19.7889</f>
        <v>709.501833</v>
      </c>
      <c r="L68" s="42">
        <v>3501.493485</v>
      </c>
      <c r="M68" s="43">
        <f t="shared" ref="M68:M74" si="29">L68/5</f>
        <v>700.298697</v>
      </c>
      <c r="N68" s="43">
        <f t="shared" ref="N68:N73" si="30">M68+19.7889</f>
        <v>720.087597</v>
      </c>
      <c r="O68" s="40">
        <v>3584.667345</v>
      </c>
      <c r="P68" s="41">
        <f t="shared" ref="P68:P74" si="31">O68/5</f>
        <v>716.933469</v>
      </c>
      <c r="Q68" s="41">
        <f t="shared" ref="Q68:Q73" si="32">P68+19.7889</f>
        <v>736.722369</v>
      </c>
      <c r="R68" s="42">
        <v>3660.279945</v>
      </c>
      <c r="S68" s="43">
        <f t="shared" ref="S68:S74" si="33">R68/5</f>
        <v>732.055989</v>
      </c>
      <c r="T68" s="43">
        <f t="shared" ref="T68:T73" si="34">S68+19.7889</f>
        <v>751.844889</v>
      </c>
      <c r="U68" s="40">
        <v>3743.453805</v>
      </c>
      <c r="V68" s="41">
        <f t="shared" ref="V68:V74" si="35">U68/5</f>
        <v>748.690761</v>
      </c>
      <c r="W68" s="41">
        <f t="shared" ref="W68:W73" si="36">V68+19.7889</f>
        <v>768.479661</v>
      </c>
      <c r="X68" s="42">
        <v>3826.627665</v>
      </c>
      <c r="Y68" s="43">
        <f t="shared" ref="Y68:Y74" si="37">X68/5</f>
        <v>765.325533</v>
      </c>
      <c r="Z68" s="43">
        <f t="shared" ref="Z68:Z73" si="38">Y68+19.7889</f>
        <v>785.114433</v>
      </c>
      <c r="AA68" s="40">
        <v>3909.801525</v>
      </c>
      <c r="AB68" s="41">
        <f t="shared" ref="AB68:AB74" si="39">AA68/5</f>
        <v>781.960305</v>
      </c>
      <c r="AC68" s="41">
        <f t="shared" ref="AC68:AC73" si="40">AB68+19.7889</f>
        <v>801.749205</v>
      </c>
      <c r="AD68" s="42">
        <v>4053.465465</v>
      </c>
      <c r="AE68" s="43">
        <f t="shared" ref="AE68:AE74" si="41">AD68/5</f>
        <v>810.693093</v>
      </c>
      <c r="AF68" s="43">
        <f t="shared" ref="AF68:AF73" si="42">AE68+19.7889</f>
        <v>830.481993</v>
      </c>
      <c r="AG68" s="44">
        <v>4287.864525</v>
      </c>
      <c r="AH68" s="45">
        <f t="shared" ref="AH68:AH74" si="43">AG68/5</f>
        <v>857.572905</v>
      </c>
      <c r="AI68" s="45">
        <f t="shared" ref="AI68:AI73" si="44">AH68+19.7889</f>
        <v>877.361805</v>
      </c>
    </row>
    <row r="69" ht="15" customHeight="1" spans="1:35">
      <c r="A69" s="69" t="s">
        <v>106</v>
      </c>
      <c r="B69" s="35" t="s">
        <v>107</v>
      </c>
      <c r="C69" s="36">
        <v>1.65</v>
      </c>
      <c r="D69" s="36">
        <v>0.94</v>
      </c>
      <c r="E69" s="67">
        <v>0</v>
      </c>
      <c r="F69" s="37">
        <v>1.551</v>
      </c>
      <c r="G69" s="38">
        <v>0.78</v>
      </c>
      <c r="H69" s="39">
        <v>6.5</v>
      </c>
      <c r="I69" s="40">
        <v>3789.29394375</v>
      </c>
      <c r="J69" s="41">
        <f t="shared" si="27"/>
        <v>757.85878875</v>
      </c>
      <c r="K69" s="41">
        <f t="shared" si="28"/>
        <v>777.64768875</v>
      </c>
      <c r="L69" s="42">
        <v>3849.94155</v>
      </c>
      <c r="M69" s="43">
        <f t="shared" si="29"/>
        <v>769.98831</v>
      </c>
      <c r="N69" s="43">
        <f t="shared" si="30"/>
        <v>789.77721</v>
      </c>
      <c r="O69" s="40">
        <v>3945.24493125</v>
      </c>
      <c r="P69" s="41">
        <f t="shared" si="31"/>
        <v>789.04898625</v>
      </c>
      <c r="Q69" s="41">
        <f t="shared" si="32"/>
        <v>808.83788625</v>
      </c>
      <c r="R69" s="42">
        <v>4031.88436875</v>
      </c>
      <c r="S69" s="43">
        <f t="shared" si="33"/>
        <v>806.37687375</v>
      </c>
      <c r="T69" s="43">
        <f t="shared" si="34"/>
        <v>826.16577375</v>
      </c>
      <c r="U69" s="40">
        <v>4127.18775</v>
      </c>
      <c r="V69" s="41">
        <f t="shared" si="35"/>
        <v>825.43755</v>
      </c>
      <c r="W69" s="41">
        <f t="shared" si="36"/>
        <v>845.22645</v>
      </c>
      <c r="X69" s="42">
        <v>4222.49113125</v>
      </c>
      <c r="Y69" s="43">
        <f t="shared" si="37"/>
        <v>844.49822625</v>
      </c>
      <c r="Z69" s="43">
        <f t="shared" si="38"/>
        <v>864.28712625</v>
      </c>
      <c r="AA69" s="40">
        <v>4317.7945125</v>
      </c>
      <c r="AB69" s="41">
        <f t="shared" si="39"/>
        <v>863.5589025</v>
      </c>
      <c r="AC69" s="41">
        <f t="shared" si="40"/>
        <v>883.3478025</v>
      </c>
      <c r="AD69" s="42">
        <v>4482.40944375</v>
      </c>
      <c r="AE69" s="43">
        <f t="shared" si="41"/>
        <v>896.48188875</v>
      </c>
      <c r="AF69" s="43">
        <f t="shared" si="42"/>
        <v>916.27078875</v>
      </c>
      <c r="AG69" s="44">
        <v>4750.9917</v>
      </c>
      <c r="AH69" s="45">
        <f t="shared" si="43"/>
        <v>950.19834</v>
      </c>
      <c r="AI69" s="45">
        <f t="shared" si="44"/>
        <v>969.98724</v>
      </c>
    </row>
    <row r="70" ht="15" customHeight="1" spans="1:35">
      <c r="A70" s="68"/>
      <c r="B70" s="35" t="s">
        <v>108</v>
      </c>
      <c r="C70" s="36">
        <v>1.85</v>
      </c>
      <c r="D70" s="36">
        <v>0.94</v>
      </c>
      <c r="E70" s="67">
        <v>0</v>
      </c>
      <c r="F70" s="37">
        <v>1.739</v>
      </c>
      <c r="G70" s="38">
        <v>0.78</v>
      </c>
      <c r="H70" s="39">
        <v>7.2</v>
      </c>
      <c r="I70" s="40">
        <v>4085.9158725</v>
      </c>
      <c r="J70" s="41">
        <f t="shared" si="27"/>
        <v>817.1831745</v>
      </c>
      <c r="K70" s="41">
        <f t="shared" si="28"/>
        <v>836.9720745</v>
      </c>
      <c r="L70" s="42">
        <v>4154.282265</v>
      </c>
      <c r="M70" s="43">
        <f t="shared" si="29"/>
        <v>830.856453</v>
      </c>
      <c r="N70" s="43">
        <f t="shared" si="30"/>
        <v>850.645353</v>
      </c>
      <c r="O70" s="40">
        <v>4261.7151675</v>
      </c>
      <c r="P70" s="41">
        <f t="shared" si="31"/>
        <v>852.3430335</v>
      </c>
      <c r="Q70" s="41">
        <f t="shared" si="32"/>
        <v>872.1319335</v>
      </c>
      <c r="R70" s="42">
        <v>4359.3814425</v>
      </c>
      <c r="S70" s="43">
        <f t="shared" si="33"/>
        <v>871.8762885</v>
      </c>
      <c r="T70" s="43">
        <f t="shared" si="34"/>
        <v>891.6651885</v>
      </c>
      <c r="U70" s="40">
        <v>4466.814345</v>
      </c>
      <c r="V70" s="41">
        <f t="shared" si="35"/>
        <v>893.362869</v>
      </c>
      <c r="W70" s="41">
        <f t="shared" si="36"/>
        <v>913.151769</v>
      </c>
      <c r="X70" s="42">
        <v>4574.2472475</v>
      </c>
      <c r="Y70" s="43">
        <f t="shared" si="37"/>
        <v>914.8494495</v>
      </c>
      <c r="Z70" s="43">
        <f t="shared" si="38"/>
        <v>934.6383495</v>
      </c>
      <c r="AA70" s="40">
        <v>4681.68015</v>
      </c>
      <c r="AB70" s="41">
        <f t="shared" si="39"/>
        <v>936.33603</v>
      </c>
      <c r="AC70" s="41">
        <f t="shared" si="40"/>
        <v>956.12493</v>
      </c>
      <c r="AD70" s="42">
        <v>4867.2460725</v>
      </c>
      <c r="AE70" s="43">
        <f t="shared" si="41"/>
        <v>973.4492145</v>
      </c>
      <c r="AF70" s="43">
        <f t="shared" si="42"/>
        <v>993.2381145</v>
      </c>
      <c r="AG70" s="44">
        <v>5170.011525</v>
      </c>
      <c r="AH70" s="45">
        <f t="shared" si="43"/>
        <v>1034.002305</v>
      </c>
      <c r="AI70" s="45">
        <f t="shared" si="44"/>
        <v>1053.791205</v>
      </c>
    </row>
    <row r="71" ht="15" customHeight="1" spans="1:35">
      <c r="A71" s="46" t="s">
        <v>109</v>
      </c>
      <c r="B71" s="35" t="s">
        <v>110</v>
      </c>
      <c r="C71" s="36">
        <v>2.05</v>
      </c>
      <c r="D71" s="36">
        <v>0.94</v>
      </c>
      <c r="E71" s="67">
        <v>0</v>
      </c>
      <c r="F71" s="37">
        <v>1.927</v>
      </c>
      <c r="G71" s="38">
        <v>0.78</v>
      </c>
      <c r="H71" s="39">
        <v>7.9</v>
      </c>
      <c r="I71" s="40">
        <v>4382.53780125</v>
      </c>
      <c r="J71" s="41">
        <f t="shared" si="27"/>
        <v>876.50756025</v>
      </c>
      <c r="K71" s="41">
        <f t="shared" si="28"/>
        <v>896.29646025</v>
      </c>
      <c r="L71" s="42">
        <v>4458.62298</v>
      </c>
      <c r="M71" s="43">
        <f t="shared" si="29"/>
        <v>891.724596</v>
      </c>
      <c r="N71" s="43">
        <f t="shared" si="30"/>
        <v>911.513496</v>
      </c>
      <c r="O71" s="40">
        <v>4578.18540375</v>
      </c>
      <c r="P71" s="41">
        <f t="shared" si="31"/>
        <v>915.63708075</v>
      </c>
      <c r="Q71" s="41">
        <f t="shared" si="32"/>
        <v>935.42598075</v>
      </c>
      <c r="R71" s="42">
        <v>4686.87851625</v>
      </c>
      <c r="S71" s="43">
        <f t="shared" si="33"/>
        <v>937.37570325</v>
      </c>
      <c r="T71" s="43">
        <f t="shared" si="34"/>
        <v>957.16460325</v>
      </c>
      <c r="U71" s="40">
        <v>4806.44094</v>
      </c>
      <c r="V71" s="41">
        <f t="shared" si="35"/>
        <v>961.288188</v>
      </c>
      <c r="W71" s="41">
        <f t="shared" si="36"/>
        <v>981.077088</v>
      </c>
      <c r="X71" s="42">
        <v>4926.00336375</v>
      </c>
      <c r="Y71" s="43">
        <f t="shared" si="37"/>
        <v>985.20067275</v>
      </c>
      <c r="Z71" s="43">
        <f t="shared" si="38"/>
        <v>1004.98957275</v>
      </c>
      <c r="AA71" s="40">
        <v>5045.5657875</v>
      </c>
      <c r="AB71" s="41">
        <f t="shared" si="39"/>
        <v>1009.1131575</v>
      </c>
      <c r="AC71" s="41">
        <f t="shared" si="40"/>
        <v>1028.9020575</v>
      </c>
      <c r="AD71" s="42">
        <v>5252.08270125</v>
      </c>
      <c r="AE71" s="43">
        <f t="shared" si="41"/>
        <v>1050.41654025</v>
      </c>
      <c r="AF71" s="43">
        <f t="shared" si="42"/>
        <v>1070.20544025</v>
      </c>
      <c r="AG71" s="44">
        <v>5589.03135</v>
      </c>
      <c r="AH71" s="45">
        <f t="shared" si="43"/>
        <v>1117.80627</v>
      </c>
      <c r="AI71" s="45">
        <f t="shared" si="44"/>
        <v>1137.59517</v>
      </c>
    </row>
    <row r="72" ht="15" customHeight="1" spans="1:35">
      <c r="A72" s="46" t="s">
        <v>111</v>
      </c>
      <c r="B72" s="35" t="s">
        <v>112</v>
      </c>
      <c r="C72" s="36">
        <v>2.25</v>
      </c>
      <c r="D72" s="36">
        <v>0.94</v>
      </c>
      <c r="E72" s="67">
        <v>0</v>
      </c>
      <c r="F72" s="37">
        <v>2.115</v>
      </c>
      <c r="G72" s="38">
        <v>0.78</v>
      </c>
      <c r="H72" s="39">
        <v>8.6</v>
      </c>
      <c r="I72" s="40">
        <v>4723.26708</v>
      </c>
      <c r="J72" s="41">
        <f t="shared" si="27"/>
        <v>944.653416</v>
      </c>
      <c r="K72" s="41">
        <f t="shared" si="28"/>
        <v>964.442316</v>
      </c>
      <c r="L72" s="42">
        <v>4807.071045</v>
      </c>
      <c r="M72" s="43">
        <f t="shared" si="29"/>
        <v>961.414209</v>
      </c>
      <c r="N72" s="43">
        <f t="shared" si="30"/>
        <v>981.203109</v>
      </c>
      <c r="O72" s="40">
        <v>4938.76299</v>
      </c>
      <c r="P72" s="41">
        <f t="shared" si="31"/>
        <v>987.752598</v>
      </c>
      <c r="Q72" s="41">
        <f t="shared" si="32"/>
        <v>1007.541498</v>
      </c>
      <c r="R72" s="42">
        <v>5058.48294</v>
      </c>
      <c r="S72" s="43">
        <f t="shared" si="33"/>
        <v>1011.696588</v>
      </c>
      <c r="T72" s="43">
        <f t="shared" si="34"/>
        <v>1031.485488</v>
      </c>
      <c r="U72" s="40">
        <v>5190.174885</v>
      </c>
      <c r="V72" s="41">
        <f t="shared" si="35"/>
        <v>1038.034977</v>
      </c>
      <c r="W72" s="41">
        <f t="shared" si="36"/>
        <v>1057.823877</v>
      </c>
      <c r="X72" s="42">
        <v>5321.86683</v>
      </c>
      <c r="Y72" s="43">
        <f t="shared" si="37"/>
        <v>1064.373366</v>
      </c>
      <c r="Z72" s="43">
        <f t="shared" si="38"/>
        <v>1084.162266</v>
      </c>
      <c r="AA72" s="40">
        <v>5453.558775</v>
      </c>
      <c r="AB72" s="41">
        <f t="shared" si="39"/>
        <v>1090.711755</v>
      </c>
      <c r="AC72" s="41">
        <f t="shared" si="40"/>
        <v>1110.500655</v>
      </c>
      <c r="AD72" s="42">
        <v>5681.02668</v>
      </c>
      <c r="AE72" s="43">
        <f t="shared" si="41"/>
        <v>1136.205336</v>
      </c>
      <c r="AF72" s="43">
        <f t="shared" si="42"/>
        <v>1155.994236</v>
      </c>
      <c r="AG72" s="44">
        <v>6052.158525</v>
      </c>
      <c r="AH72" s="45">
        <f t="shared" si="43"/>
        <v>1210.431705</v>
      </c>
      <c r="AI72" s="45">
        <f t="shared" si="44"/>
        <v>1230.220605</v>
      </c>
    </row>
    <row r="73" ht="15" customHeight="1" spans="1:35">
      <c r="A73" s="68"/>
      <c r="B73" s="35" t="s">
        <v>113</v>
      </c>
      <c r="C73" s="36">
        <v>2.45</v>
      </c>
      <c r="D73" s="36">
        <v>0.94</v>
      </c>
      <c r="E73" s="67">
        <v>0</v>
      </c>
      <c r="F73" s="37">
        <v>2.303</v>
      </c>
      <c r="G73" s="38">
        <v>0.78</v>
      </c>
      <c r="H73" s="39">
        <v>9.3</v>
      </c>
      <c r="I73" s="40">
        <v>5019.88900875</v>
      </c>
      <c r="J73" s="41">
        <f t="shared" si="27"/>
        <v>1003.97780175</v>
      </c>
      <c r="K73" s="41">
        <f t="shared" si="28"/>
        <v>1023.76670175</v>
      </c>
      <c r="L73" s="42">
        <v>5111.41176</v>
      </c>
      <c r="M73" s="43">
        <f t="shared" si="29"/>
        <v>1022.282352</v>
      </c>
      <c r="N73" s="43">
        <f t="shared" si="30"/>
        <v>1042.071252</v>
      </c>
      <c r="O73" s="40">
        <v>5255.23322625</v>
      </c>
      <c r="P73" s="41">
        <f t="shared" si="31"/>
        <v>1051.04664525</v>
      </c>
      <c r="Q73" s="41">
        <f t="shared" si="32"/>
        <v>1070.83554525</v>
      </c>
      <c r="R73" s="42">
        <v>5385.98001375</v>
      </c>
      <c r="S73" s="43">
        <f t="shared" si="33"/>
        <v>1077.19600275</v>
      </c>
      <c r="T73" s="43">
        <f t="shared" si="34"/>
        <v>1096.98490275</v>
      </c>
      <c r="U73" s="40">
        <v>5529.80148</v>
      </c>
      <c r="V73" s="41">
        <f t="shared" si="35"/>
        <v>1105.960296</v>
      </c>
      <c r="W73" s="41">
        <f t="shared" si="36"/>
        <v>1125.749196</v>
      </c>
      <c r="X73" s="42">
        <v>5673.62294625</v>
      </c>
      <c r="Y73" s="43">
        <f t="shared" si="37"/>
        <v>1134.72458925</v>
      </c>
      <c r="Z73" s="43">
        <f t="shared" si="38"/>
        <v>1154.51348925</v>
      </c>
      <c r="AA73" s="40">
        <v>5817.4444125</v>
      </c>
      <c r="AB73" s="41">
        <f t="shared" si="39"/>
        <v>1163.4888825</v>
      </c>
      <c r="AC73" s="41">
        <f t="shared" si="40"/>
        <v>1183.2777825</v>
      </c>
      <c r="AD73" s="42">
        <v>6065.86330875</v>
      </c>
      <c r="AE73" s="43">
        <f t="shared" si="41"/>
        <v>1213.17266175</v>
      </c>
      <c r="AF73" s="43">
        <f t="shared" si="42"/>
        <v>1232.96156175</v>
      </c>
      <c r="AG73" s="44">
        <v>6471.17835</v>
      </c>
      <c r="AH73" s="45">
        <f t="shared" si="43"/>
        <v>1294.23567</v>
      </c>
      <c r="AI73" s="45">
        <f t="shared" si="44"/>
        <v>1314.02457</v>
      </c>
    </row>
    <row r="74" ht="14.45" customHeight="1" spans="1:35">
      <c r="A74" s="68"/>
      <c r="B74" s="35" t="s">
        <v>114</v>
      </c>
      <c r="C74" s="36">
        <v>2.65</v>
      </c>
      <c r="D74" s="36">
        <v>0.94</v>
      </c>
      <c r="E74" s="67">
        <v>0</v>
      </c>
      <c r="F74" s="37">
        <v>2.491</v>
      </c>
      <c r="G74" s="38">
        <v>0.78</v>
      </c>
      <c r="H74" s="39">
        <v>10</v>
      </c>
      <c r="I74" s="40">
        <v>5354.3172375</v>
      </c>
      <c r="J74" s="41">
        <f t="shared" si="27"/>
        <v>1070.8634475</v>
      </c>
      <c r="K74" s="41">
        <f>J74+767.8087</f>
        <v>1838.6721475</v>
      </c>
      <c r="L74" s="42">
        <v>5453.558775</v>
      </c>
      <c r="M74" s="43">
        <f t="shared" si="29"/>
        <v>1090.711755</v>
      </c>
      <c r="N74" s="43">
        <f>M74+767.8087</f>
        <v>1858.520455</v>
      </c>
      <c r="O74" s="40">
        <v>5609.5097625</v>
      </c>
      <c r="P74" s="41">
        <f t="shared" si="31"/>
        <v>1121.9019525</v>
      </c>
      <c r="Q74" s="41">
        <f>P74+767.8087</f>
        <v>1889.7106525</v>
      </c>
      <c r="R74" s="42">
        <v>5751.2833875</v>
      </c>
      <c r="S74" s="43">
        <f t="shared" si="33"/>
        <v>1150.2566775</v>
      </c>
      <c r="T74" s="43">
        <f>S74+767.8087</f>
        <v>1918.0653775</v>
      </c>
      <c r="U74" s="40">
        <v>5907.234375</v>
      </c>
      <c r="V74" s="41">
        <f t="shared" si="35"/>
        <v>1181.446875</v>
      </c>
      <c r="W74" s="41">
        <f>V74+767.8087</f>
        <v>1949.255575</v>
      </c>
      <c r="X74" s="42">
        <v>6063.1853625</v>
      </c>
      <c r="Y74" s="43">
        <f t="shared" si="37"/>
        <v>1212.6370725</v>
      </c>
      <c r="Z74" s="43">
        <f>Y74+767.8087</f>
        <v>1980.4457725</v>
      </c>
      <c r="AA74" s="40">
        <v>6219.13635</v>
      </c>
      <c r="AB74" s="41">
        <f t="shared" si="39"/>
        <v>1243.82727</v>
      </c>
      <c r="AC74" s="41">
        <f>AB74+767.8087</f>
        <v>2011.63597</v>
      </c>
      <c r="AD74" s="42">
        <v>6488.5062375</v>
      </c>
      <c r="AE74" s="43">
        <f t="shared" si="41"/>
        <v>1297.7012475</v>
      </c>
      <c r="AF74" s="43">
        <f>AE74+767.8087</f>
        <v>2065.5099475</v>
      </c>
      <c r="AG74" s="44">
        <v>6928.004475</v>
      </c>
      <c r="AH74" s="45">
        <f t="shared" si="43"/>
        <v>1385.600895</v>
      </c>
      <c r="AI74" s="45">
        <f>AH74+767.8087</f>
        <v>2153.409595</v>
      </c>
    </row>
    <row r="75" ht="15" customHeight="1" spans="1:35">
      <c r="A75" s="68"/>
      <c r="B75" s="35"/>
      <c r="C75" s="36"/>
      <c r="D75" s="36"/>
      <c r="E75" s="67">
        <v>0</v>
      </c>
      <c r="F75" s="37" t="s">
        <v>59</v>
      </c>
      <c r="G75" s="38" t="s">
        <v>59</v>
      </c>
      <c r="H75" s="39" t="s">
        <v>59</v>
      </c>
      <c r="I75" s="40" t="s">
        <v>59</v>
      </c>
      <c r="L75" s="42" t="s">
        <v>59</v>
      </c>
      <c r="O75" s="40" t="s">
        <v>59</v>
      </c>
      <c r="R75" s="42" t="s">
        <v>59</v>
      </c>
      <c r="U75" s="40" t="s">
        <v>59</v>
      </c>
      <c r="X75" s="42" t="s">
        <v>59</v>
      </c>
      <c r="AA75" s="40" t="s">
        <v>59</v>
      </c>
      <c r="AD75" s="42" t="s">
        <v>59</v>
      </c>
      <c r="AG75" s="44" t="s">
        <v>59</v>
      </c>
    </row>
    <row r="76" ht="15" customHeight="1" spans="1:35">
      <c r="A76" s="68"/>
      <c r="B76" s="35" t="s">
        <v>115</v>
      </c>
      <c r="C76" s="36">
        <v>2.5</v>
      </c>
      <c r="D76" s="36">
        <v>1.15</v>
      </c>
      <c r="E76" s="67">
        <v>0</v>
      </c>
      <c r="F76" s="37">
        <v>2.875</v>
      </c>
      <c r="G76" s="38">
        <v>0.78</v>
      </c>
      <c r="H76" s="39">
        <v>10.1</v>
      </c>
      <c r="I76" s="40">
        <v>5724.34639875</v>
      </c>
      <c r="J76" s="41">
        <f>I76/5</f>
        <v>1144.86927975</v>
      </c>
      <c r="K76" s="41">
        <f>J76+19.7889</f>
        <v>1164.65817975</v>
      </c>
      <c r="L76" s="42">
        <v>5824.69062</v>
      </c>
      <c r="M76" s="43">
        <f>L76/5</f>
        <v>1164.938124</v>
      </c>
      <c r="N76" s="43">
        <f>M76+19.7889</f>
        <v>1184.727024</v>
      </c>
      <c r="O76" s="40">
        <v>5982.37439625</v>
      </c>
      <c r="P76" s="41">
        <f>O76/5</f>
        <v>1196.47487925</v>
      </c>
      <c r="Q76" s="41">
        <f>P76+19.7889</f>
        <v>1216.26377925</v>
      </c>
      <c r="R76" s="42">
        <v>6125.72328375</v>
      </c>
      <c r="S76" s="43">
        <f>R76/5</f>
        <v>1225.14465675</v>
      </c>
      <c r="T76" s="43">
        <f>S76+19.7889</f>
        <v>1244.93355675</v>
      </c>
      <c r="U76" s="40">
        <v>6283.40706</v>
      </c>
      <c r="V76" s="41">
        <f>U76/5</f>
        <v>1256.681412</v>
      </c>
      <c r="W76" s="41">
        <f>V76+19.7889</f>
        <v>1276.470312</v>
      </c>
      <c r="X76" s="42">
        <v>6441.09083625</v>
      </c>
      <c r="Y76" s="43">
        <f>X76/5</f>
        <v>1288.21816725</v>
      </c>
      <c r="Z76" s="43">
        <f>Y76+19.7889</f>
        <v>1308.00706725</v>
      </c>
      <c r="AA76" s="40">
        <v>6598.7746125</v>
      </c>
      <c r="AB76" s="41">
        <f>AA76/5</f>
        <v>1319.7549225</v>
      </c>
      <c r="AC76" s="41">
        <f>AB76+19.7889</f>
        <v>1339.5438225</v>
      </c>
      <c r="AD76" s="42">
        <v>6871.13749875</v>
      </c>
      <c r="AE76" s="43">
        <f>AD76/5</f>
        <v>1374.22749975</v>
      </c>
      <c r="AF76" s="43">
        <f>AE76+19.7889</f>
        <v>1394.01639975</v>
      </c>
      <c r="AG76" s="44">
        <v>7315.51905</v>
      </c>
      <c r="AH76" s="45">
        <f>AG76/5</f>
        <v>1463.10381</v>
      </c>
      <c r="AI76" s="45">
        <f>AH76+19.7889</f>
        <v>1482.89271</v>
      </c>
    </row>
    <row r="77" ht="15" customHeight="1" spans="1:35">
      <c r="A77" s="68"/>
      <c r="B77" s="35"/>
      <c r="C77" s="36"/>
      <c r="D77" s="36"/>
      <c r="E77" s="67">
        <v>0</v>
      </c>
      <c r="F77" s="37" t="s">
        <v>59</v>
      </c>
      <c r="G77" s="38" t="s">
        <v>59</v>
      </c>
      <c r="H77" s="39" t="s">
        <v>59</v>
      </c>
      <c r="I77" s="40" t="s">
        <v>59</v>
      </c>
      <c r="L77" s="42" t="s">
        <v>59</v>
      </c>
      <c r="O77" s="40" t="s">
        <v>59</v>
      </c>
      <c r="R77" s="42" t="s">
        <v>59</v>
      </c>
      <c r="U77" s="40" t="s">
        <v>59</v>
      </c>
      <c r="X77" s="42" t="s">
        <v>59</v>
      </c>
      <c r="AA77" s="40" t="s">
        <v>59</v>
      </c>
      <c r="AD77" s="42" t="s">
        <v>59</v>
      </c>
      <c r="AG77" s="44" t="s">
        <v>59</v>
      </c>
    </row>
    <row r="78" ht="15" customHeight="1" spans="1:35">
      <c r="A78" s="68"/>
      <c r="B78" s="35" t="s">
        <v>116</v>
      </c>
      <c r="C78" s="36">
        <v>0.9</v>
      </c>
      <c r="D78" s="36">
        <v>0.9</v>
      </c>
      <c r="E78" s="67">
        <v>0</v>
      </c>
      <c r="F78" s="37">
        <v>0.81</v>
      </c>
      <c r="G78" s="38">
        <v>0.45</v>
      </c>
      <c r="H78" s="39">
        <v>3.6</v>
      </c>
      <c r="I78" s="40">
        <v>1798.0046175</v>
      </c>
      <c r="J78" s="41">
        <f>I78/5</f>
        <v>359.6009235</v>
      </c>
      <c r="K78" s="41">
        <f>J78+19.7889</f>
        <v>379.3898235</v>
      </c>
      <c r="L78" s="42">
        <v>1826.674395</v>
      </c>
      <c r="M78" s="43">
        <f>L78/5</f>
        <v>365.334879</v>
      </c>
      <c r="N78" s="43">
        <f>M78+19.7889</f>
        <v>385.123779</v>
      </c>
      <c r="O78" s="40">
        <v>1871.7269025</v>
      </c>
      <c r="P78" s="41">
        <f>O78/5</f>
        <v>374.3453805</v>
      </c>
      <c r="Q78" s="41">
        <f>P78+19.7889</f>
        <v>394.1342805</v>
      </c>
      <c r="R78" s="42">
        <v>1912.6837275</v>
      </c>
      <c r="S78" s="43">
        <f>R78/5</f>
        <v>382.5367455</v>
      </c>
      <c r="T78" s="43">
        <f>S78+19.7889</f>
        <v>402.3256455</v>
      </c>
      <c r="U78" s="40">
        <v>1957.736235</v>
      </c>
      <c r="V78" s="41">
        <f>U78/5</f>
        <v>391.547247</v>
      </c>
      <c r="W78" s="41">
        <f>V78+19.7889</f>
        <v>411.336147</v>
      </c>
      <c r="X78" s="42">
        <v>2002.7887425</v>
      </c>
      <c r="Y78" s="43">
        <f>X78/5</f>
        <v>400.5577485</v>
      </c>
      <c r="Z78" s="43">
        <f>Y78+19.7889</f>
        <v>420.3466485</v>
      </c>
      <c r="AA78" s="40">
        <v>2047.84125</v>
      </c>
      <c r="AB78" s="41">
        <f>AA78/5</f>
        <v>409.56825</v>
      </c>
      <c r="AC78" s="41">
        <f>AB78+19.7889</f>
        <v>429.35715</v>
      </c>
      <c r="AD78" s="42">
        <v>2125.6592175</v>
      </c>
      <c r="AE78" s="43">
        <f>AD78/5</f>
        <v>425.1318435</v>
      </c>
      <c r="AF78" s="43">
        <f>AE78+19.7889</f>
        <v>444.9207435</v>
      </c>
      <c r="AG78" s="44">
        <v>2252.625375</v>
      </c>
      <c r="AH78" s="45">
        <f>AG78/5</f>
        <v>450.525075</v>
      </c>
      <c r="AI78" s="45">
        <f>AH78+19.7889</f>
        <v>470.313975</v>
      </c>
    </row>
    <row r="79" ht="15" customHeight="1" spans="1:35">
      <c r="A79" s="68"/>
      <c r="B79" s="35"/>
      <c r="C79" s="36"/>
      <c r="D79" s="36"/>
      <c r="E79" s="67">
        <v>0</v>
      </c>
      <c r="F79" s="37" t="s">
        <v>59</v>
      </c>
      <c r="G79" s="38" t="s">
        <v>59</v>
      </c>
      <c r="H79" s="39" t="s">
        <v>59</v>
      </c>
      <c r="I79" s="40" t="s">
        <v>59</v>
      </c>
      <c r="L79" s="42" t="s">
        <v>59</v>
      </c>
      <c r="O79" s="40" t="s">
        <v>59</v>
      </c>
      <c r="R79" s="42" t="s">
        <v>59</v>
      </c>
      <c r="U79" s="40" t="s">
        <v>59</v>
      </c>
      <c r="X79" s="42" t="s">
        <v>59</v>
      </c>
      <c r="AA79" s="40" t="s">
        <v>59</v>
      </c>
      <c r="AD79" s="42" t="s">
        <v>59</v>
      </c>
      <c r="AG79" s="44" t="s">
        <v>59</v>
      </c>
    </row>
    <row r="80" ht="15" customHeight="1" spans="1:35">
      <c r="A80" s="68"/>
      <c r="B80" s="35" t="s">
        <v>117</v>
      </c>
      <c r="C80" s="36">
        <v>1.15</v>
      </c>
      <c r="D80" s="36">
        <v>0.94</v>
      </c>
      <c r="E80" s="67">
        <v>0</v>
      </c>
      <c r="F80" s="37">
        <v>1.081</v>
      </c>
      <c r="G80" s="38">
        <v>0.78</v>
      </c>
      <c r="H80" s="39">
        <v>6.25</v>
      </c>
      <c r="I80" s="40">
        <v>3310.020328125</v>
      </c>
      <c r="J80" s="41">
        <f t="shared" ref="J80:J86" si="45">I80/5</f>
        <v>662.004065625</v>
      </c>
      <c r="K80" s="41">
        <f t="shared" ref="K80:K86" si="46">J80+19.7889</f>
        <v>681.792965625</v>
      </c>
      <c r="L80" s="42">
        <v>3367.911225</v>
      </c>
      <c r="M80" s="43">
        <f t="shared" ref="M80:M86" si="47">L80/5</f>
        <v>673.582245</v>
      </c>
      <c r="N80" s="43">
        <f t="shared" ref="N80:N86" si="48">M80+19.7889</f>
        <v>693.371145</v>
      </c>
      <c r="O80" s="40">
        <v>3458.882634375</v>
      </c>
      <c r="P80" s="41">
        <f t="shared" ref="P80:P86" si="49">O80/5</f>
        <v>691.776526875</v>
      </c>
      <c r="Q80" s="41">
        <f t="shared" ref="Q80:Q86" si="50">P80+19.7889</f>
        <v>711.565426875</v>
      </c>
      <c r="R80" s="42">
        <v>3541.583915625</v>
      </c>
      <c r="S80" s="43">
        <f t="shared" ref="S80:S86" si="51">R80/5</f>
        <v>708.316783125</v>
      </c>
      <c r="T80" s="43">
        <f t="shared" ref="T80:T86" si="52">S80+19.7889</f>
        <v>728.105683125</v>
      </c>
      <c r="U80" s="40">
        <v>3632.555325</v>
      </c>
      <c r="V80" s="41">
        <f t="shared" ref="V80:V86" si="53">U80/5</f>
        <v>726.511065</v>
      </c>
      <c r="W80" s="41">
        <f t="shared" ref="W80:W86" si="54">V80+19.7889</f>
        <v>746.299965</v>
      </c>
      <c r="X80" s="42">
        <v>3723.526734375</v>
      </c>
      <c r="Y80" s="43">
        <f t="shared" ref="Y80:Y86" si="55">X80/5</f>
        <v>744.705346875</v>
      </c>
      <c r="Z80" s="43">
        <f t="shared" ref="Z80:Z86" si="56">Y80+19.7889</f>
        <v>764.494246875</v>
      </c>
      <c r="AA80" s="40">
        <v>3814.49814375</v>
      </c>
      <c r="AB80" s="41">
        <f t="shared" ref="AB80:AB86" si="57">AA80/5</f>
        <v>762.89962875</v>
      </c>
      <c r="AC80" s="41">
        <f t="shared" ref="AC80:AC86" si="58">AB80+19.7889</f>
        <v>782.68852875</v>
      </c>
      <c r="AD80" s="42">
        <v>3971.630578125</v>
      </c>
      <c r="AE80" s="43">
        <f t="shared" ref="AE80:AE86" si="59">AD80/5</f>
        <v>794.326115625</v>
      </c>
      <c r="AF80" s="43">
        <f t="shared" ref="AF80:AF86" si="60">AE80+19.7889</f>
        <v>814.115015625</v>
      </c>
      <c r="AG80" s="44">
        <v>4228.00455</v>
      </c>
      <c r="AH80" s="45">
        <f t="shared" ref="AH80:AH86" si="61">AG80/5</f>
        <v>845.60091</v>
      </c>
      <c r="AI80" s="45">
        <f t="shared" ref="AI80:AI86" si="62">AH80+19.7889</f>
        <v>865.38981</v>
      </c>
    </row>
    <row r="81" ht="15" customHeight="1" spans="1:35">
      <c r="A81" s="68"/>
      <c r="B81" s="35" t="s">
        <v>118</v>
      </c>
      <c r="C81" s="36">
        <v>1.35</v>
      </c>
      <c r="D81" s="36">
        <v>0.94</v>
      </c>
      <c r="E81" s="67">
        <v>0</v>
      </c>
      <c r="F81" s="37">
        <v>1.269</v>
      </c>
      <c r="G81" s="38">
        <v>0.78</v>
      </c>
      <c r="H81" s="39">
        <v>6.95</v>
      </c>
      <c r="I81" s="40">
        <v>3606.642256875</v>
      </c>
      <c r="J81" s="41">
        <f t="shared" si="45"/>
        <v>721.328451375</v>
      </c>
      <c r="K81" s="41">
        <f t="shared" si="46"/>
        <v>741.117351375</v>
      </c>
      <c r="L81" s="42">
        <v>3672.25194</v>
      </c>
      <c r="M81" s="43">
        <f t="shared" si="47"/>
        <v>734.450388</v>
      </c>
      <c r="N81" s="43">
        <f t="shared" si="48"/>
        <v>754.239288</v>
      </c>
      <c r="O81" s="40">
        <v>3775.352870625</v>
      </c>
      <c r="P81" s="41">
        <f t="shared" si="49"/>
        <v>755.070574125</v>
      </c>
      <c r="Q81" s="41">
        <f t="shared" si="50"/>
        <v>774.859474125</v>
      </c>
      <c r="R81" s="42">
        <v>3869.080989375</v>
      </c>
      <c r="S81" s="43">
        <f t="shared" si="51"/>
        <v>773.816197875</v>
      </c>
      <c r="T81" s="43">
        <f t="shared" si="52"/>
        <v>793.605097875</v>
      </c>
      <c r="U81" s="40">
        <v>3972.18192</v>
      </c>
      <c r="V81" s="41">
        <f t="shared" si="53"/>
        <v>794.436384</v>
      </c>
      <c r="W81" s="41">
        <f t="shared" si="54"/>
        <v>814.225284</v>
      </c>
      <c r="X81" s="42">
        <v>4075.282850625</v>
      </c>
      <c r="Y81" s="43">
        <f t="shared" si="55"/>
        <v>815.056570125</v>
      </c>
      <c r="Z81" s="43">
        <f t="shared" si="56"/>
        <v>834.845470125</v>
      </c>
      <c r="AA81" s="40">
        <v>4178.38378125</v>
      </c>
      <c r="AB81" s="41">
        <f t="shared" si="57"/>
        <v>835.67675625</v>
      </c>
      <c r="AC81" s="41">
        <f t="shared" si="58"/>
        <v>855.46565625</v>
      </c>
      <c r="AD81" s="42">
        <v>4356.467206875</v>
      </c>
      <c r="AE81" s="43">
        <f t="shared" si="59"/>
        <v>871.293441375</v>
      </c>
      <c r="AF81" s="43">
        <f t="shared" si="60"/>
        <v>891.082341375</v>
      </c>
      <c r="AG81" s="44">
        <v>4647.024375</v>
      </c>
      <c r="AH81" s="45">
        <f t="shared" si="61"/>
        <v>929.404875</v>
      </c>
      <c r="AI81" s="45">
        <f t="shared" si="62"/>
        <v>949.193775</v>
      </c>
    </row>
    <row r="82" ht="15" customHeight="1" spans="1:35">
      <c r="A82" s="68"/>
      <c r="B82" s="35" t="s">
        <v>119</v>
      </c>
      <c r="C82" s="36">
        <v>1.55</v>
      </c>
      <c r="D82" s="36">
        <v>0.94</v>
      </c>
      <c r="E82" s="67">
        <v>0</v>
      </c>
      <c r="F82" s="37">
        <v>1.457</v>
      </c>
      <c r="G82" s="38">
        <v>0.78</v>
      </c>
      <c r="H82" s="39">
        <v>7.65</v>
      </c>
      <c r="I82" s="40">
        <v>3903.264185625</v>
      </c>
      <c r="J82" s="41">
        <f t="shared" si="45"/>
        <v>780.652837125</v>
      </c>
      <c r="K82" s="41">
        <f t="shared" si="46"/>
        <v>800.441737125</v>
      </c>
      <c r="L82" s="42">
        <v>3976.592655</v>
      </c>
      <c r="M82" s="43">
        <f t="shared" si="47"/>
        <v>795.318531</v>
      </c>
      <c r="N82" s="43">
        <f t="shared" si="48"/>
        <v>815.107431</v>
      </c>
      <c r="O82" s="40">
        <v>4091.823106875</v>
      </c>
      <c r="P82" s="41">
        <f t="shared" si="49"/>
        <v>818.364621375</v>
      </c>
      <c r="Q82" s="41">
        <f t="shared" si="50"/>
        <v>838.153521375</v>
      </c>
      <c r="R82" s="42">
        <v>4196.578063125</v>
      </c>
      <c r="S82" s="43">
        <f t="shared" si="51"/>
        <v>839.315612625</v>
      </c>
      <c r="T82" s="43">
        <f t="shared" si="52"/>
        <v>859.104512625</v>
      </c>
      <c r="U82" s="40">
        <v>4311.808515</v>
      </c>
      <c r="V82" s="41">
        <f t="shared" si="53"/>
        <v>862.361703</v>
      </c>
      <c r="W82" s="41">
        <f t="shared" si="54"/>
        <v>882.150603</v>
      </c>
      <c r="X82" s="42">
        <v>4427.038966875</v>
      </c>
      <c r="Y82" s="43">
        <f t="shared" si="55"/>
        <v>885.407793375</v>
      </c>
      <c r="Z82" s="43">
        <f t="shared" si="56"/>
        <v>905.196693375</v>
      </c>
      <c r="AA82" s="40">
        <v>4542.26941875</v>
      </c>
      <c r="AB82" s="41">
        <f t="shared" si="57"/>
        <v>908.45388375</v>
      </c>
      <c r="AC82" s="41">
        <f t="shared" si="58"/>
        <v>928.24278375</v>
      </c>
      <c r="AD82" s="42">
        <v>4741.303835625</v>
      </c>
      <c r="AE82" s="43">
        <f t="shared" si="59"/>
        <v>948.260767125</v>
      </c>
      <c r="AF82" s="43">
        <f t="shared" si="60"/>
        <v>968.049667125</v>
      </c>
      <c r="AG82" s="44">
        <v>5066.0442</v>
      </c>
      <c r="AH82" s="45">
        <f t="shared" si="61"/>
        <v>1013.20884</v>
      </c>
      <c r="AI82" s="45">
        <f t="shared" si="62"/>
        <v>1032.99774</v>
      </c>
    </row>
    <row r="83" ht="15" customHeight="1" spans="1:35">
      <c r="A83" s="68"/>
      <c r="B83" s="35" t="s">
        <v>120</v>
      </c>
      <c r="C83" s="36">
        <v>1.75</v>
      </c>
      <c r="D83" s="36">
        <v>0.94</v>
      </c>
      <c r="E83" s="67">
        <v>0</v>
      </c>
      <c r="F83" s="37">
        <v>1.645</v>
      </c>
      <c r="G83" s="38">
        <v>0.78</v>
      </c>
      <c r="H83" s="39">
        <v>8.35</v>
      </c>
      <c r="I83" s="40">
        <v>4203.036639375</v>
      </c>
      <c r="J83" s="41">
        <f t="shared" si="45"/>
        <v>840.607327875</v>
      </c>
      <c r="K83" s="41">
        <f t="shared" si="46"/>
        <v>860.396227875</v>
      </c>
      <c r="L83" s="42">
        <v>4284.083895</v>
      </c>
      <c r="M83" s="43">
        <f t="shared" si="47"/>
        <v>856.816779</v>
      </c>
      <c r="N83" s="43">
        <f t="shared" si="48"/>
        <v>876.605679</v>
      </c>
      <c r="O83" s="40">
        <v>4411.443868125</v>
      </c>
      <c r="P83" s="41">
        <f t="shared" si="49"/>
        <v>882.288773625</v>
      </c>
      <c r="Q83" s="41">
        <f t="shared" si="50"/>
        <v>902.077673625</v>
      </c>
      <c r="R83" s="42">
        <v>4527.225661875</v>
      </c>
      <c r="S83" s="43">
        <f t="shared" si="51"/>
        <v>905.445132375</v>
      </c>
      <c r="T83" s="43">
        <f t="shared" si="52"/>
        <v>925.234032375</v>
      </c>
      <c r="U83" s="40">
        <v>4654.585635</v>
      </c>
      <c r="V83" s="41">
        <f t="shared" si="53"/>
        <v>930.917127</v>
      </c>
      <c r="W83" s="41">
        <f t="shared" si="54"/>
        <v>950.706027</v>
      </c>
      <c r="X83" s="42">
        <v>4781.945608125</v>
      </c>
      <c r="Y83" s="43">
        <f t="shared" si="55"/>
        <v>956.389121625</v>
      </c>
      <c r="Z83" s="43">
        <f t="shared" si="56"/>
        <v>976.178021625</v>
      </c>
      <c r="AA83" s="40">
        <v>4909.30558125</v>
      </c>
      <c r="AB83" s="41">
        <f t="shared" si="57"/>
        <v>981.86111625</v>
      </c>
      <c r="AC83" s="41">
        <f t="shared" si="58"/>
        <v>1001.65001625</v>
      </c>
      <c r="AD83" s="42">
        <v>5129.290989375</v>
      </c>
      <c r="AE83" s="43">
        <f t="shared" si="59"/>
        <v>1025.858197875</v>
      </c>
      <c r="AF83" s="43">
        <f t="shared" si="60"/>
        <v>1045.647097875</v>
      </c>
      <c r="AG83" s="44">
        <v>5488.21455</v>
      </c>
      <c r="AH83" s="45">
        <f t="shared" si="61"/>
        <v>1097.64291</v>
      </c>
      <c r="AI83" s="45">
        <f t="shared" si="62"/>
        <v>1117.43181</v>
      </c>
    </row>
    <row r="84" ht="15" customHeight="1" spans="1:35">
      <c r="A84" s="68"/>
      <c r="B84" s="35" t="s">
        <v>121</v>
      </c>
      <c r="C84" s="36">
        <v>1.95</v>
      </c>
      <c r="D84" s="36">
        <v>0.94</v>
      </c>
      <c r="E84" s="67">
        <v>0</v>
      </c>
      <c r="F84" s="37">
        <v>1.833</v>
      </c>
      <c r="G84" s="38">
        <v>0.78</v>
      </c>
      <c r="H84" s="39">
        <v>9.05</v>
      </c>
      <c r="I84" s="40">
        <v>4505.959618125</v>
      </c>
      <c r="J84" s="41">
        <f t="shared" si="45"/>
        <v>901.191923625</v>
      </c>
      <c r="K84" s="41">
        <f t="shared" si="46"/>
        <v>920.980823625</v>
      </c>
      <c r="L84" s="42">
        <v>4594.72566</v>
      </c>
      <c r="M84" s="43">
        <f t="shared" si="47"/>
        <v>918.945132</v>
      </c>
      <c r="N84" s="43">
        <f t="shared" si="48"/>
        <v>938.734032</v>
      </c>
      <c r="O84" s="40">
        <v>4734.215154375</v>
      </c>
      <c r="P84" s="41">
        <f t="shared" si="49"/>
        <v>946.843030875</v>
      </c>
      <c r="Q84" s="41">
        <f t="shared" si="50"/>
        <v>966.631930875</v>
      </c>
      <c r="R84" s="42">
        <v>4861.023785625</v>
      </c>
      <c r="S84" s="43">
        <f t="shared" si="51"/>
        <v>972.204757125</v>
      </c>
      <c r="T84" s="43">
        <f t="shared" si="52"/>
        <v>991.993657125</v>
      </c>
      <c r="U84" s="40">
        <v>5000.51328</v>
      </c>
      <c r="V84" s="41">
        <f t="shared" si="53"/>
        <v>1000.102656</v>
      </c>
      <c r="W84" s="41">
        <f t="shared" si="54"/>
        <v>1019.891556</v>
      </c>
      <c r="X84" s="42">
        <v>5140.002774375</v>
      </c>
      <c r="Y84" s="43">
        <f t="shared" si="55"/>
        <v>1028.000554875</v>
      </c>
      <c r="Z84" s="43">
        <f t="shared" si="56"/>
        <v>1047.789454875</v>
      </c>
      <c r="AA84" s="40">
        <v>5279.49226875</v>
      </c>
      <c r="AB84" s="41">
        <f t="shared" si="57"/>
        <v>1055.89845375</v>
      </c>
      <c r="AC84" s="41">
        <f t="shared" si="58"/>
        <v>1075.68735375</v>
      </c>
      <c r="AD84" s="42">
        <v>5520.428668125</v>
      </c>
      <c r="AE84" s="43">
        <f t="shared" si="59"/>
        <v>1104.085733625</v>
      </c>
      <c r="AF84" s="43">
        <f t="shared" si="60"/>
        <v>1123.874633625</v>
      </c>
      <c r="AG84" s="44">
        <v>5913.535425</v>
      </c>
      <c r="AH84" s="45">
        <f t="shared" si="61"/>
        <v>1182.707085</v>
      </c>
      <c r="AI84" s="45">
        <f t="shared" si="62"/>
        <v>1202.495985</v>
      </c>
    </row>
    <row r="85" ht="15" customHeight="1" spans="1:35">
      <c r="A85" s="68"/>
      <c r="B85" s="35" t="s">
        <v>122</v>
      </c>
      <c r="C85" s="36">
        <v>2.15</v>
      </c>
      <c r="D85" s="36">
        <v>0.94</v>
      </c>
      <c r="E85" s="67">
        <v>0</v>
      </c>
      <c r="F85" s="37">
        <v>2.021</v>
      </c>
      <c r="G85" s="38">
        <v>0.78</v>
      </c>
      <c r="H85" s="39">
        <v>9.75</v>
      </c>
      <c r="I85" s="40">
        <v>4802.581546875</v>
      </c>
      <c r="J85" s="41">
        <f t="shared" si="45"/>
        <v>960.516309375</v>
      </c>
      <c r="K85" s="41">
        <f t="shared" si="46"/>
        <v>980.305209375</v>
      </c>
      <c r="L85" s="42">
        <v>4899.066375</v>
      </c>
      <c r="M85" s="43">
        <f t="shared" si="47"/>
        <v>979.813275</v>
      </c>
      <c r="N85" s="43">
        <f t="shared" si="48"/>
        <v>999.602175</v>
      </c>
      <c r="O85" s="40">
        <v>5050.685390625</v>
      </c>
      <c r="P85" s="41">
        <f t="shared" si="49"/>
        <v>1010.137078125</v>
      </c>
      <c r="Q85" s="41">
        <f t="shared" si="50"/>
        <v>1029.925978125</v>
      </c>
      <c r="R85" s="42">
        <v>5188.520859375</v>
      </c>
      <c r="S85" s="43">
        <f t="shared" si="51"/>
        <v>1037.704171875</v>
      </c>
      <c r="T85" s="43">
        <f t="shared" si="52"/>
        <v>1057.493071875</v>
      </c>
      <c r="U85" s="40">
        <v>5340.139875</v>
      </c>
      <c r="V85" s="41">
        <f t="shared" si="53"/>
        <v>1068.027975</v>
      </c>
      <c r="W85" s="41">
        <f t="shared" si="54"/>
        <v>1087.816875</v>
      </c>
      <c r="X85" s="42">
        <v>5491.758890625</v>
      </c>
      <c r="Y85" s="43">
        <f t="shared" si="55"/>
        <v>1098.351778125</v>
      </c>
      <c r="Z85" s="43">
        <f t="shared" si="56"/>
        <v>1118.140678125</v>
      </c>
      <c r="AA85" s="40">
        <v>5643.37790625</v>
      </c>
      <c r="AB85" s="41">
        <f t="shared" si="57"/>
        <v>1128.67558125</v>
      </c>
      <c r="AC85" s="41">
        <f t="shared" si="58"/>
        <v>1148.46448125</v>
      </c>
      <c r="AD85" s="42">
        <v>5905.265296875</v>
      </c>
      <c r="AE85" s="43">
        <f t="shared" si="59"/>
        <v>1181.053059375</v>
      </c>
      <c r="AF85" s="43">
        <f t="shared" si="60"/>
        <v>1200.841959375</v>
      </c>
      <c r="AG85" s="44">
        <v>6332.55525</v>
      </c>
      <c r="AH85" s="45">
        <f t="shared" si="61"/>
        <v>1266.51105</v>
      </c>
      <c r="AI85" s="45">
        <f t="shared" si="62"/>
        <v>1286.29995</v>
      </c>
    </row>
    <row r="86" ht="15" customHeight="1" spans="1:35">
      <c r="A86" s="68"/>
      <c r="B86" s="35" t="s">
        <v>123</v>
      </c>
      <c r="C86" s="36">
        <v>2.35</v>
      </c>
      <c r="D86" s="36">
        <v>0.94</v>
      </c>
      <c r="E86" s="67">
        <v>0</v>
      </c>
      <c r="F86" s="37">
        <v>2.209</v>
      </c>
      <c r="G86" s="38">
        <v>0.78</v>
      </c>
      <c r="H86" s="39">
        <v>10.45</v>
      </c>
      <c r="I86" s="40">
        <v>5099.203475625</v>
      </c>
      <c r="J86" s="41">
        <f t="shared" si="45"/>
        <v>1019.840695125</v>
      </c>
      <c r="K86" s="41">
        <f t="shared" si="46"/>
        <v>1039.629595125</v>
      </c>
      <c r="L86" s="42">
        <v>5203.40709</v>
      </c>
      <c r="M86" s="43">
        <f t="shared" si="47"/>
        <v>1040.681418</v>
      </c>
      <c r="N86" s="43">
        <f t="shared" si="48"/>
        <v>1060.470318</v>
      </c>
      <c r="O86" s="40">
        <v>5367.155626875</v>
      </c>
      <c r="P86" s="41">
        <f t="shared" si="49"/>
        <v>1073.431125375</v>
      </c>
      <c r="Q86" s="41">
        <f t="shared" si="50"/>
        <v>1093.220025375</v>
      </c>
      <c r="R86" s="42">
        <v>5516.017933125</v>
      </c>
      <c r="S86" s="43">
        <f t="shared" si="51"/>
        <v>1103.203586625</v>
      </c>
      <c r="T86" s="43">
        <f t="shared" si="52"/>
        <v>1122.992486625</v>
      </c>
      <c r="U86" s="40">
        <v>5679.76647</v>
      </c>
      <c r="V86" s="41">
        <f t="shared" si="53"/>
        <v>1135.953294</v>
      </c>
      <c r="W86" s="41">
        <f t="shared" si="54"/>
        <v>1155.742194</v>
      </c>
      <c r="X86" s="42">
        <v>5843.515006875</v>
      </c>
      <c r="Y86" s="43">
        <f t="shared" si="55"/>
        <v>1168.703001375</v>
      </c>
      <c r="Z86" s="43">
        <f t="shared" si="56"/>
        <v>1188.491901375</v>
      </c>
      <c r="AA86" s="40">
        <v>6007.26354375</v>
      </c>
      <c r="AB86" s="41">
        <f t="shared" si="57"/>
        <v>1201.45270875</v>
      </c>
      <c r="AC86" s="41">
        <f t="shared" si="58"/>
        <v>1221.24160875</v>
      </c>
      <c r="AD86" s="42">
        <v>6290.101925625</v>
      </c>
      <c r="AE86" s="43">
        <f t="shared" si="59"/>
        <v>1258.020385125</v>
      </c>
      <c r="AF86" s="43">
        <f t="shared" si="60"/>
        <v>1277.809285125</v>
      </c>
      <c r="AG86" s="44">
        <v>6751.575075</v>
      </c>
      <c r="AH86" s="45">
        <f t="shared" si="61"/>
        <v>1350.315015</v>
      </c>
      <c r="AI86" s="45">
        <f t="shared" si="62"/>
        <v>1370.103915</v>
      </c>
    </row>
    <row r="87" ht="15" customHeight="1" spans="1:35">
      <c r="A87" s="68"/>
      <c r="B87" s="35"/>
      <c r="C87" s="36"/>
      <c r="D87" s="36"/>
      <c r="E87" s="67">
        <v>0</v>
      </c>
      <c r="F87" s="37" t="s">
        <v>59</v>
      </c>
      <c r="G87" s="38" t="s">
        <v>59</v>
      </c>
      <c r="H87" s="39" t="s">
        <v>59</v>
      </c>
      <c r="I87" s="40" t="s">
        <v>59</v>
      </c>
      <c r="L87" s="42" t="s">
        <v>59</v>
      </c>
      <c r="O87" s="40" t="s">
        <v>59</v>
      </c>
      <c r="R87" s="42" t="s">
        <v>59</v>
      </c>
      <c r="U87" s="40" t="s">
        <v>59</v>
      </c>
      <c r="X87" s="42" t="s">
        <v>59</v>
      </c>
      <c r="AA87" s="40" t="s">
        <v>59</v>
      </c>
      <c r="AD87" s="42" t="s">
        <v>59</v>
      </c>
      <c r="AG87" s="44" t="s">
        <v>59</v>
      </c>
    </row>
    <row r="88" ht="15" customHeight="1" spans="1:35">
      <c r="A88" s="68"/>
      <c r="B88" s="35" t="s">
        <v>124</v>
      </c>
      <c r="C88" s="36">
        <v>1.15</v>
      </c>
      <c r="D88" s="36">
        <v>1.75</v>
      </c>
      <c r="E88" s="67">
        <v>0</v>
      </c>
      <c r="F88" s="37">
        <v>2.0125</v>
      </c>
      <c r="G88" s="38">
        <v>0.78</v>
      </c>
      <c r="H88" s="39">
        <v>8.9</v>
      </c>
      <c r="I88" s="40">
        <v>3917.83536375</v>
      </c>
      <c r="J88" s="41">
        <f>I88/5</f>
        <v>783.56707275</v>
      </c>
      <c r="K88" s="41">
        <f>J88+621.371</f>
        <v>1404.93807275</v>
      </c>
      <c r="L88" s="42">
        <v>4004.94738</v>
      </c>
      <c r="M88" s="43">
        <f>L88/5</f>
        <v>800.989476</v>
      </c>
      <c r="N88" s="43">
        <f>M88+621.371</f>
        <v>1422.360476</v>
      </c>
      <c r="O88" s="40">
        <v>4141.83769125</v>
      </c>
      <c r="P88" s="41">
        <f>O88/5</f>
        <v>828.36753825</v>
      </c>
      <c r="Q88" s="41">
        <f>P88+621.371</f>
        <v>1449.73853825</v>
      </c>
      <c r="R88" s="42">
        <v>4266.28342875</v>
      </c>
      <c r="S88" s="43">
        <f>R88/5</f>
        <v>853.25668575</v>
      </c>
      <c r="T88" s="43">
        <f>S88+621.371</f>
        <v>1474.62768575</v>
      </c>
      <c r="U88" s="40">
        <v>4403.17374</v>
      </c>
      <c r="V88" s="41">
        <f>U88/5</f>
        <v>880.634748</v>
      </c>
      <c r="W88" s="41">
        <f>V88+621.371</f>
        <v>1502.005748</v>
      </c>
      <c r="X88" s="42">
        <v>4540.06405125</v>
      </c>
      <c r="Y88" s="43">
        <f>X88/5</f>
        <v>908.01281025</v>
      </c>
      <c r="Z88" s="43">
        <f>Y88+621.371</f>
        <v>1529.38381025</v>
      </c>
      <c r="AA88" s="40">
        <v>4676.9543625</v>
      </c>
      <c r="AB88" s="41">
        <f>AA88/5</f>
        <v>935.3908725</v>
      </c>
      <c r="AC88" s="41">
        <f>AB88+621.371</f>
        <v>1556.7618725</v>
      </c>
      <c r="AD88" s="42">
        <v>4913.40126375</v>
      </c>
      <c r="AE88" s="43">
        <f>AD88/5</f>
        <v>982.68025275</v>
      </c>
      <c r="AF88" s="43">
        <f>AE88+621.371</f>
        <v>1604.05125275</v>
      </c>
      <c r="AG88" s="44">
        <v>5299.18305</v>
      </c>
      <c r="AH88" s="45">
        <f>AG88/5</f>
        <v>1059.83661</v>
      </c>
      <c r="AI88" s="45">
        <f>AH88+621.371</f>
        <v>1681.20761</v>
      </c>
    </row>
    <row r="89" ht="15" customHeight="1" spans="1:35">
      <c r="A89" s="68"/>
      <c r="B89" s="35" t="s">
        <v>124</v>
      </c>
      <c r="C89" s="36">
        <v>1.35</v>
      </c>
      <c r="D89" s="36">
        <v>1.75</v>
      </c>
      <c r="E89" s="67">
        <v>0</v>
      </c>
      <c r="F89" s="37">
        <v>2.3625</v>
      </c>
      <c r="G89" s="38">
        <v>0.78</v>
      </c>
      <c r="H89" s="39">
        <v>9.2</v>
      </c>
      <c r="I89" s="40">
        <v>4256.0442225</v>
      </c>
      <c r="J89" s="41">
        <f>I89/5</f>
        <v>851.2088445</v>
      </c>
      <c r="K89" s="41">
        <f>J89+621.371</f>
        <v>1472.5798445</v>
      </c>
      <c r="L89" s="42">
        <v>4346.46429</v>
      </c>
      <c r="M89" s="43">
        <f>L89/5</f>
        <v>869.292858</v>
      </c>
      <c r="N89" s="43">
        <f>M89+621.371</f>
        <v>1490.663858</v>
      </c>
      <c r="O89" s="40">
        <v>4488.5529675</v>
      </c>
      <c r="P89" s="41">
        <f>O89/5</f>
        <v>897.7105935</v>
      </c>
      <c r="Q89" s="41">
        <f>P89+621.371</f>
        <v>1519.0815935</v>
      </c>
      <c r="R89" s="42">
        <v>4617.7244925</v>
      </c>
      <c r="S89" s="43">
        <f>R89/5</f>
        <v>923.5448985</v>
      </c>
      <c r="T89" s="43">
        <f>S89+621.371</f>
        <v>1544.9158985</v>
      </c>
      <c r="U89" s="40">
        <v>4759.81317</v>
      </c>
      <c r="V89" s="41">
        <f>U89/5</f>
        <v>951.962634</v>
      </c>
      <c r="W89" s="41">
        <f>V89+621.371</f>
        <v>1573.333634</v>
      </c>
      <c r="X89" s="42">
        <v>4901.9018475</v>
      </c>
      <c r="Y89" s="43">
        <f>X89/5</f>
        <v>980.3803695</v>
      </c>
      <c r="Z89" s="43">
        <f>Y89+621.371</f>
        <v>1601.7513695</v>
      </c>
      <c r="AA89" s="40">
        <v>5043.990525</v>
      </c>
      <c r="AB89" s="41">
        <f>AA89/5</f>
        <v>1008.798105</v>
      </c>
      <c r="AC89" s="41">
        <f>AB89+621.371</f>
        <v>1630.169105</v>
      </c>
      <c r="AD89" s="42">
        <v>5289.4164225</v>
      </c>
      <c r="AE89" s="43">
        <f>AD89/5</f>
        <v>1057.8832845</v>
      </c>
      <c r="AF89" s="43">
        <f>AE89+621.371</f>
        <v>1679.2542845</v>
      </c>
      <c r="AG89" s="44">
        <v>5689.84815</v>
      </c>
      <c r="AH89" s="45">
        <f>AG89/5</f>
        <v>1137.96963</v>
      </c>
      <c r="AI89" s="45">
        <f>AH89+621.371</f>
        <v>1759.34063</v>
      </c>
    </row>
    <row r="90" ht="15" customHeight="1" spans="1:35">
      <c r="A90" s="68"/>
      <c r="B90" s="35"/>
      <c r="C90" s="36"/>
      <c r="D90" s="36"/>
      <c r="E90" s="67">
        <v>0</v>
      </c>
      <c r="F90" s="37" t="s">
        <v>59</v>
      </c>
      <c r="G90" s="38" t="s">
        <v>59</v>
      </c>
      <c r="H90" s="39" t="s">
        <v>59</v>
      </c>
      <c r="I90" s="40" t="s">
        <v>59</v>
      </c>
      <c r="L90" s="42" t="s">
        <v>59</v>
      </c>
      <c r="O90" s="40" t="s">
        <v>59</v>
      </c>
      <c r="R90" s="42" t="s">
        <v>59</v>
      </c>
      <c r="U90" s="40" t="s">
        <v>59</v>
      </c>
      <c r="X90" s="42" t="s">
        <v>59</v>
      </c>
      <c r="AA90" s="40" t="s">
        <v>59</v>
      </c>
      <c r="AD90" s="42" t="s">
        <v>59</v>
      </c>
      <c r="AG90" s="44" t="s">
        <v>59</v>
      </c>
    </row>
    <row r="91" ht="15" customHeight="1" spans="1:35">
      <c r="A91" s="68"/>
      <c r="B91" s="35" t="s">
        <v>125</v>
      </c>
      <c r="C91" s="36">
        <v>0.3</v>
      </c>
      <c r="D91" s="36">
        <v>0.6</v>
      </c>
      <c r="E91" s="67">
        <v>0</v>
      </c>
      <c r="F91" s="37">
        <v>0.18</v>
      </c>
      <c r="G91" s="38">
        <v>0.3</v>
      </c>
      <c r="H91" s="39">
        <v>4.1</v>
      </c>
      <c r="I91" s="40">
        <v>696.10849875</v>
      </c>
      <c r="J91" s="41">
        <f>I91/5</f>
        <v>139.22169975</v>
      </c>
      <c r="K91" s="41">
        <f>J91+19.7889</f>
        <v>159.01059975</v>
      </c>
      <c r="L91" s="42">
        <v>730.291695</v>
      </c>
      <c r="M91" s="43">
        <f>L91/5</f>
        <v>146.058339</v>
      </c>
      <c r="N91" s="43">
        <f>M91+19.7889</f>
        <v>165.847239</v>
      </c>
      <c r="O91" s="40">
        <v>784.00814625</v>
      </c>
      <c r="P91" s="41">
        <f>O91/5</f>
        <v>156.80162925</v>
      </c>
      <c r="Q91" s="41">
        <f>P91+19.7889</f>
        <v>176.59052925</v>
      </c>
      <c r="R91" s="42">
        <v>832.84128375</v>
      </c>
      <c r="S91" s="43">
        <f>R91/5</f>
        <v>166.56825675</v>
      </c>
      <c r="T91" s="43">
        <f>S91+19.7889</f>
        <v>186.35715675</v>
      </c>
      <c r="U91" s="40">
        <v>886.557735</v>
      </c>
      <c r="V91" s="41">
        <f>U91/5</f>
        <v>177.311547</v>
      </c>
      <c r="W91" s="41">
        <f>V91+19.7889</f>
        <v>197.100447</v>
      </c>
      <c r="X91" s="42">
        <v>940.27418625</v>
      </c>
      <c r="Y91" s="43">
        <f>X91/5</f>
        <v>188.05483725</v>
      </c>
      <c r="Z91" s="43">
        <f>Y91+19.7889</f>
        <v>207.84373725</v>
      </c>
      <c r="AA91" s="40">
        <v>993.9906375</v>
      </c>
      <c r="AB91" s="41">
        <f>AA91/5</f>
        <v>198.7981275</v>
      </c>
      <c r="AC91" s="41">
        <f>AB91+19.7889</f>
        <v>218.5870275</v>
      </c>
      <c r="AD91" s="42">
        <v>1086.77359875</v>
      </c>
      <c r="AE91" s="43">
        <f>AD91/5</f>
        <v>217.35471975</v>
      </c>
      <c r="AF91" s="43">
        <f>AE91+19.7889</f>
        <v>237.14361975</v>
      </c>
      <c r="AG91" s="44">
        <v>1238.156325</v>
      </c>
      <c r="AH91" s="45">
        <f>AG91/5</f>
        <v>247.631265</v>
      </c>
      <c r="AI91" s="45">
        <f>AH91+19.7889</f>
        <v>267.420165</v>
      </c>
    </row>
    <row r="92" ht="15" customHeight="1" spans="1:35">
      <c r="A92" s="70"/>
      <c r="B92" s="35"/>
      <c r="C92" s="36"/>
      <c r="D92" s="36"/>
      <c r="E92" s="67">
        <v>0</v>
      </c>
      <c r="F92" s="37" t="s">
        <v>59</v>
      </c>
      <c r="G92" s="38" t="s">
        <v>59</v>
      </c>
      <c r="H92" s="39" t="s">
        <v>59</v>
      </c>
      <c r="I92" s="40" t="s">
        <v>59</v>
      </c>
      <c r="L92" s="42" t="s">
        <v>59</v>
      </c>
      <c r="O92" s="40" t="s">
        <v>59</v>
      </c>
      <c r="R92" s="42" t="s">
        <v>59</v>
      </c>
      <c r="U92" s="40" t="s">
        <v>59</v>
      </c>
      <c r="X92" s="42" t="s">
        <v>59</v>
      </c>
      <c r="AA92" s="40" t="s">
        <v>59</v>
      </c>
      <c r="AD92" s="42" t="s">
        <v>59</v>
      </c>
      <c r="AG92" s="44" t="s">
        <v>59</v>
      </c>
    </row>
    <row r="93" ht="15" customHeight="1" spans="1:35">
      <c r="A93" s="25" t="s">
        <v>126</v>
      </c>
      <c r="B93" s="26" t="s">
        <v>37</v>
      </c>
      <c r="C93" s="27" t="s">
        <v>38</v>
      </c>
      <c r="D93" s="27" t="s">
        <v>39</v>
      </c>
      <c r="E93" s="66" t="s">
        <v>40</v>
      </c>
      <c r="F93" s="28" t="s">
        <v>41</v>
      </c>
      <c r="G93" s="28" t="s">
        <v>42</v>
      </c>
      <c r="H93" s="29" t="s">
        <v>43</v>
      </c>
      <c r="I93" s="51" t="s">
        <v>44</v>
      </c>
      <c r="J93" s="31" t="s">
        <v>45</v>
      </c>
      <c r="K93" s="31" t="s">
        <v>46</v>
      </c>
      <c r="L93" s="51" t="s">
        <v>47</v>
      </c>
      <c r="M93" s="31" t="s">
        <v>45</v>
      </c>
      <c r="N93" s="31" t="s">
        <v>46</v>
      </c>
      <c r="O93" s="51" t="s">
        <v>48</v>
      </c>
      <c r="P93" s="31" t="s">
        <v>45</v>
      </c>
      <c r="Q93" s="31" t="s">
        <v>46</v>
      </c>
      <c r="R93" s="51" t="s">
        <v>49</v>
      </c>
      <c r="S93" s="31" t="s">
        <v>45</v>
      </c>
      <c r="T93" s="31" t="s">
        <v>46</v>
      </c>
      <c r="U93" s="51" t="s">
        <v>50</v>
      </c>
      <c r="V93" s="31" t="s">
        <v>45</v>
      </c>
      <c r="W93" s="31" t="s">
        <v>46</v>
      </c>
      <c r="X93" s="51" t="s">
        <v>51</v>
      </c>
      <c r="Y93" s="31" t="s">
        <v>45</v>
      </c>
      <c r="Z93" s="31" t="s">
        <v>46</v>
      </c>
      <c r="AA93" s="51" t="s">
        <v>52</v>
      </c>
      <c r="AB93" s="31" t="s">
        <v>45</v>
      </c>
      <c r="AC93" s="31" t="s">
        <v>46</v>
      </c>
      <c r="AD93" s="51" t="s">
        <v>53</v>
      </c>
      <c r="AE93" s="31" t="s">
        <v>45</v>
      </c>
      <c r="AF93" s="31" t="s">
        <v>46</v>
      </c>
      <c r="AG93" s="52" t="s">
        <v>54</v>
      </c>
      <c r="AH93" s="33" t="s">
        <v>45</v>
      </c>
      <c r="AI93" s="33" t="s">
        <v>46</v>
      </c>
    </row>
    <row r="94" ht="15" customHeight="1" spans="1:35">
      <c r="A94" s="34"/>
      <c r="B94" s="35" t="s">
        <v>127</v>
      </c>
      <c r="C94" s="36">
        <v>2.06</v>
      </c>
      <c r="D94" s="36">
        <v>0.98</v>
      </c>
      <c r="E94" s="67">
        <v>0</v>
      </c>
      <c r="F94" s="37">
        <v>2.0188</v>
      </c>
      <c r="G94" s="38">
        <v>0.87</v>
      </c>
      <c r="H94" s="39">
        <v>14.6</v>
      </c>
      <c r="I94" s="40">
        <v>6412.2912</v>
      </c>
      <c r="J94" s="41">
        <f t="shared" ref="J94:J99" si="63">I94/5</f>
        <v>1282.45824</v>
      </c>
      <c r="K94" s="41">
        <f t="shared" ref="K94:K99" si="64">J94+965.6976</f>
        <v>2248.15584</v>
      </c>
      <c r="L94" s="42">
        <v>6548.2368</v>
      </c>
      <c r="M94" s="43">
        <f t="shared" ref="M94:M99" si="65">L94/5</f>
        <v>1309.64736</v>
      </c>
      <c r="N94" s="43">
        <f t="shared" ref="N94:N99" si="66">M94+965.6976</f>
        <v>2275.34496</v>
      </c>
      <c r="O94" s="40">
        <v>6761.8656</v>
      </c>
      <c r="P94" s="41">
        <f t="shared" ref="P94:P99" si="67">O94/5</f>
        <v>1352.37312</v>
      </c>
      <c r="Q94" s="41">
        <f t="shared" ref="Q94:Q99" si="68">P94+965.6976</f>
        <v>2318.07072</v>
      </c>
      <c r="R94" s="42">
        <v>6956.0736</v>
      </c>
      <c r="S94" s="43">
        <f t="shared" ref="S94:S99" si="69">R94/5</f>
        <v>1391.21472</v>
      </c>
      <c r="T94" s="43">
        <f t="shared" ref="T94:T99" si="70">S94+965.6976</f>
        <v>2356.91232</v>
      </c>
      <c r="U94" s="40">
        <v>7169.7024</v>
      </c>
      <c r="V94" s="41">
        <f t="shared" ref="V94:V99" si="71">U94/5</f>
        <v>1433.94048</v>
      </c>
      <c r="W94" s="41">
        <f t="shared" ref="W94:W99" si="72">V94+965.6976</f>
        <v>2399.63808</v>
      </c>
      <c r="X94" s="42">
        <v>7383.3312</v>
      </c>
      <c r="Y94" s="43">
        <f t="shared" ref="Y94:Y99" si="73">X94/5</f>
        <v>1476.66624</v>
      </c>
      <c r="Z94" s="43">
        <f t="shared" ref="Z94:Z99" si="74">Y94+965.6976</f>
        <v>2442.36384</v>
      </c>
      <c r="AA94" s="40">
        <v>7596.96</v>
      </c>
      <c r="AB94" s="41">
        <f t="shared" ref="AB94:AB99" si="75">AA94/5</f>
        <v>1519.392</v>
      </c>
      <c r="AC94" s="41">
        <f t="shared" ref="AC94:AC99" si="76">AB94+965.6976</f>
        <v>2485.0896</v>
      </c>
      <c r="AD94" s="42">
        <v>7965.9552</v>
      </c>
      <c r="AE94" s="43">
        <f t="shared" ref="AE94:AE99" si="77">AD94/5</f>
        <v>1593.19104</v>
      </c>
      <c r="AF94" s="43">
        <f t="shared" ref="AF94:AF99" si="78">AE94+965.6976</f>
        <v>2558.88864</v>
      </c>
      <c r="AG94" s="44">
        <v>8568</v>
      </c>
      <c r="AH94" s="45">
        <f t="shared" ref="AH94:AH99" si="79">AG94/5</f>
        <v>1713.6</v>
      </c>
      <c r="AI94" s="45">
        <f t="shared" ref="AI94:AI99" si="80">AH94+965.6976</f>
        <v>2679.2976</v>
      </c>
    </row>
    <row r="95" ht="15" customHeight="1" spans="1:35">
      <c r="A95" s="34"/>
      <c r="B95" s="35" t="s">
        <v>128</v>
      </c>
      <c r="C95" s="36">
        <v>2.26</v>
      </c>
      <c r="D95" s="36">
        <v>0.98</v>
      </c>
      <c r="E95" s="67">
        <v>0</v>
      </c>
      <c r="F95" s="37">
        <v>2.2148</v>
      </c>
      <c r="G95" s="38">
        <v>0.87</v>
      </c>
      <c r="H95" s="39">
        <v>15.4</v>
      </c>
      <c r="I95" s="40">
        <v>6591.0768</v>
      </c>
      <c r="J95" s="41">
        <f t="shared" si="63"/>
        <v>1318.21536</v>
      </c>
      <c r="K95" s="41">
        <f t="shared" si="64"/>
        <v>2283.91296</v>
      </c>
      <c r="L95" s="42">
        <v>6735.0192</v>
      </c>
      <c r="M95" s="43">
        <f t="shared" si="65"/>
        <v>1347.00384</v>
      </c>
      <c r="N95" s="43">
        <f t="shared" si="66"/>
        <v>2312.70144</v>
      </c>
      <c r="O95" s="40">
        <v>6961.2144</v>
      </c>
      <c r="P95" s="41">
        <f t="shared" si="67"/>
        <v>1392.24288</v>
      </c>
      <c r="Q95" s="41">
        <f t="shared" si="68"/>
        <v>2357.94048</v>
      </c>
      <c r="R95" s="42">
        <v>7166.8464</v>
      </c>
      <c r="S95" s="43">
        <f t="shared" si="69"/>
        <v>1433.36928</v>
      </c>
      <c r="T95" s="43">
        <f t="shared" si="70"/>
        <v>2399.06688</v>
      </c>
      <c r="U95" s="40">
        <v>7393.0416</v>
      </c>
      <c r="V95" s="41">
        <f t="shared" si="71"/>
        <v>1478.60832</v>
      </c>
      <c r="W95" s="41">
        <f t="shared" si="72"/>
        <v>2444.30592</v>
      </c>
      <c r="X95" s="42">
        <v>7619.2368</v>
      </c>
      <c r="Y95" s="43">
        <f t="shared" si="73"/>
        <v>1523.84736</v>
      </c>
      <c r="Z95" s="43">
        <f t="shared" si="74"/>
        <v>2489.54496</v>
      </c>
      <c r="AA95" s="40">
        <v>7845.432</v>
      </c>
      <c r="AB95" s="41">
        <f t="shared" si="75"/>
        <v>1569.0864</v>
      </c>
      <c r="AC95" s="41">
        <f t="shared" si="76"/>
        <v>2534.784</v>
      </c>
      <c r="AD95" s="42">
        <v>8236.1328</v>
      </c>
      <c r="AE95" s="43">
        <f t="shared" si="77"/>
        <v>1647.22656</v>
      </c>
      <c r="AF95" s="43">
        <f t="shared" si="78"/>
        <v>2612.92416</v>
      </c>
      <c r="AG95" s="44">
        <v>8873.592</v>
      </c>
      <c r="AH95" s="45">
        <f t="shared" si="79"/>
        <v>1774.7184</v>
      </c>
      <c r="AI95" s="45">
        <f t="shared" si="80"/>
        <v>2740.416</v>
      </c>
    </row>
    <row r="96" ht="15" customHeight="1" spans="1:35">
      <c r="A96" s="34"/>
      <c r="B96" s="35" t="s">
        <v>129</v>
      </c>
      <c r="C96" s="36">
        <v>2.46</v>
      </c>
      <c r="D96" s="36">
        <v>0.98</v>
      </c>
      <c r="E96" s="67">
        <v>0</v>
      </c>
      <c r="F96" s="37">
        <v>2.4108</v>
      </c>
      <c r="G96" s="38">
        <v>0.87</v>
      </c>
      <c r="H96" s="39">
        <v>16.2</v>
      </c>
      <c r="I96" s="40">
        <v>6778.4304</v>
      </c>
      <c r="J96" s="41">
        <f t="shared" si="63"/>
        <v>1355.68608</v>
      </c>
      <c r="K96" s="41">
        <f t="shared" si="64"/>
        <v>2321.38368</v>
      </c>
      <c r="L96" s="42">
        <v>6930.3696</v>
      </c>
      <c r="M96" s="43">
        <f t="shared" si="65"/>
        <v>1386.07392</v>
      </c>
      <c r="N96" s="43">
        <f t="shared" si="66"/>
        <v>2351.77152</v>
      </c>
      <c r="O96" s="40">
        <v>7169.1312</v>
      </c>
      <c r="P96" s="41">
        <f t="shared" si="67"/>
        <v>1433.82624</v>
      </c>
      <c r="Q96" s="41">
        <f t="shared" si="68"/>
        <v>2399.52384</v>
      </c>
      <c r="R96" s="42">
        <v>7386.1872</v>
      </c>
      <c r="S96" s="43">
        <f t="shared" si="69"/>
        <v>1477.23744</v>
      </c>
      <c r="T96" s="43">
        <f t="shared" si="70"/>
        <v>2442.93504</v>
      </c>
      <c r="U96" s="40">
        <v>7624.9488</v>
      </c>
      <c r="V96" s="41">
        <f t="shared" si="71"/>
        <v>1524.98976</v>
      </c>
      <c r="W96" s="41">
        <f t="shared" si="72"/>
        <v>2490.68736</v>
      </c>
      <c r="X96" s="42">
        <v>7863.7104</v>
      </c>
      <c r="Y96" s="43">
        <f t="shared" si="73"/>
        <v>1572.74208</v>
      </c>
      <c r="Z96" s="43">
        <f t="shared" si="74"/>
        <v>2538.43968</v>
      </c>
      <c r="AA96" s="40">
        <v>8102.472</v>
      </c>
      <c r="AB96" s="41">
        <f t="shared" si="75"/>
        <v>1620.4944</v>
      </c>
      <c r="AC96" s="41">
        <f t="shared" si="76"/>
        <v>2586.192</v>
      </c>
      <c r="AD96" s="42">
        <v>8514.8784</v>
      </c>
      <c r="AE96" s="43">
        <f t="shared" si="77"/>
        <v>1702.97568</v>
      </c>
      <c r="AF96" s="43">
        <f t="shared" si="78"/>
        <v>2668.67328</v>
      </c>
      <c r="AG96" s="44">
        <v>9187.752</v>
      </c>
      <c r="AH96" s="45">
        <f t="shared" si="79"/>
        <v>1837.5504</v>
      </c>
      <c r="AI96" s="45">
        <f t="shared" si="80"/>
        <v>2803.248</v>
      </c>
    </row>
    <row r="97" ht="15" customHeight="1" spans="1:35">
      <c r="A97" s="34"/>
      <c r="B97" s="35" t="s">
        <v>130</v>
      </c>
      <c r="C97" s="36">
        <v>2.66</v>
      </c>
      <c r="D97" s="36">
        <v>0.98</v>
      </c>
      <c r="E97" s="67">
        <v>0</v>
      </c>
      <c r="F97" s="37">
        <v>2.6068</v>
      </c>
      <c r="G97" s="38">
        <v>0.87</v>
      </c>
      <c r="H97" s="39">
        <v>18.2</v>
      </c>
      <c r="I97" s="40">
        <v>7155.4224</v>
      </c>
      <c r="J97" s="41">
        <f t="shared" si="63"/>
        <v>1431.08448</v>
      </c>
      <c r="K97" s="41">
        <f t="shared" si="64"/>
        <v>2396.78208</v>
      </c>
      <c r="L97" s="42">
        <v>7327.3536</v>
      </c>
      <c r="M97" s="43">
        <f t="shared" si="65"/>
        <v>1465.47072</v>
      </c>
      <c r="N97" s="43">
        <f t="shared" si="66"/>
        <v>2431.16832</v>
      </c>
      <c r="O97" s="40">
        <v>7597.5312</v>
      </c>
      <c r="P97" s="41">
        <f t="shared" si="67"/>
        <v>1519.50624</v>
      </c>
      <c r="Q97" s="41">
        <f t="shared" si="68"/>
        <v>2485.20384</v>
      </c>
      <c r="R97" s="42">
        <v>7843.1472</v>
      </c>
      <c r="S97" s="43">
        <f t="shared" si="69"/>
        <v>1568.62944</v>
      </c>
      <c r="T97" s="43">
        <f t="shared" si="70"/>
        <v>2534.32704</v>
      </c>
      <c r="U97" s="40">
        <v>8113.3248</v>
      </c>
      <c r="V97" s="41">
        <f t="shared" si="71"/>
        <v>1622.66496</v>
      </c>
      <c r="W97" s="41">
        <f t="shared" si="72"/>
        <v>2588.36256</v>
      </c>
      <c r="X97" s="42">
        <v>8383.5024</v>
      </c>
      <c r="Y97" s="43">
        <f t="shared" si="73"/>
        <v>1676.70048</v>
      </c>
      <c r="Z97" s="43">
        <f t="shared" si="74"/>
        <v>2642.39808</v>
      </c>
      <c r="AA97" s="40">
        <v>8653.68</v>
      </c>
      <c r="AB97" s="41">
        <f t="shared" si="75"/>
        <v>1730.736</v>
      </c>
      <c r="AC97" s="41">
        <f t="shared" si="76"/>
        <v>2696.4336</v>
      </c>
      <c r="AD97" s="42">
        <v>9120.3504</v>
      </c>
      <c r="AE97" s="43">
        <f t="shared" si="77"/>
        <v>1824.07008</v>
      </c>
      <c r="AF97" s="43">
        <f t="shared" si="78"/>
        <v>2789.76768</v>
      </c>
      <c r="AG97" s="44">
        <v>9881.76</v>
      </c>
      <c r="AH97" s="45">
        <f t="shared" si="79"/>
        <v>1976.352</v>
      </c>
      <c r="AI97" s="45">
        <f t="shared" si="80"/>
        <v>2942.0496</v>
      </c>
    </row>
    <row r="98" ht="15" customHeight="1" spans="1:35">
      <c r="A98" s="34"/>
      <c r="B98" s="35" t="s">
        <v>131</v>
      </c>
      <c r="C98" s="36">
        <v>2.86</v>
      </c>
      <c r="D98" s="36">
        <v>0.98</v>
      </c>
      <c r="E98" s="67">
        <v>0</v>
      </c>
      <c r="F98" s="37">
        <v>2.8028</v>
      </c>
      <c r="G98" s="38">
        <v>0.87</v>
      </c>
      <c r="H98" s="39">
        <v>18.8</v>
      </c>
      <c r="I98" s="40">
        <v>7320.2136</v>
      </c>
      <c r="J98" s="41">
        <f t="shared" si="63"/>
        <v>1464.04272</v>
      </c>
      <c r="K98" s="41">
        <f t="shared" si="64"/>
        <v>2429.74032</v>
      </c>
      <c r="L98" s="42">
        <v>7498.1424</v>
      </c>
      <c r="M98" s="43">
        <f t="shared" si="65"/>
        <v>1499.62848</v>
      </c>
      <c r="N98" s="43">
        <f t="shared" si="66"/>
        <v>2465.32608</v>
      </c>
      <c r="O98" s="40">
        <v>7777.7448</v>
      </c>
      <c r="P98" s="41">
        <f t="shared" si="67"/>
        <v>1555.54896</v>
      </c>
      <c r="Q98" s="41">
        <f t="shared" si="68"/>
        <v>2521.24656</v>
      </c>
      <c r="R98" s="42">
        <v>8031.9288</v>
      </c>
      <c r="S98" s="43">
        <f t="shared" si="69"/>
        <v>1606.38576</v>
      </c>
      <c r="T98" s="43">
        <f t="shared" si="70"/>
        <v>2572.08336</v>
      </c>
      <c r="U98" s="40">
        <v>8311.5312</v>
      </c>
      <c r="V98" s="41">
        <f t="shared" si="71"/>
        <v>1662.30624</v>
      </c>
      <c r="W98" s="41">
        <f t="shared" si="72"/>
        <v>2628.00384</v>
      </c>
      <c r="X98" s="42">
        <v>8591.1336</v>
      </c>
      <c r="Y98" s="43">
        <f t="shared" si="73"/>
        <v>1718.22672</v>
      </c>
      <c r="Z98" s="43">
        <f t="shared" si="74"/>
        <v>2683.92432</v>
      </c>
      <c r="AA98" s="40">
        <v>8870.736</v>
      </c>
      <c r="AB98" s="41">
        <f t="shared" si="75"/>
        <v>1774.1472</v>
      </c>
      <c r="AC98" s="41">
        <f t="shared" si="76"/>
        <v>2739.8448</v>
      </c>
      <c r="AD98" s="42">
        <v>9353.6856</v>
      </c>
      <c r="AE98" s="43">
        <f t="shared" si="77"/>
        <v>1870.73712</v>
      </c>
      <c r="AF98" s="43">
        <f t="shared" si="78"/>
        <v>2836.43472</v>
      </c>
      <c r="AG98" s="44">
        <v>10141.656</v>
      </c>
      <c r="AH98" s="45">
        <f t="shared" si="79"/>
        <v>2028.3312</v>
      </c>
      <c r="AI98" s="45">
        <f t="shared" si="80"/>
        <v>2994.0288</v>
      </c>
    </row>
    <row r="99" ht="15" customHeight="1" spans="1:35">
      <c r="A99" s="34"/>
      <c r="B99" s="35" t="s">
        <v>132</v>
      </c>
      <c r="C99" s="36">
        <v>3.06</v>
      </c>
      <c r="D99" s="36">
        <v>0.98</v>
      </c>
      <c r="E99" s="67">
        <v>0</v>
      </c>
      <c r="F99" s="37">
        <v>2.9988</v>
      </c>
      <c r="G99" s="38">
        <v>0.87</v>
      </c>
      <c r="H99" s="39">
        <v>19.4</v>
      </c>
      <c r="I99" s="40">
        <v>7527.8448</v>
      </c>
      <c r="J99" s="41">
        <f t="shared" si="63"/>
        <v>1505.56896</v>
      </c>
      <c r="K99" s="41">
        <f t="shared" si="64"/>
        <v>2471.26656</v>
      </c>
      <c r="L99" s="42">
        <v>7711.7712</v>
      </c>
      <c r="M99" s="43">
        <f t="shared" si="65"/>
        <v>1542.35424</v>
      </c>
      <c r="N99" s="43">
        <f t="shared" si="66"/>
        <v>2508.05184</v>
      </c>
      <c r="O99" s="40">
        <v>8000.7984</v>
      </c>
      <c r="P99" s="41">
        <f t="shared" si="67"/>
        <v>1600.15968</v>
      </c>
      <c r="Q99" s="41">
        <f t="shared" si="68"/>
        <v>2565.85728</v>
      </c>
      <c r="R99" s="42">
        <v>8263.5504</v>
      </c>
      <c r="S99" s="43">
        <f t="shared" si="69"/>
        <v>1652.71008</v>
      </c>
      <c r="T99" s="43">
        <f t="shared" si="70"/>
        <v>2618.40768</v>
      </c>
      <c r="U99" s="40">
        <v>8552.5776</v>
      </c>
      <c r="V99" s="41">
        <f t="shared" si="71"/>
        <v>1710.51552</v>
      </c>
      <c r="W99" s="41">
        <f t="shared" si="72"/>
        <v>2676.21312</v>
      </c>
      <c r="X99" s="42">
        <v>8841.6048</v>
      </c>
      <c r="Y99" s="43">
        <f t="shared" si="73"/>
        <v>1768.32096</v>
      </c>
      <c r="Z99" s="43">
        <f t="shared" si="74"/>
        <v>2734.01856</v>
      </c>
      <c r="AA99" s="40">
        <v>9130.632</v>
      </c>
      <c r="AB99" s="41">
        <f t="shared" si="75"/>
        <v>1826.1264</v>
      </c>
      <c r="AC99" s="41">
        <f t="shared" si="76"/>
        <v>2791.824</v>
      </c>
      <c r="AD99" s="42">
        <v>9629.8608</v>
      </c>
      <c r="AE99" s="43">
        <f t="shared" si="77"/>
        <v>1925.97216</v>
      </c>
      <c r="AF99" s="43">
        <f t="shared" si="78"/>
        <v>2891.66976</v>
      </c>
      <c r="AG99" s="44">
        <v>10444.392</v>
      </c>
      <c r="AH99" s="45">
        <f t="shared" si="79"/>
        <v>2088.8784</v>
      </c>
      <c r="AI99" s="45">
        <f t="shared" si="80"/>
        <v>3054.576</v>
      </c>
    </row>
    <row r="100" ht="15" customHeight="1" spans="1:35">
      <c r="A100" s="34"/>
      <c r="B100" s="35"/>
      <c r="C100" s="36"/>
      <c r="D100" s="36"/>
      <c r="E100" s="67">
        <v>0</v>
      </c>
      <c r="F100" s="37" t="s">
        <v>59</v>
      </c>
      <c r="G100" s="38" t="s">
        <v>59</v>
      </c>
      <c r="H100" s="39" t="s">
        <v>59</v>
      </c>
      <c r="I100" s="40" t="s">
        <v>59</v>
      </c>
      <c r="L100" s="42" t="s">
        <v>59</v>
      </c>
      <c r="O100" s="40" t="s">
        <v>59</v>
      </c>
      <c r="R100" s="42" t="s">
        <v>59</v>
      </c>
      <c r="U100" s="40" t="s">
        <v>59</v>
      </c>
      <c r="X100" s="42" t="s">
        <v>59</v>
      </c>
      <c r="AA100" s="40" t="s">
        <v>59</v>
      </c>
      <c r="AD100" s="42" t="s">
        <v>59</v>
      </c>
      <c r="AG100" s="44" t="s">
        <v>59</v>
      </c>
    </row>
    <row r="101" ht="15" customHeight="1" spans="1:35">
      <c r="A101" s="34"/>
      <c r="B101" s="35" t="s">
        <v>133</v>
      </c>
      <c r="C101" s="36">
        <v>2.06</v>
      </c>
      <c r="D101" s="36">
        <v>0.98</v>
      </c>
      <c r="E101" s="67">
        <v>0</v>
      </c>
      <c r="F101" s="37">
        <v>2.0188</v>
      </c>
      <c r="G101" s="38">
        <v>0.87</v>
      </c>
      <c r="H101" s="39">
        <v>1</v>
      </c>
      <c r="I101" s="40"/>
      <c r="L101" s="42"/>
      <c r="O101" s="40"/>
      <c r="R101" s="42">
        <v>5771.976</v>
      </c>
      <c r="S101" s="43">
        <f t="shared" ref="S101:S106" si="81">R101/5</f>
        <v>1154.3952</v>
      </c>
      <c r="T101" s="43">
        <f t="shared" ref="T101:T106" si="82">S101+965.6976</f>
        <v>2120.0928</v>
      </c>
      <c r="U101" s="40"/>
      <c r="X101" s="42"/>
      <c r="AA101" s="40"/>
      <c r="AD101" s="42"/>
      <c r="AG101" s="44"/>
    </row>
    <row r="102" ht="15" customHeight="1" spans="1:35">
      <c r="A102" s="46" t="s">
        <v>109</v>
      </c>
      <c r="B102" s="35" t="s">
        <v>134</v>
      </c>
      <c r="C102" s="36">
        <v>2.26</v>
      </c>
      <c r="D102" s="36">
        <v>0.98</v>
      </c>
      <c r="E102" s="67">
        <v>0</v>
      </c>
      <c r="F102" s="37">
        <v>2.2148</v>
      </c>
      <c r="G102" s="38">
        <v>0.87</v>
      </c>
      <c r="H102" s="39">
        <v>1</v>
      </c>
      <c r="I102" s="40"/>
      <c r="L102" s="42"/>
      <c r="O102" s="40"/>
      <c r="R102" s="42">
        <v>5914.776</v>
      </c>
      <c r="S102" s="43">
        <f t="shared" si="81"/>
        <v>1182.9552</v>
      </c>
      <c r="T102" s="43">
        <f t="shared" si="82"/>
        <v>2148.6528</v>
      </c>
      <c r="U102" s="40"/>
      <c r="X102" s="42"/>
      <c r="AA102" s="40"/>
      <c r="AD102" s="42"/>
      <c r="AG102" s="44"/>
    </row>
    <row r="103" ht="15" customHeight="1" spans="1:35">
      <c r="A103" s="34"/>
      <c r="B103" s="35" t="s">
        <v>135</v>
      </c>
      <c r="C103" s="36">
        <v>2.46</v>
      </c>
      <c r="D103" s="36">
        <v>0.98</v>
      </c>
      <c r="E103" s="67">
        <v>0</v>
      </c>
      <c r="F103" s="37">
        <v>2.4108</v>
      </c>
      <c r="G103" s="38">
        <v>0.87</v>
      </c>
      <c r="H103" s="39">
        <v>1</v>
      </c>
      <c r="I103" s="40"/>
      <c r="L103" s="42"/>
      <c r="O103" s="40"/>
      <c r="R103" s="42">
        <v>6063.288</v>
      </c>
      <c r="S103" s="43">
        <f t="shared" si="81"/>
        <v>1212.6576</v>
      </c>
      <c r="T103" s="43">
        <f t="shared" si="82"/>
        <v>2178.3552</v>
      </c>
      <c r="U103" s="40"/>
      <c r="X103" s="42"/>
      <c r="AA103" s="40"/>
      <c r="AD103" s="42"/>
      <c r="AG103" s="44"/>
    </row>
    <row r="104" ht="15" customHeight="1" spans="1:35">
      <c r="A104" s="34"/>
      <c r="B104" s="35" t="s">
        <v>136</v>
      </c>
      <c r="C104" s="36">
        <v>2.66</v>
      </c>
      <c r="D104" s="36">
        <v>0.98</v>
      </c>
      <c r="E104" s="67">
        <v>0</v>
      </c>
      <c r="F104" s="37">
        <v>2.6068</v>
      </c>
      <c r="G104" s="38">
        <v>0.87</v>
      </c>
      <c r="H104" s="39">
        <v>1</v>
      </c>
      <c r="I104" s="40"/>
      <c r="L104" s="42"/>
      <c r="O104" s="40"/>
      <c r="R104" s="42">
        <v>6343.176</v>
      </c>
      <c r="S104" s="43">
        <f t="shared" si="81"/>
        <v>1268.6352</v>
      </c>
      <c r="T104" s="43">
        <f t="shared" si="82"/>
        <v>2234.3328</v>
      </c>
      <c r="U104" s="40"/>
      <c r="X104" s="42"/>
      <c r="AA104" s="40"/>
      <c r="AD104" s="42"/>
      <c r="AG104" s="44"/>
    </row>
    <row r="105" ht="15" customHeight="1" spans="1:35">
      <c r="A105" s="34"/>
      <c r="B105" s="35" t="s">
        <v>137</v>
      </c>
      <c r="C105" s="36">
        <v>2.86</v>
      </c>
      <c r="D105" s="36">
        <v>0.98</v>
      </c>
      <c r="E105" s="67">
        <v>0</v>
      </c>
      <c r="F105" s="37">
        <v>2.8028</v>
      </c>
      <c r="G105" s="38">
        <v>0.87</v>
      </c>
      <c r="H105" s="39">
        <v>1</v>
      </c>
      <c r="I105" s="40"/>
      <c r="L105" s="42"/>
      <c r="O105" s="40"/>
      <c r="R105" s="42">
        <v>6480.264</v>
      </c>
      <c r="S105" s="43">
        <f t="shared" si="81"/>
        <v>1296.0528</v>
      </c>
      <c r="T105" s="43">
        <f t="shared" si="82"/>
        <v>2261.7504</v>
      </c>
      <c r="U105" s="40"/>
      <c r="X105" s="42"/>
      <c r="AA105" s="40"/>
      <c r="AD105" s="42"/>
      <c r="AG105" s="44"/>
    </row>
    <row r="106" ht="15" customHeight="1" spans="1:35">
      <c r="A106" s="34"/>
      <c r="B106" s="35" t="s">
        <v>138</v>
      </c>
      <c r="C106" s="36">
        <v>3.06</v>
      </c>
      <c r="D106" s="36">
        <v>0.98</v>
      </c>
      <c r="E106" s="67">
        <v>0</v>
      </c>
      <c r="F106" s="37">
        <v>2.9988</v>
      </c>
      <c r="G106" s="38">
        <v>0.87</v>
      </c>
      <c r="H106" s="39">
        <v>1</v>
      </c>
      <c r="I106" s="40"/>
      <c r="L106" s="42"/>
      <c r="O106" s="40"/>
      <c r="R106" s="42">
        <v>6660.192</v>
      </c>
      <c r="S106" s="43">
        <f t="shared" si="81"/>
        <v>1332.0384</v>
      </c>
      <c r="T106" s="43">
        <f t="shared" si="82"/>
        <v>2297.736</v>
      </c>
      <c r="U106" s="40"/>
      <c r="X106" s="42"/>
      <c r="AA106" s="40"/>
      <c r="AD106" s="42"/>
      <c r="AG106" s="44"/>
    </row>
    <row r="107" ht="15" customHeight="1" spans="1:35">
      <c r="A107" s="34"/>
      <c r="B107" s="35"/>
      <c r="C107" s="36"/>
      <c r="D107" s="36"/>
      <c r="E107" s="67">
        <v>0</v>
      </c>
      <c r="F107" s="37" t="s">
        <v>59</v>
      </c>
      <c r="G107" s="38" t="s">
        <v>59</v>
      </c>
      <c r="H107" s="39" t="s">
        <v>59</v>
      </c>
      <c r="I107" s="40" t="s">
        <v>59</v>
      </c>
      <c r="L107" s="42" t="s">
        <v>59</v>
      </c>
      <c r="O107" s="40" t="s">
        <v>59</v>
      </c>
      <c r="R107" s="42" t="s">
        <v>59</v>
      </c>
      <c r="U107" s="40" t="s">
        <v>59</v>
      </c>
      <c r="X107" s="42" t="s">
        <v>59</v>
      </c>
      <c r="AA107" s="40" t="s">
        <v>59</v>
      </c>
      <c r="AD107" s="42" t="s">
        <v>59</v>
      </c>
      <c r="AG107" s="44" t="s">
        <v>59</v>
      </c>
    </row>
    <row r="108" ht="15" customHeight="1" spans="1:35">
      <c r="A108" s="34"/>
      <c r="B108" s="35" t="s">
        <v>139</v>
      </c>
      <c r="C108" s="36">
        <v>2.06</v>
      </c>
      <c r="D108" s="36">
        <v>0.98</v>
      </c>
      <c r="E108" s="67">
        <v>0</v>
      </c>
      <c r="F108" s="37">
        <v>2.0188</v>
      </c>
      <c r="G108" s="38">
        <v>0.87</v>
      </c>
      <c r="H108" s="39">
        <v>13.7</v>
      </c>
      <c r="I108" s="40"/>
      <c r="L108" s="42"/>
      <c r="O108" s="40"/>
      <c r="R108" s="42">
        <v>1529.236275</v>
      </c>
      <c r="S108" s="43">
        <f t="shared" ref="S108:S113" si="83">R108/5</f>
        <v>305.847255</v>
      </c>
      <c r="T108" s="43">
        <f t="shared" ref="T108:T113" si="84">S108+1931.3951</f>
        <v>2237.242355</v>
      </c>
      <c r="U108" s="40"/>
      <c r="X108" s="42"/>
      <c r="AA108" s="40"/>
      <c r="AD108" s="42"/>
      <c r="AG108" s="44"/>
    </row>
    <row r="109" ht="15" customHeight="1" spans="1:35">
      <c r="A109" s="34"/>
      <c r="B109" s="35" t="s">
        <v>140</v>
      </c>
      <c r="C109" s="36">
        <v>2.26</v>
      </c>
      <c r="D109" s="36">
        <v>0.98</v>
      </c>
      <c r="E109" s="67">
        <v>0</v>
      </c>
      <c r="F109" s="37">
        <v>2.2148</v>
      </c>
      <c r="G109" s="38">
        <v>0.87</v>
      </c>
      <c r="H109" s="39">
        <v>14.3</v>
      </c>
      <c r="I109" s="40"/>
      <c r="L109" s="42"/>
      <c r="O109" s="40"/>
      <c r="R109" s="42">
        <v>1599.333225</v>
      </c>
      <c r="S109" s="43">
        <f t="shared" si="83"/>
        <v>319.866645</v>
      </c>
      <c r="T109" s="43">
        <f t="shared" si="84"/>
        <v>2251.261745</v>
      </c>
      <c r="U109" s="40"/>
      <c r="X109" s="42"/>
      <c r="AA109" s="40"/>
      <c r="AD109" s="42"/>
      <c r="AG109" s="44"/>
    </row>
    <row r="110" ht="15" customHeight="1" spans="1:35">
      <c r="A110" s="34"/>
      <c r="B110" s="35" t="s">
        <v>141</v>
      </c>
      <c r="C110" s="36">
        <v>2.46</v>
      </c>
      <c r="D110" s="36">
        <v>0.98</v>
      </c>
      <c r="E110" s="67">
        <v>0</v>
      </c>
      <c r="F110" s="37">
        <v>2.4108</v>
      </c>
      <c r="G110" s="38">
        <v>0.87</v>
      </c>
      <c r="H110" s="39">
        <v>14.9</v>
      </c>
      <c r="I110" s="40"/>
      <c r="L110" s="42"/>
      <c r="O110" s="40"/>
      <c r="R110" s="42">
        <v>1672.464675</v>
      </c>
      <c r="S110" s="43">
        <f t="shared" si="83"/>
        <v>334.492935</v>
      </c>
      <c r="T110" s="43">
        <f t="shared" si="84"/>
        <v>2265.888035</v>
      </c>
      <c r="U110" s="40"/>
      <c r="X110" s="42"/>
      <c r="AA110" s="40"/>
      <c r="AD110" s="42"/>
      <c r="AG110" s="44"/>
    </row>
    <row r="111" ht="15" customHeight="1" spans="1:35">
      <c r="A111" s="34"/>
      <c r="B111" s="35" t="s">
        <v>142</v>
      </c>
      <c r="C111" s="36">
        <v>2.66</v>
      </c>
      <c r="D111" s="36">
        <v>0.98</v>
      </c>
      <c r="E111" s="67">
        <v>0</v>
      </c>
      <c r="F111" s="37">
        <v>2.6068</v>
      </c>
      <c r="G111" s="38">
        <v>0.87</v>
      </c>
      <c r="H111" s="39">
        <v>17.3</v>
      </c>
      <c r="I111" s="40"/>
      <c r="L111" s="42"/>
      <c r="O111" s="40"/>
      <c r="R111" s="42">
        <v>1955.886975</v>
      </c>
      <c r="S111" s="43">
        <f t="shared" si="83"/>
        <v>391.177395</v>
      </c>
      <c r="T111" s="43">
        <f t="shared" si="84"/>
        <v>2322.572495</v>
      </c>
      <c r="U111" s="40"/>
      <c r="X111" s="42"/>
      <c r="AA111" s="40"/>
      <c r="AD111" s="42"/>
      <c r="AG111" s="44"/>
    </row>
    <row r="112" ht="15" customHeight="1" spans="1:35">
      <c r="A112" s="34"/>
      <c r="B112" s="35" t="s">
        <v>143</v>
      </c>
      <c r="C112" s="36">
        <v>2.86</v>
      </c>
      <c r="D112" s="36">
        <v>0.98</v>
      </c>
      <c r="E112" s="67">
        <v>0</v>
      </c>
      <c r="F112" s="37">
        <v>2.8028</v>
      </c>
      <c r="G112" s="38">
        <v>0.87</v>
      </c>
      <c r="H112" s="39">
        <v>17.95</v>
      </c>
      <c r="I112" s="40"/>
      <c r="L112" s="42"/>
      <c r="O112" s="40"/>
      <c r="R112" s="42">
        <v>2031.8253375</v>
      </c>
      <c r="S112" s="43">
        <f t="shared" si="83"/>
        <v>406.3650675</v>
      </c>
      <c r="T112" s="43">
        <f t="shared" si="84"/>
        <v>2337.7601675</v>
      </c>
      <c r="U112" s="40"/>
      <c r="X112" s="42"/>
      <c r="AA112" s="40"/>
      <c r="AD112" s="42"/>
      <c r="AG112" s="44"/>
    </row>
    <row r="113" ht="15" customHeight="1" spans="1:35">
      <c r="A113" s="46" t="s">
        <v>109</v>
      </c>
      <c r="B113" s="35" t="s">
        <v>144</v>
      </c>
      <c r="C113" s="36">
        <v>3.06</v>
      </c>
      <c r="D113" s="36">
        <v>0.98</v>
      </c>
      <c r="E113" s="67">
        <v>0</v>
      </c>
      <c r="F113" s="37">
        <v>2.9988</v>
      </c>
      <c r="G113" s="38">
        <v>0.87</v>
      </c>
      <c r="H113" s="39">
        <v>18.6</v>
      </c>
      <c r="I113" s="40"/>
      <c r="L113" s="42"/>
      <c r="O113" s="40"/>
      <c r="R113" s="42">
        <v>2107.7637</v>
      </c>
      <c r="S113" s="43">
        <f t="shared" si="83"/>
        <v>421.55274</v>
      </c>
      <c r="T113" s="43">
        <f t="shared" si="84"/>
        <v>2352.94784</v>
      </c>
      <c r="U113" s="40"/>
      <c r="X113" s="42"/>
      <c r="AA113" s="40"/>
      <c r="AD113" s="42"/>
      <c r="AG113" s="44"/>
    </row>
    <row r="114" ht="15" customHeight="1" spans="1:35">
      <c r="A114" s="34"/>
      <c r="B114" s="35"/>
      <c r="C114" s="36"/>
      <c r="D114" s="36"/>
      <c r="E114" s="67">
        <v>0</v>
      </c>
      <c r="F114" s="37" t="s">
        <v>59</v>
      </c>
      <c r="G114" s="38" t="s">
        <v>59</v>
      </c>
      <c r="H114" s="39" t="s">
        <v>59</v>
      </c>
      <c r="I114" s="40" t="s">
        <v>59</v>
      </c>
      <c r="L114" s="42" t="s">
        <v>59</v>
      </c>
      <c r="O114" s="40" t="s">
        <v>59</v>
      </c>
      <c r="R114" s="42" t="s">
        <v>59</v>
      </c>
      <c r="U114" s="40" t="s">
        <v>59</v>
      </c>
      <c r="X114" s="42" t="s">
        <v>59</v>
      </c>
      <c r="AA114" s="40" t="s">
        <v>59</v>
      </c>
      <c r="AD114" s="42" t="s">
        <v>59</v>
      </c>
      <c r="AG114" s="44" t="s">
        <v>59</v>
      </c>
    </row>
    <row r="115" ht="15" customHeight="1" spans="1:35">
      <c r="A115" s="46"/>
      <c r="B115" s="35"/>
      <c r="C115" s="36"/>
      <c r="D115" s="36"/>
      <c r="E115" s="67">
        <v>0</v>
      </c>
      <c r="F115" s="37" t="s">
        <v>59</v>
      </c>
      <c r="G115" s="38" t="s">
        <v>59</v>
      </c>
      <c r="H115" s="39" t="s">
        <v>59</v>
      </c>
      <c r="I115" s="40" t="s">
        <v>59</v>
      </c>
      <c r="L115" s="42" t="s">
        <v>59</v>
      </c>
      <c r="O115" s="40" t="s">
        <v>59</v>
      </c>
      <c r="R115" s="42" t="s">
        <v>59</v>
      </c>
      <c r="U115" s="40" t="s">
        <v>59</v>
      </c>
      <c r="X115" s="42" t="s">
        <v>59</v>
      </c>
      <c r="AA115" s="40" t="s">
        <v>59</v>
      </c>
      <c r="AD115" s="42" t="s">
        <v>59</v>
      </c>
      <c r="AG115" s="44" t="s">
        <v>59</v>
      </c>
    </row>
    <row r="116" ht="15" customHeight="1" spans="1:35">
      <c r="A116" s="25" t="s">
        <v>145</v>
      </c>
      <c r="B116" s="26" t="s">
        <v>37</v>
      </c>
      <c r="C116" s="27" t="s">
        <v>38</v>
      </c>
      <c r="D116" s="27" t="s">
        <v>39</v>
      </c>
      <c r="E116" s="66" t="s">
        <v>40</v>
      </c>
      <c r="F116" s="28" t="s">
        <v>41</v>
      </c>
      <c r="G116" s="28" t="s">
        <v>42</v>
      </c>
      <c r="H116" s="29" t="s">
        <v>43</v>
      </c>
      <c r="I116" s="51" t="s">
        <v>44</v>
      </c>
      <c r="J116" s="31" t="s">
        <v>45</v>
      </c>
      <c r="K116" s="31" t="s">
        <v>46</v>
      </c>
      <c r="L116" s="51" t="s">
        <v>47</v>
      </c>
      <c r="M116" s="31" t="s">
        <v>45</v>
      </c>
      <c r="N116" s="31" t="s">
        <v>46</v>
      </c>
      <c r="O116" s="51" t="s">
        <v>48</v>
      </c>
      <c r="P116" s="31" t="s">
        <v>45</v>
      </c>
      <c r="Q116" s="31" t="s">
        <v>46</v>
      </c>
      <c r="R116" s="51" t="s">
        <v>49</v>
      </c>
      <c r="S116" s="31" t="s">
        <v>45</v>
      </c>
      <c r="T116" s="31" t="s">
        <v>46</v>
      </c>
      <c r="U116" s="51" t="s">
        <v>50</v>
      </c>
      <c r="V116" s="31" t="s">
        <v>45</v>
      </c>
      <c r="W116" s="31" t="s">
        <v>46</v>
      </c>
      <c r="X116" s="51" t="s">
        <v>51</v>
      </c>
      <c r="Y116" s="31" t="s">
        <v>45</v>
      </c>
      <c r="Z116" s="31" t="s">
        <v>46</v>
      </c>
      <c r="AA116" s="51" t="s">
        <v>52</v>
      </c>
      <c r="AB116" s="31" t="s">
        <v>45</v>
      </c>
      <c r="AC116" s="31" t="s">
        <v>46</v>
      </c>
      <c r="AD116" s="51" t="s">
        <v>53</v>
      </c>
      <c r="AE116" s="31" t="s">
        <v>45</v>
      </c>
      <c r="AF116" s="31" t="s">
        <v>46</v>
      </c>
      <c r="AG116" s="52" t="s">
        <v>54</v>
      </c>
      <c r="AH116" s="33" t="s">
        <v>45</v>
      </c>
      <c r="AI116" s="33" t="s">
        <v>46</v>
      </c>
    </row>
    <row r="117" ht="15" customHeight="1" spans="1:35">
      <c r="A117" s="71"/>
      <c r="B117" s="35" t="s">
        <v>146</v>
      </c>
      <c r="C117" s="36">
        <v>1.95</v>
      </c>
      <c r="D117" s="36">
        <v>1.02</v>
      </c>
      <c r="E117" s="67">
        <v>0</v>
      </c>
      <c r="F117" s="37">
        <v>1.989</v>
      </c>
      <c r="G117" s="38">
        <v>0.9</v>
      </c>
      <c r="H117" s="39">
        <v>10.1</v>
      </c>
      <c r="I117" s="40">
        <v>4780.08496875</v>
      </c>
      <c r="J117" s="41">
        <f t="shared" ref="J117:J122" si="85">I117/5</f>
        <v>956.01699375</v>
      </c>
      <c r="K117" s="41">
        <f t="shared" ref="K117:K122" si="86">J117+1207.1219</f>
        <v>2163.13889375</v>
      </c>
      <c r="L117" s="42">
        <v>4872.469875</v>
      </c>
      <c r="M117" s="43">
        <f t="shared" ref="M117:M122" si="87">L117/5</f>
        <v>974.493975</v>
      </c>
      <c r="N117" s="43">
        <f t="shared" ref="N117:N122" si="88">M117+1207.1219</f>
        <v>2181.615875</v>
      </c>
      <c r="O117" s="40">
        <v>5017.64615625</v>
      </c>
      <c r="P117" s="41">
        <f t="shared" ref="P117:P122" si="89">O117/5</f>
        <v>1003.52923125</v>
      </c>
      <c r="Q117" s="41">
        <f t="shared" ref="Q117:Q122" si="90">P117+1207.1219</f>
        <v>2210.65113125</v>
      </c>
      <c r="R117" s="42">
        <v>5149.62459375</v>
      </c>
      <c r="S117" s="43">
        <f t="shared" ref="S117:S122" si="91">R117/5</f>
        <v>1029.92491875</v>
      </c>
      <c r="T117" s="43">
        <f t="shared" ref="T117:T122" si="92">S117+1207.1219</f>
        <v>2237.04681875</v>
      </c>
      <c r="U117" s="40">
        <v>5294.800875</v>
      </c>
      <c r="V117" s="41">
        <f t="shared" ref="V117:V122" si="93">U117/5</f>
        <v>1058.960175</v>
      </c>
      <c r="W117" s="41">
        <f t="shared" ref="W117:W122" si="94">V117+1207.1219</f>
        <v>2266.082075</v>
      </c>
      <c r="X117" s="42">
        <v>5439.97715625</v>
      </c>
      <c r="Y117" s="43">
        <f t="shared" ref="Y117:Y122" si="95">X117/5</f>
        <v>1087.99543125</v>
      </c>
      <c r="Z117" s="43">
        <f t="shared" ref="Z117:Z122" si="96">Y117+1207.1219</f>
        <v>2295.11733125</v>
      </c>
      <c r="AA117" s="40">
        <v>5585.1534375</v>
      </c>
      <c r="AB117" s="41">
        <f t="shared" ref="AB117:AB122" si="97">AA117/5</f>
        <v>1117.0306875</v>
      </c>
      <c r="AC117" s="41">
        <f t="shared" ref="AC117:AC122" si="98">AB117+1207.1219</f>
        <v>2324.1525875</v>
      </c>
      <c r="AD117" s="42">
        <v>5835.91246875</v>
      </c>
      <c r="AE117" s="43">
        <f t="shared" ref="AE117:AE122" si="99">AD117/5</f>
        <v>1167.18249375</v>
      </c>
      <c r="AF117" s="43">
        <f t="shared" ref="AF117:AF122" si="100">AE117+1207.1219</f>
        <v>2374.30439375</v>
      </c>
      <c r="AG117" s="44">
        <v>6245.045625</v>
      </c>
      <c r="AH117" s="45">
        <f t="shared" ref="AH117:AH122" si="101">AG117/5</f>
        <v>1249.009125</v>
      </c>
      <c r="AI117" s="45">
        <f t="shared" ref="AI117:AI122" si="102">AH117+1207.1219</f>
        <v>2456.131025</v>
      </c>
    </row>
    <row r="118" ht="15" customHeight="1" spans="1:35">
      <c r="A118" s="34"/>
      <c r="B118" s="35" t="s">
        <v>147</v>
      </c>
      <c r="C118" s="36">
        <v>2.15</v>
      </c>
      <c r="D118" s="36">
        <v>1.02</v>
      </c>
      <c r="E118" s="67">
        <v>0</v>
      </c>
      <c r="F118" s="37">
        <v>2.193</v>
      </c>
      <c r="G118" s="38">
        <v>0.9</v>
      </c>
      <c r="H118" s="39">
        <v>10.6</v>
      </c>
      <c r="I118" s="40">
        <v>5070.872625</v>
      </c>
      <c r="J118" s="41">
        <f t="shared" si="85"/>
        <v>1014.174525</v>
      </c>
      <c r="K118" s="41">
        <f t="shared" si="86"/>
        <v>2221.296425</v>
      </c>
      <c r="L118" s="42">
        <v>5168.333625</v>
      </c>
      <c r="M118" s="43">
        <f t="shared" si="87"/>
        <v>1033.666725</v>
      </c>
      <c r="N118" s="43">
        <f t="shared" si="88"/>
        <v>2240.788625</v>
      </c>
      <c r="O118" s="40">
        <v>5321.486625</v>
      </c>
      <c r="P118" s="41">
        <f t="shared" si="89"/>
        <v>1064.297325</v>
      </c>
      <c r="Q118" s="41">
        <f t="shared" si="90"/>
        <v>2271.419225</v>
      </c>
      <c r="R118" s="42">
        <v>5460.716625</v>
      </c>
      <c r="S118" s="43">
        <f t="shared" si="91"/>
        <v>1092.143325</v>
      </c>
      <c r="T118" s="43">
        <f t="shared" si="92"/>
        <v>2299.265225</v>
      </c>
      <c r="U118" s="40">
        <v>5613.869625</v>
      </c>
      <c r="V118" s="41">
        <f t="shared" si="93"/>
        <v>1122.773925</v>
      </c>
      <c r="W118" s="41">
        <f t="shared" si="94"/>
        <v>2329.895825</v>
      </c>
      <c r="X118" s="42">
        <v>5767.022625</v>
      </c>
      <c r="Y118" s="43">
        <f t="shared" si="95"/>
        <v>1153.404525</v>
      </c>
      <c r="Z118" s="43">
        <f t="shared" si="96"/>
        <v>2360.526425</v>
      </c>
      <c r="AA118" s="40">
        <v>5920.175625</v>
      </c>
      <c r="AB118" s="41">
        <f t="shared" si="97"/>
        <v>1184.035125</v>
      </c>
      <c r="AC118" s="41">
        <f t="shared" si="98"/>
        <v>2391.157025</v>
      </c>
      <c r="AD118" s="42">
        <v>6184.712625</v>
      </c>
      <c r="AE118" s="43">
        <f t="shared" si="99"/>
        <v>1236.942525</v>
      </c>
      <c r="AF118" s="43">
        <f t="shared" si="100"/>
        <v>2444.064425</v>
      </c>
      <c r="AG118" s="44">
        <v>6616.325625</v>
      </c>
      <c r="AH118" s="45">
        <f t="shared" si="101"/>
        <v>1323.265125</v>
      </c>
      <c r="AI118" s="45">
        <f t="shared" si="102"/>
        <v>2530.387025</v>
      </c>
    </row>
    <row r="119" ht="15" customHeight="1" spans="1:35">
      <c r="A119" s="34"/>
      <c r="B119" s="35" t="s">
        <v>148</v>
      </c>
      <c r="C119" s="36">
        <v>2.35</v>
      </c>
      <c r="D119" s="36">
        <v>1.02</v>
      </c>
      <c r="E119" s="67">
        <v>0</v>
      </c>
      <c r="F119" s="37">
        <v>2.397</v>
      </c>
      <c r="G119" s="38">
        <v>0.9</v>
      </c>
      <c r="H119" s="39">
        <v>11.1</v>
      </c>
      <c r="I119" s="40">
        <v>5390.66653125</v>
      </c>
      <c r="J119" s="41">
        <f t="shared" si="85"/>
        <v>1078.13330625</v>
      </c>
      <c r="K119" s="41">
        <f t="shared" si="86"/>
        <v>2285.25520625</v>
      </c>
      <c r="L119" s="42">
        <v>5493.203625</v>
      </c>
      <c r="M119" s="43">
        <f t="shared" si="87"/>
        <v>1098.640725</v>
      </c>
      <c r="N119" s="43">
        <f t="shared" si="88"/>
        <v>2305.762625</v>
      </c>
      <c r="O119" s="40">
        <v>5654.33334375</v>
      </c>
      <c r="P119" s="41">
        <f t="shared" si="89"/>
        <v>1130.86666875</v>
      </c>
      <c r="Q119" s="41">
        <f t="shared" si="90"/>
        <v>2337.98856875</v>
      </c>
      <c r="R119" s="42">
        <v>5800.81490625</v>
      </c>
      <c r="S119" s="43">
        <f t="shared" si="91"/>
        <v>1160.16298125</v>
      </c>
      <c r="T119" s="43">
        <f t="shared" si="92"/>
        <v>2367.28488125</v>
      </c>
      <c r="U119" s="40">
        <v>5961.944625</v>
      </c>
      <c r="V119" s="41">
        <f t="shared" si="93"/>
        <v>1192.388925</v>
      </c>
      <c r="W119" s="41">
        <f t="shared" si="94"/>
        <v>2399.510825</v>
      </c>
      <c r="X119" s="42">
        <v>6123.07434375</v>
      </c>
      <c r="Y119" s="43">
        <f t="shared" si="95"/>
        <v>1224.61486875</v>
      </c>
      <c r="Z119" s="43">
        <f t="shared" si="96"/>
        <v>2431.73676875</v>
      </c>
      <c r="AA119" s="40">
        <v>6284.2040625</v>
      </c>
      <c r="AB119" s="41">
        <f t="shared" si="97"/>
        <v>1256.8408125</v>
      </c>
      <c r="AC119" s="41">
        <f t="shared" si="98"/>
        <v>2463.9627125</v>
      </c>
      <c r="AD119" s="42">
        <v>6562.51903125</v>
      </c>
      <c r="AE119" s="43">
        <f t="shared" si="99"/>
        <v>1312.50380625</v>
      </c>
      <c r="AF119" s="43">
        <f t="shared" si="100"/>
        <v>2519.62570625</v>
      </c>
      <c r="AG119" s="44">
        <v>7016.611875</v>
      </c>
      <c r="AH119" s="45">
        <f t="shared" si="101"/>
        <v>1403.322375</v>
      </c>
      <c r="AI119" s="45">
        <f t="shared" si="102"/>
        <v>2610.444275</v>
      </c>
    </row>
    <row r="120" ht="15" customHeight="1" spans="1:35">
      <c r="A120" s="34"/>
      <c r="B120" s="35" t="s">
        <v>149</v>
      </c>
      <c r="C120" s="36">
        <v>2.55</v>
      </c>
      <c r="D120" s="36">
        <v>1.02</v>
      </c>
      <c r="E120" s="67">
        <v>0</v>
      </c>
      <c r="F120" s="37">
        <v>2.601</v>
      </c>
      <c r="G120" s="38">
        <v>0.9</v>
      </c>
      <c r="H120" s="39">
        <v>11.6</v>
      </c>
      <c r="I120" s="40">
        <v>5678.5535625</v>
      </c>
      <c r="J120" s="41">
        <f t="shared" si="85"/>
        <v>1135.7107125</v>
      </c>
      <c r="K120" s="41">
        <f t="shared" si="86"/>
        <v>2342.8326125</v>
      </c>
      <c r="L120" s="42">
        <v>5786.16675</v>
      </c>
      <c r="M120" s="43">
        <f t="shared" si="87"/>
        <v>1157.23335</v>
      </c>
      <c r="N120" s="43">
        <f t="shared" si="88"/>
        <v>2364.35525</v>
      </c>
      <c r="O120" s="40">
        <v>5955.2731875</v>
      </c>
      <c r="P120" s="41">
        <f t="shared" si="89"/>
        <v>1191.0546375</v>
      </c>
      <c r="Q120" s="41">
        <f t="shared" si="90"/>
        <v>2398.1765375</v>
      </c>
      <c r="R120" s="42">
        <v>6109.0063125</v>
      </c>
      <c r="S120" s="43">
        <f t="shared" si="91"/>
        <v>1221.8012625</v>
      </c>
      <c r="T120" s="43">
        <f t="shared" si="92"/>
        <v>2428.9231625</v>
      </c>
      <c r="U120" s="40">
        <v>6278.11275</v>
      </c>
      <c r="V120" s="41">
        <f t="shared" si="93"/>
        <v>1255.62255</v>
      </c>
      <c r="W120" s="41">
        <f t="shared" si="94"/>
        <v>2462.74445</v>
      </c>
      <c r="X120" s="42">
        <v>6447.2191875</v>
      </c>
      <c r="Y120" s="43">
        <f t="shared" si="95"/>
        <v>1289.4438375</v>
      </c>
      <c r="Z120" s="43">
        <f t="shared" si="96"/>
        <v>2496.5657375</v>
      </c>
      <c r="AA120" s="40">
        <v>6616.325625</v>
      </c>
      <c r="AB120" s="41">
        <f t="shared" si="97"/>
        <v>1323.265125</v>
      </c>
      <c r="AC120" s="41">
        <f t="shared" si="98"/>
        <v>2530.387025</v>
      </c>
      <c r="AD120" s="42">
        <v>6908.4185625</v>
      </c>
      <c r="AE120" s="43">
        <f t="shared" si="99"/>
        <v>1381.6837125</v>
      </c>
      <c r="AF120" s="43">
        <f t="shared" si="100"/>
        <v>2588.8056125</v>
      </c>
      <c r="AG120" s="44">
        <v>7384.99125</v>
      </c>
      <c r="AH120" s="45">
        <f t="shared" si="101"/>
        <v>1476.99825</v>
      </c>
      <c r="AI120" s="45">
        <f t="shared" si="102"/>
        <v>2684.12015</v>
      </c>
    </row>
    <row r="121" ht="15" customHeight="1" spans="1:35">
      <c r="A121" s="34"/>
      <c r="B121" s="35" t="s">
        <v>150</v>
      </c>
      <c r="C121" s="36">
        <v>2.75</v>
      </c>
      <c r="D121" s="36">
        <v>1.02</v>
      </c>
      <c r="E121" s="67">
        <v>0</v>
      </c>
      <c r="F121" s="37">
        <v>2.805</v>
      </c>
      <c r="G121" s="38">
        <v>0.9</v>
      </c>
      <c r="H121" s="39">
        <v>12.1</v>
      </c>
      <c r="I121" s="40">
        <v>5966.44059375</v>
      </c>
      <c r="J121" s="41">
        <f t="shared" si="85"/>
        <v>1193.28811875</v>
      </c>
      <c r="K121" s="41">
        <f t="shared" si="86"/>
        <v>2400.41001875</v>
      </c>
      <c r="L121" s="42">
        <v>6079.129875</v>
      </c>
      <c r="M121" s="43">
        <f t="shared" si="87"/>
        <v>1215.825975</v>
      </c>
      <c r="N121" s="43">
        <f t="shared" si="88"/>
        <v>2422.947875</v>
      </c>
      <c r="O121" s="40">
        <v>6256.21303125</v>
      </c>
      <c r="P121" s="41">
        <f t="shared" si="89"/>
        <v>1251.24260625</v>
      </c>
      <c r="Q121" s="41">
        <f t="shared" si="90"/>
        <v>2458.36450625</v>
      </c>
      <c r="R121" s="42">
        <v>6417.19771875</v>
      </c>
      <c r="S121" s="43">
        <f t="shared" si="91"/>
        <v>1283.43954375</v>
      </c>
      <c r="T121" s="43">
        <f t="shared" si="92"/>
        <v>2490.56144375</v>
      </c>
      <c r="U121" s="40">
        <v>6594.280875</v>
      </c>
      <c r="V121" s="41">
        <f t="shared" si="93"/>
        <v>1318.856175</v>
      </c>
      <c r="W121" s="41">
        <f t="shared" si="94"/>
        <v>2525.978075</v>
      </c>
      <c r="X121" s="42">
        <v>6771.36403125</v>
      </c>
      <c r="Y121" s="43">
        <f t="shared" si="95"/>
        <v>1354.27280625</v>
      </c>
      <c r="Z121" s="43">
        <f t="shared" si="96"/>
        <v>2561.39470625</v>
      </c>
      <c r="AA121" s="40">
        <v>6948.4471875</v>
      </c>
      <c r="AB121" s="41">
        <f t="shared" si="97"/>
        <v>1389.6894375</v>
      </c>
      <c r="AC121" s="41">
        <f t="shared" si="98"/>
        <v>2596.8113375</v>
      </c>
      <c r="AD121" s="42">
        <v>7254.31809375</v>
      </c>
      <c r="AE121" s="43">
        <f t="shared" si="99"/>
        <v>1450.86361875</v>
      </c>
      <c r="AF121" s="43">
        <f t="shared" si="100"/>
        <v>2657.98551875</v>
      </c>
      <c r="AG121" s="44">
        <v>7753.370625</v>
      </c>
      <c r="AH121" s="45">
        <f t="shared" si="101"/>
        <v>1550.674125</v>
      </c>
      <c r="AI121" s="45">
        <f t="shared" si="102"/>
        <v>2757.796025</v>
      </c>
    </row>
    <row r="122" ht="15" customHeight="1" spans="1:35">
      <c r="A122" s="34"/>
      <c r="B122" s="35" t="s">
        <v>151</v>
      </c>
      <c r="C122" s="36">
        <v>2.95</v>
      </c>
      <c r="D122" s="36">
        <v>1.02</v>
      </c>
      <c r="E122" s="67">
        <v>0</v>
      </c>
      <c r="F122" s="37">
        <v>3.009</v>
      </c>
      <c r="G122" s="38">
        <v>0.9</v>
      </c>
      <c r="H122" s="39">
        <v>12.6</v>
      </c>
      <c r="I122" s="40">
        <v>6254.327625</v>
      </c>
      <c r="J122" s="41">
        <f t="shared" si="85"/>
        <v>1250.865525</v>
      </c>
      <c r="K122" s="41">
        <f t="shared" si="86"/>
        <v>2457.987425</v>
      </c>
      <c r="L122" s="42">
        <v>6372.093</v>
      </c>
      <c r="M122" s="43">
        <f t="shared" si="87"/>
        <v>1274.4186</v>
      </c>
      <c r="N122" s="43">
        <f t="shared" si="88"/>
        <v>2481.5405</v>
      </c>
      <c r="O122" s="40">
        <v>6557.152875</v>
      </c>
      <c r="P122" s="41">
        <f t="shared" si="89"/>
        <v>1311.430575</v>
      </c>
      <c r="Q122" s="41">
        <f t="shared" si="90"/>
        <v>2518.552475</v>
      </c>
      <c r="R122" s="42">
        <v>6725.389125</v>
      </c>
      <c r="S122" s="43">
        <f t="shared" si="91"/>
        <v>1345.077825</v>
      </c>
      <c r="T122" s="43">
        <f t="shared" si="92"/>
        <v>2552.199725</v>
      </c>
      <c r="U122" s="40">
        <v>6910.449</v>
      </c>
      <c r="V122" s="41">
        <f t="shared" si="93"/>
        <v>1382.0898</v>
      </c>
      <c r="W122" s="41">
        <f t="shared" si="94"/>
        <v>2589.2117</v>
      </c>
      <c r="X122" s="42">
        <v>7095.508875</v>
      </c>
      <c r="Y122" s="43">
        <f t="shared" si="95"/>
        <v>1419.101775</v>
      </c>
      <c r="Z122" s="43">
        <f t="shared" si="96"/>
        <v>2626.223675</v>
      </c>
      <c r="AA122" s="40">
        <v>7280.56875</v>
      </c>
      <c r="AB122" s="41">
        <f t="shared" si="97"/>
        <v>1456.11375</v>
      </c>
      <c r="AC122" s="41">
        <f t="shared" si="98"/>
        <v>2663.23565</v>
      </c>
      <c r="AD122" s="42">
        <v>7600.217625</v>
      </c>
      <c r="AE122" s="43">
        <f t="shared" si="99"/>
        <v>1520.043525</v>
      </c>
      <c r="AF122" s="43">
        <f t="shared" si="100"/>
        <v>2727.165425</v>
      </c>
      <c r="AG122" s="44">
        <v>8121.75</v>
      </c>
      <c r="AH122" s="45">
        <f t="shared" si="101"/>
        <v>1624.35</v>
      </c>
      <c r="AI122" s="45">
        <f t="shared" si="102"/>
        <v>2831.4719</v>
      </c>
    </row>
    <row r="123" ht="15" customHeight="1" spans="1:35">
      <c r="A123" s="72"/>
      <c r="B123" s="35"/>
      <c r="C123" s="36"/>
      <c r="D123" s="36"/>
      <c r="E123" s="67">
        <v>0</v>
      </c>
      <c r="F123" s="37" t="s">
        <v>59</v>
      </c>
      <c r="G123" s="38" t="s">
        <v>59</v>
      </c>
      <c r="H123" s="39" t="s">
        <v>59</v>
      </c>
      <c r="I123" s="40" t="s">
        <v>59</v>
      </c>
      <c r="L123" s="42" t="s">
        <v>59</v>
      </c>
      <c r="O123" s="40" t="s">
        <v>59</v>
      </c>
      <c r="R123" s="42" t="s">
        <v>59</v>
      </c>
      <c r="U123" s="40" t="s">
        <v>59</v>
      </c>
      <c r="X123" s="42" t="s">
        <v>59</v>
      </c>
      <c r="AA123" s="40" t="s">
        <v>59</v>
      </c>
      <c r="AD123" s="42" t="s">
        <v>59</v>
      </c>
      <c r="AG123" s="44" t="s">
        <v>59</v>
      </c>
    </row>
    <row r="124" ht="15" customHeight="1" spans="1:35">
      <c r="A124" s="72"/>
      <c r="B124" s="35" t="s">
        <v>152</v>
      </c>
      <c r="C124" s="36">
        <v>2.1</v>
      </c>
      <c r="D124" s="36">
        <v>1.02</v>
      </c>
      <c r="E124" s="67">
        <v>0</v>
      </c>
      <c r="F124" s="37">
        <v>2.142</v>
      </c>
      <c r="G124" s="38">
        <v>0.9</v>
      </c>
      <c r="H124" s="39">
        <v>10.6</v>
      </c>
      <c r="I124" s="40">
        <v>5004.15825</v>
      </c>
      <c r="J124" s="41">
        <f t="shared" ref="J124:J129" si="103">I124/5</f>
        <v>1000.83165</v>
      </c>
      <c r="K124" s="41">
        <f t="shared" ref="K124:K129" si="104">J124+1207.1219</f>
        <v>2207.95355</v>
      </c>
      <c r="L124" s="42">
        <v>5101.61925</v>
      </c>
      <c r="M124" s="43">
        <f t="shared" ref="M124:M129" si="105">L124/5</f>
        <v>1020.32385</v>
      </c>
      <c r="N124" s="43">
        <f t="shared" ref="N124:N129" si="106">M124+1207.1219</f>
        <v>2227.44575</v>
      </c>
      <c r="O124" s="40">
        <v>5254.77225</v>
      </c>
      <c r="P124" s="41">
        <f t="shared" ref="P124:P129" si="107">O124/5</f>
        <v>1050.95445</v>
      </c>
      <c r="Q124" s="41">
        <f t="shared" ref="Q124:Q129" si="108">P124+1207.1219</f>
        <v>2258.07635</v>
      </c>
      <c r="R124" s="42">
        <v>5394.00225</v>
      </c>
      <c r="S124" s="43">
        <f t="shared" ref="S124:S129" si="109">R124/5</f>
        <v>1078.80045</v>
      </c>
      <c r="T124" s="43">
        <f t="shared" ref="T124:T129" si="110">S124+1207.1219</f>
        <v>2285.92235</v>
      </c>
      <c r="U124" s="40">
        <v>5547.15525</v>
      </c>
      <c r="V124" s="41">
        <f t="shared" ref="V124:V129" si="111">U124/5</f>
        <v>1109.43105</v>
      </c>
      <c r="W124" s="41">
        <f t="shared" ref="W124:W129" si="112">V124+1207.1219</f>
        <v>2316.55295</v>
      </c>
      <c r="X124" s="42">
        <v>5700.30825</v>
      </c>
      <c r="Y124" s="43">
        <f t="shared" ref="Y124:Y129" si="113">X124/5</f>
        <v>1140.06165</v>
      </c>
      <c r="Z124" s="43">
        <f t="shared" ref="Z124:Z129" si="114">Y124+1207.1219</f>
        <v>2347.18355</v>
      </c>
      <c r="AA124" s="40">
        <v>5853.46125</v>
      </c>
      <c r="AB124" s="41">
        <f t="shared" ref="AB124:AB129" si="115">AA124/5</f>
        <v>1170.69225</v>
      </c>
      <c r="AC124" s="41">
        <f t="shared" ref="AC124:AC129" si="116">AB124+1207.1219</f>
        <v>2377.81415</v>
      </c>
      <c r="AD124" s="42">
        <v>6117.99825</v>
      </c>
      <c r="AE124" s="43">
        <f t="shared" ref="AE124:AE129" si="117">AD124/5</f>
        <v>1223.59965</v>
      </c>
      <c r="AF124" s="43">
        <f t="shared" ref="AF124:AF129" si="118">AE124+1207.1219</f>
        <v>2430.72155</v>
      </c>
      <c r="AG124" s="44">
        <v>6549.61125</v>
      </c>
      <c r="AH124" s="45">
        <f t="shared" ref="AH124:AH129" si="119">AG124/5</f>
        <v>1309.92225</v>
      </c>
      <c r="AI124" s="45">
        <f t="shared" ref="AI124:AI129" si="120">AH124+1207.1219</f>
        <v>2517.04415</v>
      </c>
    </row>
    <row r="125" ht="15" customHeight="1" spans="1:35">
      <c r="A125" s="58" t="s">
        <v>104</v>
      </c>
      <c r="B125" s="35" t="s">
        <v>153</v>
      </c>
      <c r="C125" s="36">
        <v>2.3</v>
      </c>
      <c r="D125" s="36">
        <v>1.02</v>
      </c>
      <c r="E125" s="67">
        <v>0</v>
      </c>
      <c r="F125" s="37">
        <v>2.346</v>
      </c>
      <c r="G125" s="38">
        <v>0.9</v>
      </c>
      <c r="H125" s="39">
        <v>11.1</v>
      </c>
      <c r="I125" s="40">
        <v>5335.55465625</v>
      </c>
      <c r="J125" s="41">
        <f t="shared" si="103"/>
        <v>1067.11093125</v>
      </c>
      <c r="K125" s="41">
        <f t="shared" si="104"/>
        <v>2274.23283125</v>
      </c>
      <c r="L125" s="42">
        <v>5438.09175</v>
      </c>
      <c r="M125" s="43">
        <f t="shared" si="105"/>
        <v>1087.61835</v>
      </c>
      <c r="N125" s="43">
        <f t="shared" si="106"/>
        <v>2294.74025</v>
      </c>
      <c r="O125" s="40">
        <v>5599.22146875</v>
      </c>
      <c r="P125" s="41">
        <f t="shared" si="107"/>
        <v>1119.84429375</v>
      </c>
      <c r="Q125" s="41">
        <f t="shared" si="108"/>
        <v>2326.96619375</v>
      </c>
      <c r="R125" s="42">
        <v>5745.70303125</v>
      </c>
      <c r="S125" s="43">
        <f t="shared" si="109"/>
        <v>1149.14060625</v>
      </c>
      <c r="T125" s="43">
        <f t="shared" si="110"/>
        <v>2356.26250625</v>
      </c>
      <c r="U125" s="40">
        <v>5906.83275</v>
      </c>
      <c r="V125" s="41">
        <f t="shared" si="111"/>
        <v>1181.36655</v>
      </c>
      <c r="W125" s="41">
        <f t="shared" si="112"/>
        <v>2388.48845</v>
      </c>
      <c r="X125" s="42">
        <v>6067.96246875</v>
      </c>
      <c r="Y125" s="43">
        <f t="shared" si="113"/>
        <v>1213.59249375</v>
      </c>
      <c r="Z125" s="43">
        <f t="shared" si="114"/>
        <v>2420.71439375</v>
      </c>
      <c r="AA125" s="40">
        <v>6229.0921875</v>
      </c>
      <c r="AB125" s="41">
        <f t="shared" si="115"/>
        <v>1245.8184375</v>
      </c>
      <c r="AC125" s="41">
        <f t="shared" si="116"/>
        <v>2452.9403375</v>
      </c>
      <c r="AD125" s="42">
        <v>6507.40715625</v>
      </c>
      <c r="AE125" s="43">
        <f t="shared" si="117"/>
        <v>1301.48143125</v>
      </c>
      <c r="AF125" s="43">
        <f t="shared" si="118"/>
        <v>2508.60333125</v>
      </c>
      <c r="AG125" s="44">
        <v>6961.5</v>
      </c>
      <c r="AH125" s="45">
        <f t="shared" si="119"/>
        <v>1392.3</v>
      </c>
      <c r="AI125" s="45">
        <f t="shared" si="120"/>
        <v>2599.4219</v>
      </c>
    </row>
    <row r="126" ht="15" customHeight="1" spans="1:35">
      <c r="A126" s="69" t="s">
        <v>154</v>
      </c>
      <c r="B126" s="35" t="s">
        <v>155</v>
      </c>
      <c r="C126" s="36">
        <v>2.5</v>
      </c>
      <c r="D126" s="36">
        <v>1.02</v>
      </c>
      <c r="E126" s="67">
        <v>0</v>
      </c>
      <c r="F126" s="37">
        <v>2.55</v>
      </c>
      <c r="G126" s="38">
        <v>0.9</v>
      </c>
      <c r="H126" s="39">
        <v>11.6</v>
      </c>
      <c r="I126" s="40">
        <v>5626.3423125</v>
      </c>
      <c r="J126" s="41">
        <f t="shared" si="103"/>
        <v>1125.2684625</v>
      </c>
      <c r="K126" s="41">
        <f t="shared" si="104"/>
        <v>2332.3903625</v>
      </c>
      <c r="L126" s="42">
        <v>5733.9555</v>
      </c>
      <c r="M126" s="43">
        <f t="shared" si="105"/>
        <v>1146.7911</v>
      </c>
      <c r="N126" s="43">
        <f t="shared" si="106"/>
        <v>2353.913</v>
      </c>
      <c r="O126" s="40">
        <v>5903.0619375</v>
      </c>
      <c r="P126" s="41">
        <f t="shared" si="107"/>
        <v>1180.6123875</v>
      </c>
      <c r="Q126" s="41">
        <f t="shared" si="108"/>
        <v>2387.7342875</v>
      </c>
      <c r="R126" s="42">
        <v>6056.7950625</v>
      </c>
      <c r="S126" s="43">
        <f t="shared" si="109"/>
        <v>1211.3590125</v>
      </c>
      <c r="T126" s="43">
        <f t="shared" si="110"/>
        <v>2418.4809125</v>
      </c>
      <c r="U126" s="40">
        <v>6225.9015</v>
      </c>
      <c r="V126" s="41">
        <f t="shared" si="111"/>
        <v>1245.1803</v>
      </c>
      <c r="W126" s="41">
        <f t="shared" si="112"/>
        <v>2452.3022</v>
      </c>
      <c r="X126" s="42">
        <v>6395.0079375</v>
      </c>
      <c r="Y126" s="43">
        <f t="shared" si="113"/>
        <v>1279.0015875</v>
      </c>
      <c r="Z126" s="43">
        <f t="shared" si="114"/>
        <v>2486.1234875</v>
      </c>
      <c r="AA126" s="40">
        <v>6564.114375</v>
      </c>
      <c r="AB126" s="41">
        <f t="shared" si="115"/>
        <v>1312.822875</v>
      </c>
      <c r="AC126" s="41">
        <f t="shared" si="116"/>
        <v>2519.944775</v>
      </c>
      <c r="AD126" s="42">
        <v>6856.2073125</v>
      </c>
      <c r="AE126" s="43">
        <f t="shared" si="117"/>
        <v>1371.2414625</v>
      </c>
      <c r="AF126" s="43">
        <f t="shared" si="118"/>
        <v>2578.3633625</v>
      </c>
      <c r="AG126" s="44">
        <v>7332.78</v>
      </c>
      <c r="AH126" s="45">
        <f t="shared" si="119"/>
        <v>1466.556</v>
      </c>
      <c r="AI126" s="45">
        <f t="shared" si="120"/>
        <v>2673.6779</v>
      </c>
    </row>
    <row r="127" ht="15" customHeight="1" spans="1:35">
      <c r="A127" s="73" t="s">
        <v>111</v>
      </c>
      <c r="B127" s="35" t="s">
        <v>156</v>
      </c>
      <c r="C127" s="36">
        <v>2.7</v>
      </c>
      <c r="D127" s="36">
        <v>1.02</v>
      </c>
      <c r="E127" s="67">
        <v>0</v>
      </c>
      <c r="F127" s="37">
        <v>2.754</v>
      </c>
      <c r="G127" s="38">
        <v>0.9</v>
      </c>
      <c r="H127" s="39">
        <v>12.1</v>
      </c>
      <c r="I127" s="40">
        <v>5917.12996875</v>
      </c>
      <c r="J127" s="41">
        <f t="shared" si="103"/>
        <v>1183.42599375</v>
      </c>
      <c r="K127" s="41">
        <f t="shared" si="104"/>
        <v>2390.54789375</v>
      </c>
      <c r="L127" s="42">
        <v>6029.81925</v>
      </c>
      <c r="M127" s="43">
        <f t="shared" si="105"/>
        <v>1205.96385</v>
      </c>
      <c r="N127" s="43">
        <f t="shared" si="106"/>
        <v>2413.08575</v>
      </c>
      <c r="O127" s="40">
        <v>6206.90240625</v>
      </c>
      <c r="P127" s="41">
        <f t="shared" si="107"/>
        <v>1241.38048125</v>
      </c>
      <c r="Q127" s="41">
        <f t="shared" si="108"/>
        <v>2448.50238125</v>
      </c>
      <c r="R127" s="42">
        <v>6367.88709375</v>
      </c>
      <c r="S127" s="43">
        <f t="shared" si="109"/>
        <v>1273.57741875</v>
      </c>
      <c r="T127" s="43">
        <f t="shared" si="110"/>
        <v>2480.69931875</v>
      </c>
      <c r="U127" s="40">
        <v>6544.97025</v>
      </c>
      <c r="V127" s="41">
        <f t="shared" si="111"/>
        <v>1308.99405</v>
      </c>
      <c r="W127" s="41">
        <f t="shared" si="112"/>
        <v>2516.11595</v>
      </c>
      <c r="X127" s="42">
        <v>6722.05340625</v>
      </c>
      <c r="Y127" s="43">
        <f t="shared" si="113"/>
        <v>1344.41068125</v>
      </c>
      <c r="Z127" s="43">
        <f t="shared" si="114"/>
        <v>2551.53258125</v>
      </c>
      <c r="AA127" s="40">
        <v>6899.1365625</v>
      </c>
      <c r="AB127" s="41">
        <f t="shared" si="115"/>
        <v>1379.8273125</v>
      </c>
      <c r="AC127" s="41">
        <f t="shared" si="116"/>
        <v>2586.9492125</v>
      </c>
      <c r="AD127" s="42">
        <v>7205.00746875</v>
      </c>
      <c r="AE127" s="43">
        <f t="shared" si="117"/>
        <v>1441.00149375</v>
      </c>
      <c r="AF127" s="43">
        <f t="shared" si="118"/>
        <v>2648.12339375</v>
      </c>
      <c r="AG127" s="44">
        <v>7704.06</v>
      </c>
      <c r="AH127" s="45">
        <f t="shared" si="119"/>
        <v>1540.812</v>
      </c>
      <c r="AI127" s="45">
        <f t="shared" si="120"/>
        <v>2747.9339</v>
      </c>
    </row>
    <row r="128" ht="15" customHeight="1" spans="1:35">
      <c r="A128" s="73"/>
      <c r="B128" s="35" t="s">
        <v>157</v>
      </c>
      <c r="C128" s="36">
        <v>2.9</v>
      </c>
      <c r="D128" s="36">
        <v>1.02</v>
      </c>
      <c r="E128" s="67">
        <v>0</v>
      </c>
      <c r="F128" s="37">
        <v>2.958</v>
      </c>
      <c r="G128" s="38">
        <v>0.9</v>
      </c>
      <c r="H128" s="39">
        <v>12.6</v>
      </c>
      <c r="I128" s="40">
        <v>6207.917625</v>
      </c>
      <c r="J128" s="41">
        <f t="shared" si="103"/>
        <v>1241.583525</v>
      </c>
      <c r="K128" s="41">
        <f t="shared" si="104"/>
        <v>2448.705425</v>
      </c>
      <c r="L128" s="42">
        <v>6325.683</v>
      </c>
      <c r="M128" s="43">
        <f t="shared" si="105"/>
        <v>1265.1366</v>
      </c>
      <c r="N128" s="43">
        <f t="shared" si="106"/>
        <v>2472.2585</v>
      </c>
      <c r="O128" s="40">
        <v>6510.742875</v>
      </c>
      <c r="P128" s="41">
        <f t="shared" si="107"/>
        <v>1302.148575</v>
      </c>
      <c r="Q128" s="41">
        <f t="shared" si="108"/>
        <v>2509.270475</v>
      </c>
      <c r="R128" s="42">
        <v>6678.979125</v>
      </c>
      <c r="S128" s="43">
        <f t="shared" si="109"/>
        <v>1335.795825</v>
      </c>
      <c r="T128" s="43">
        <f t="shared" si="110"/>
        <v>2542.917725</v>
      </c>
      <c r="U128" s="40">
        <v>6864.039</v>
      </c>
      <c r="V128" s="41">
        <f t="shared" si="111"/>
        <v>1372.8078</v>
      </c>
      <c r="W128" s="41">
        <f t="shared" si="112"/>
        <v>2579.9297</v>
      </c>
      <c r="X128" s="42">
        <v>7049.098875</v>
      </c>
      <c r="Y128" s="43">
        <f t="shared" si="113"/>
        <v>1409.819775</v>
      </c>
      <c r="Z128" s="43">
        <f t="shared" si="114"/>
        <v>2616.941675</v>
      </c>
      <c r="AA128" s="40">
        <v>7234.15875</v>
      </c>
      <c r="AB128" s="41">
        <f t="shared" si="115"/>
        <v>1446.83175</v>
      </c>
      <c r="AC128" s="41">
        <f t="shared" si="116"/>
        <v>2653.95365</v>
      </c>
      <c r="AD128" s="42">
        <v>7553.807625</v>
      </c>
      <c r="AE128" s="43">
        <f t="shared" si="117"/>
        <v>1510.761525</v>
      </c>
      <c r="AF128" s="43">
        <f t="shared" si="118"/>
        <v>2717.883425</v>
      </c>
      <c r="AG128" s="44">
        <v>8075.34</v>
      </c>
      <c r="AH128" s="45">
        <f t="shared" si="119"/>
        <v>1615.068</v>
      </c>
      <c r="AI128" s="45">
        <f t="shared" si="120"/>
        <v>2822.1899</v>
      </c>
    </row>
    <row r="129" ht="15" customHeight="1" spans="1:35">
      <c r="A129" s="74"/>
      <c r="B129" s="35" t="s">
        <v>158</v>
      </c>
      <c r="C129" s="36">
        <v>3.1</v>
      </c>
      <c r="D129" s="36">
        <v>1.02</v>
      </c>
      <c r="E129" s="67">
        <v>0</v>
      </c>
      <c r="F129" s="37">
        <v>3.162</v>
      </c>
      <c r="G129" s="38">
        <v>0.9</v>
      </c>
      <c r="H129" s="39">
        <v>13.1</v>
      </c>
      <c r="I129" s="40">
        <v>6498.70528125</v>
      </c>
      <c r="J129" s="41">
        <f t="shared" si="103"/>
        <v>1299.74105625</v>
      </c>
      <c r="K129" s="41">
        <f t="shared" si="104"/>
        <v>2506.86295625</v>
      </c>
      <c r="L129" s="42">
        <v>6621.54675</v>
      </c>
      <c r="M129" s="43">
        <f t="shared" si="105"/>
        <v>1324.30935</v>
      </c>
      <c r="N129" s="43">
        <f t="shared" si="106"/>
        <v>2531.43125</v>
      </c>
      <c r="O129" s="40">
        <v>6814.58334375</v>
      </c>
      <c r="P129" s="41">
        <f t="shared" si="107"/>
        <v>1362.91666875</v>
      </c>
      <c r="Q129" s="41">
        <f t="shared" si="108"/>
        <v>2570.03856875</v>
      </c>
      <c r="R129" s="42">
        <v>6990.07115625</v>
      </c>
      <c r="S129" s="43">
        <f t="shared" si="109"/>
        <v>1398.01423125</v>
      </c>
      <c r="T129" s="43">
        <f t="shared" si="110"/>
        <v>2605.13613125</v>
      </c>
      <c r="U129" s="40">
        <v>7183.10775</v>
      </c>
      <c r="V129" s="41">
        <f t="shared" si="111"/>
        <v>1436.62155</v>
      </c>
      <c r="W129" s="41">
        <f t="shared" si="112"/>
        <v>2643.74345</v>
      </c>
      <c r="X129" s="42">
        <v>7376.14434375</v>
      </c>
      <c r="Y129" s="43">
        <f t="shared" si="113"/>
        <v>1475.22886875</v>
      </c>
      <c r="Z129" s="43">
        <f t="shared" si="114"/>
        <v>2682.35076875</v>
      </c>
      <c r="AA129" s="40">
        <v>7569.1809375</v>
      </c>
      <c r="AB129" s="41">
        <f t="shared" si="115"/>
        <v>1513.8361875</v>
      </c>
      <c r="AC129" s="41">
        <f t="shared" si="116"/>
        <v>2720.9580875</v>
      </c>
      <c r="AD129" s="42">
        <v>7902.60778125</v>
      </c>
      <c r="AE129" s="43">
        <f t="shared" si="117"/>
        <v>1580.52155625</v>
      </c>
      <c r="AF129" s="43">
        <f t="shared" si="118"/>
        <v>2787.64345625</v>
      </c>
      <c r="AG129" s="44">
        <v>8446.62</v>
      </c>
      <c r="AH129" s="45">
        <f t="shared" si="119"/>
        <v>1689.324</v>
      </c>
      <c r="AI129" s="45">
        <f t="shared" si="120"/>
        <v>2896.4459</v>
      </c>
    </row>
    <row r="130" ht="15" customHeight="1" spans="1:35">
      <c r="A130" s="74"/>
      <c r="B130" s="35"/>
      <c r="C130" s="36"/>
      <c r="D130" s="36"/>
      <c r="E130" s="67">
        <v>0</v>
      </c>
      <c r="F130" s="37" t="s">
        <v>59</v>
      </c>
      <c r="G130" s="38" t="s">
        <v>59</v>
      </c>
      <c r="H130" s="39" t="s">
        <v>59</v>
      </c>
      <c r="I130" s="40" t="s">
        <v>59</v>
      </c>
      <c r="L130" s="42" t="s">
        <v>59</v>
      </c>
      <c r="O130" s="40" t="s">
        <v>59</v>
      </c>
      <c r="R130" s="42" t="s">
        <v>59</v>
      </c>
      <c r="U130" s="40" t="s">
        <v>59</v>
      </c>
      <c r="X130" s="42" t="s">
        <v>59</v>
      </c>
      <c r="AA130" s="40" t="s">
        <v>59</v>
      </c>
      <c r="AD130" s="42" t="s">
        <v>59</v>
      </c>
      <c r="AG130" s="44" t="s">
        <v>59</v>
      </c>
    </row>
    <row r="131" ht="14.45" customHeight="1" spans="1:35">
      <c r="A131" s="34"/>
      <c r="B131" s="35" t="s">
        <v>159</v>
      </c>
      <c r="C131" s="36">
        <v>1.95</v>
      </c>
      <c r="D131" s="36">
        <v>1.02</v>
      </c>
      <c r="E131" s="67">
        <v>0</v>
      </c>
      <c r="F131" s="37">
        <v>1.989</v>
      </c>
      <c r="G131" s="38">
        <v>0.9</v>
      </c>
      <c r="H131" s="39">
        <v>8.15</v>
      </c>
      <c r="I131" s="40">
        <v>4374.650109375</v>
      </c>
      <c r="J131" s="41">
        <f t="shared" ref="J131:J136" si="121">I131/5</f>
        <v>874.930021875</v>
      </c>
      <c r="K131" s="41">
        <f t="shared" ref="K131:K136" si="122">J131+1207.1219</f>
        <v>2082.051921875</v>
      </c>
      <c r="L131" s="42">
        <v>4447.23825</v>
      </c>
      <c r="M131" s="43">
        <f t="shared" ref="M131:M136" si="123">L131/5</f>
        <v>889.44765</v>
      </c>
      <c r="N131" s="43">
        <f t="shared" ref="N131:N136" si="124">M131+1207.1219</f>
        <v>2096.56955</v>
      </c>
      <c r="O131" s="40">
        <v>4561.305328125</v>
      </c>
      <c r="P131" s="41">
        <f t="shared" ref="P131:P136" si="125">O131/5</f>
        <v>912.261065625</v>
      </c>
      <c r="Q131" s="41">
        <f t="shared" ref="Q131:Q136" si="126">P131+1207.1219</f>
        <v>2119.382965625</v>
      </c>
      <c r="R131" s="42">
        <v>4665.002671875</v>
      </c>
      <c r="S131" s="43">
        <f t="shared" ref="S131:S136" si="127">R131/5</f>
        <v>933.000534375</v>
      </c>
      <c r="T131" s="43">
        <f t="shared" ref="T131:T136" si="128">S131+1207.1219</f>
        <v>2140.122434375</v>
      </c>
      <c r="U131" s="40">
        <v>4779.06975</v>
      </c>
      <c r="V131" s="41">
        <f t="shared" ref="V131:V136" si="129">U131/5</f>
        <v>955.81395</v>
      </c>
      <c r="W131" s="41">
        <f t="shared" ref="W131:W136" si="130">V131+1207.1219</f>
        <v>2162.93585</v>
      </c>
      <c r="X131" s="42">
        <v>4893.136828125</v>
      </c>
      <c r="Y131" s="43">
        <f t="shared" ref="Y131:Y136" si="131">X131/5</f>
        <v>978.627365625</v>
      </c>
      <c r="Z131" s="43">
        <f t="shared" ref="Z131:Z136" si="132">Y131+1207.1219</f>
        <v>2185.749265625</v>
      </c>
      <c r="AA131" s="40">
        <v>5007.20390625</v>
      </c>
      <c r="AB131" s="41">
        <f t="shared" ref="AB131:AB136" si="133">AA131/5</f>
        <v>1001.44078125</v>
      </c>
      <c r="AC131" s="41">
        <f t="shared" ref="AC131:AC136" si="134">AB131+1207.1219</f>
        <v>2208.56268125</v>
      </c>
      <c r="AD131" s="42">
        <v>5204.228859375</v>
      </c>
      <c r="AE131" s="43">
        <f t="shared" ref="AE131:AE136" si="135">AD131/5</f>
        <v>1040.845771875</v>
      </c>
      <c r="AF131" s="43">
        <f t="shared" ref="AF131:AF136" si="136">AE131+1207.1219</f>
        <v>2247.967671875</v>
      </c>
      <c r="AG131" s="44">
        <v>5525.690625</v>
      </c>
      <c r="AH131" s="45">
        <f t="shared" ref="AH131:AH136" si="137">AG131/5</f>
        <v>1105.138125</v>
      </c>
      <c r="AI131" s="45">
        <f t="shared" ref="AI131:AI136" si="138">AH131+1207.1219</f>
        <v>2312.260025</v>
      </c>
    </row>
    <row r="132" ht="15" customHeight="1" spans="1:35">
      <c r="A132" s="34"/>
      <c r="B132" s="35" t="s">
        <v>160</v>
      </c>
      <c r="C132" s="36">
        <v>2.15</v>
      </c>
      <c r="D132" s="36">
        <v>1.02</v>
      </c>
      <c r="E132" s="67">
        <v>0</v>
      </c>
      <c r="F132" s="37">
        <v>2.193</v>
      </c>
      <c r="G132" s="38">
        <v>0.9</v>
      </c>
      <c r="H132" s="39">
        <v>8.45</v>
      </c>
      <c r="I132" s="40">
        <v>4671.529078125</v>
      </c>
      <c r="J132" s="41">
        <f t="shared" si="121"/>
        <v>934.305815625</v>
      </c>
      <c r="K132" s="41">
        <f t="shared" si="122"/>
        <v>2141.427715625</v>
      </c>
      <c r="L132" s="42">
        <v>4747.162875</v>
      </c>
      <c r="M132" s="43">
        <f t="shared" si="123"/>
        <v>949.432575</v>
      </c>
      <c r="N132" s="43">
        <f t="shared" si="124"/>
        <v>2156.554475</v>
      </c>
      <c r="O132" s="40">
        <v>4866.015984375</v>
      </c>
      <c r="P132" s="41">
        <f t="shared" si="125"/>
        <v>973.203196875</v>
      </c>
      <c r="Q132" s="41">
        <f t="shared" si="126"/>
        <v>2180.325096875</v>
      </c>
      <c r="R132" s="42">
        <v>4974.064265625</v>
      </c>
      <c r="S132" s="43">
        <f t="shared" si="127"/>
        <v>994.812853125</v>
      </c>
      <c r="T132" s="43">
        <f t="shared" si="128"/>
        <v>2201.934753125</v>
      </c>
      <c r="U132" s="40">
        <v>5092.917375</v>
      </c>
      <c r="V132" s="41">
        <f t="shared" si="129"/>
        <v>1018.583475</v>
      </c>
      <c r="W132" s="41">
        <f t="shared" si="130"/>
        <v>2225.705375</v>
      </c>
      <c r="X132" s="42">
        <v>5211.770484375</v>
      </c>
      <c r="Y132" s="43">
        <f t="shared" si="131"/>
        <v>1042.354096875</v>
      </c>
      <c r="Z132" s="43">
        <f t="shared" si="132"/>
        <v>2249.475996875</v>
      </c>
      <c r="AA132" s="40">
        <v>5330.62359375</v>
      </c>
      <c r="AB132" s="41">
        <f t="shared" si="133"/>
        <v>1066.12471875</v>
      </c>
      <c r="AC132" s="41">
        <f t="shared" si="134"/>
        <v>2273.24661875</v>
      </c>
      <c r="AD132" s="42">
        <v>5535.915328125</v>
      </c>
      <c r="AE132" s="43">
        <f t="shared" si="135"/>
        <v>1107.183065625</v>
      </c>
      <c r="AF132" s="43">
        <f t="shared" si="136"/>
        <v>2314.304965625</v>
      </c>
      <c r="AG132" s="44">
        <v>5870.865</v>
      </c>
      <c r="AH132" s="45">
        <f t="shared" si="137"/>
        <v>1174.173</v>
      </c>
      <c r="AI132" s="45">
        <f t="shared" si="138"/>
        <v>2381.2949</v>
      </c>
    </row>
    <row r="133" ht="15" customHeight="1" spans="1:35">
      <c r="A133" s="34"/>
      <c r="B133" s="35" t="s">
        <v>161</v>
      </c>
      <c r="C133" s="36">
        <v>2.35</v>
      </c>
      <c r="D133" s="36">
        <v>1.02</v>
      </c>
      <c r="E133" s="67">
        <v>0</v>
      </c>
      <c r="F133" s="37">
        <v>2.397</v>
      </c>
      <c r="G133" s="38">
        <v>0.9</v>
      </c>
      <c r="H133" s="39">
        <v>8.75</v>
      </c>
      <c r="I133" s="40">
        <v>4936.501171875</v>
      </c>
      <c r="J133" s="41">
        <f t="shared" si="121"/>
        <v>987.300234375</v>
      </c>
      <c r="K133" s="41">
        <f t="shared" si="122"/>
        <v>2194.422134375</v>
      </c>
      <c r="L133" s="42">
        <v>5015.180625</v>
      </c>
      <c r="M133" s="43">
        <f t="shared" si="123"/>
        <v>1003.036125</v>
      </c>
      <c r="N133" s="43">
        <f t="shared" si="124"/>
        <v>2210.158025</v>
      </c>
      <c r="O133" s="40">
        <v>5138.819765625</v>
      </c>
      <c r="P133" s="41">
        <f t="shared" si="125"/>
        <v>1027.763953125</v>
      </c>
      <c r="Q133" s="41">
        <f t="shared" si="126"/>
        <v>2234.885853125</v>
      </c>
      <c r="R133" s="42">
        <v>5251.218984375</v>
      </c>
      <c r="S133" s="43">
        <f t="shared" si="127"/>
        <v>1050.243796875</v>
      </c>
      <c r="T133" s="43">
        <f t="shared" si="128"/>
        <v>2257.365696875</v>
      </c>
      <c r="U133" s="40">
        <v>5374.858125</v>
      </c>
      <c r="V133" s="41">
        <f t="shared" si="129"/>
        <v>1074.971625</v>
      </c>
      <c r="W133" s="41">
        <f t="shared" si="130"/>
        <v>2282.093525</v>
      </c>
      <c r="X133" s="42">
        <v>5498.497265625</v>
      </c>
      <c r="Y133" s="43">
        <f t="shared" si="131"/>
        <v>1099.699453125</v>
      </c>
      <c r="Z133" s="43">
        <f t="shared" si="132"/>
        <v>2306.821353125</v>
      </c>
      <c r="AA133" s="40">
        <v>5622.13640625</v>
      </c>
      <c r="AB133" s="41">
        <f t="shared" si="133"/>
        <v>1124.42728125</v>
      </c>
      <c r="AC133" s="41">
        <f t="shared" si="134"/>
        <v>2331.54918125</v>
      </c>
      <c r="AD133" s="42">
        <v>5835.694921875</v>
      </c>
      <c r="AE133" s="43">
        <f t="shared" si="135"/>
        <v>1167.138984375</v>
      </c>
      <c r="AF133" s="43">
        <f t="shared" si="136"/>
        <v>2374.260884375</v>
      </c>
      <c r="AG133" s="44">
        <v>6184.1325</v>
      </c>
      <c r="AH133" s="45">
        <f t="shared" si="137"/>
        <v>1236.8265</v>
      </c>
      <c r="AI133" s="45">
        <f t="shared" si="138"/>
        <v>2443.9484</v>
      </c>
    </row>
    <row r="134" ht="15" customHeight="1" spans="1:35">
      <c r="A134" s="34"/>
      <c r="B134" s="35" t="s">
        <v>162</v>
      </c>
      <c r="C134" s="36">
        <v>2.55</v>
      </c>
      <c r="D134" s="36">
        <v>1.02</v>
      </c>
      <c r="E134" s="67">
        <v>0</v>
      </c>
      <c r="F134" s="37">
        <v>2.601</v>
      </c>
      <c r="G134" s="38">
        <v>0.9</v>
      </c>
      <c r="H134" s="39">
        <v>9.05</v>
      </c>
      <c r="I134" s="40">
        <v>5233.380140625</v>
      </c>
      <c r="J134" s="41">
        <f t="shared" si="121"/>
        <v>1046.676028125</v>
      </c>
      <c r="K134" s="41">
        <f t="shared" si="122"/>
        <v>2253.797928125</v>
      </c>
      <c r="L134" s="42">
        <v>5315.10525</v>
      </c>
      <c r="M134" s="43">
        <f t="shared" si="123"/>
        <v>1063.02105</v>
      </c>
      <c r="N134" s="43">
        <f t="shared" si="124"/>
        <v>2270.14295</v>
      </c>
      <c r="O134" s="40">
        <v>5443.530421875</v>
      </c>
      <c r="P134" s="41">
        <f t="shared" si="125"/>
        <v>1088.706084375</v>
      </c>
      <c r="Q134" s="41">
        <f t="shared" si="126"/>
        <v>2295.827984375</v>
      </c>
      <c r="R134" s="42">
        <v>5560.280578125</v>
      </c>
      <c r="S134" s="43">
        <f t="shared" si="127"/>
        <v>1112.056115625</v>
      </c>
      <c r="T134" s="43">
        <f t="shared" si="128"/>
        <v>2319.178015625</v>
      </c>
      <c r="U134" s="40">
        <v>5688.70575</v>
      </c>
      <c r="V134" s="41">
        <f t="shared" si="129"/>
        <v>1137.74115</v>
      </c>
      <c r="W134" s="41">
        <f t="shared" si="130"/>
        <v>2344.86305</v>
      </c>
      <c r="X134" s="42">
        <v>5817.130921875</v>
      </c>
      <c r="Y134" s="43">
        <f t="shared" si="131"/>
        <v>1163.426184375</v>
      </c>
      <c r="Z134" s="43">
        <f t="shared" si="132"/>
        <v>2370.548084375</v>
      </c>
      <c r="AA134" s="40">
        <v>5945.55609375</v>
      </c>
      <c r="AB134" s="41">
        <f t="shared" si="133"/>
        <v>1189.11121875</v>
      </c>
      <c r="AC134" s="41">
        <f t="shared" si="134"/>
        <v>2396.23311875</v>
      </c>
      <c r="AD134" s="42">
        <v>6167.381390625</v>
      </c>
      <c r="AE134" s="43">
        <f t="shared" si="135"/>
        <v>1233.476278125</v>
      </c>
      <c r="AF134" s="43">
        <f t="shared" si="136"/>
        <v>2440.598178125</v>
      </c>
      <c r="AG134" s="44">
        <v>6529.306875</v>
      </c>
      <c r="AH134" s="45">
        <f t="shared" si="137"/>
        <v>1305.861375</v>
      </c>
      <c r="AI134" s="45">
        <f t="shared" si="138"/>
        <v>2512.983275</v>
      </c>
    </row>
    <row r="135" ht="15" customHeight="1" spans="1:35">
      <c r="A135" s="34"/>
      <c r="B135" s="35" t="s">
        <v>163</v>
      </c>
      <c r="C135" s="36">
        <v>2.75</v>
      </c>
      <c r="D135" s="36">
        <v>1.02</v>
      </c>
      <c r="E135" s="67">
        <v>0</v>
      </c>
      <c r="F135" s="37">
        <v>2.805</v>
      </c>
      <c r="G135" s="38">
        <v>0.9</v>
      </c>
      <c r="H135" s="39">
        <v>9.35</v>
      </c>
      <c r="I135" s="40">
        <v>5498.352234375</v>
      </c>
      <c r="J135" s="41">
        <f t="shared" si="121"/>
        <v>1099.670446875</v>
      </c>
      <c r="K135" s="41">
        <f t="shared" si="122"/>
        <v>2306.792346875</v>
      </c>
      <c r="L135" s="42">
        <v>5583.123</v>
      </c>
      <c r="M135" s="43">
        <f t="shared" si="123"/>
        <v>1116.6246</v>
      </c>
      <c r="N135" s="43">
        <f t="shared" si="124"/>
        <v>2323.7465</v>
      </c>
      <c r="O135" s="40">
        <v>5716.334203125</v>
      </c>
      <c r="P135" s="41">
        <f t="shared" si="125"/>
        <v>1143.266840625</v>
      </c>
      <c r="Q135" s="41">
        <f t="shared" si="126"/>
        <v>2350.388740625</v>
      </c>
      <c r="R135" s="42">
        <v>5837.435296875</v>
      </c>
      <c r="S135" s="43">
        <f t="shared" si="127"/>
        <v>1167.487059375</v>
      </c>
      <c r="T135" s="43">
        <f t="shared" si="128"/>
        <v>2374.608959375</v>
      </c>
      <c r="U135" s="40">
        <v>5970.6465</v>
      </c>
      <c r="V135" s="41">
        <f t="shared" si="129"/>
        <v>1194.1293</v>
      </c>
      <c r="W135" s="41">
        <f t="shared" si="130"/>
        <v>2401.2512</v>
      </c>
      <c r="X135" s="42">
        <v>6103.857703125</v>
      </c>
      <c r="Y135" s="43">
        <f t="shared" si="131"/>
        <v>1220.771540625</v>
      </c>
      <c r="Z135" s="43">
        <f t="shared" si="132"/>
        <v>2427.893440625</v>
      </c>
      <c r="AA135" s="40">
        <v>6237.06890625</v>
      </c>
      <c r="AB135" s="41">
        <f t="shared" si="133"/>
        <v>1247.41378125</v>
      </c>
      <c r="AC135" s="41">
        <f t="shared" si="134"/>
        <v>2454.53568125</v>
      </c>
      <c r="AD135" s="42">
        <v>6467.160984375</v>
      </c>
      <c r="AE135" s="43">
        <f t="shared" si="135"/>
        <v>1293.432196875</v>
      </c>
      <c r="AF135" s="43">
        <f t="shared" si="136"/>
        <v>2500.554096875</v>
      </c>
      <c r="AG135" s="44">
        <v>6842.574375</v>
      </c>
      <c r="AH135" s="45">
        <f t="shared" si="137"/>
        <v>1368.514875</v>
      </c>
      <c r="AI135" s="45">
        <f t="shared" si="138"/>
        <v>2575.636775</v>
      </c>
    </row>
    <row r="136" ht="15" customHeight="1" spans="1:35">
      <c r="A136" s="34"/>
      <c r="B136" s="35" t="s">
        <v>164</v>
      </c>
      <c r="C136" s="36">
        <v>2.95</v>
      </c>
      <c r="D136" s="36">
        <v>1.02</v>
      </c>
      <c r="E136" s="67">
        <v>0</v>
      </c>
      <c r="F136" s="37">
        <v>3.009</v>
      </c>
      <c r="G136" s="38">
        <v>0.9</v>
      </c>
      <c r="H136" s="39">
        <v>9.65</v>
      </c>
      <c r="I136" s="40">
        <v>5763.324328125</v>
      </c>
      <c r="J136" s="41">
        <f t="shared" si="121"/>
        <v>1152.664865625</v>
      </c>
      <c r="K136" s="41">
        <f t="shared" si="122"/>
        <v>2359.786765625</v>
      </c>
      <c r="L136" s="42">
        <v>5851.14075</v>
      </c>
      <c r="M136" s="43">
        <f t="shared" si="123"/>
        <v>1170.22815</v>
      </c>
      <c r="N136" s="43">
        <f t="shared" si="124"/>
        <v>2377.35005</v>
      </c>
      <c r="O136" s="40">
        <v>5989.137984375</v>
      </c>
      <c r="P136" s="41">
        <f t="shared" si="125"/>
        <v>1197.827596875</v>
      </c>
      <c r="Q136" s="41">
        <f t="shared" si="126"/>
        <v>2404.949496875</v>
      </c>
      <c r="R136" s="42">
        <v>6114.590015625</v>
      </c>
      <c r="S136" s="43">
        <f t="shared" si="127"/>
        <v>1222.918003125</v>
      </c>
      <c r="T136" s="43">
        <f t="shared" si="128"/>
        <v>2430.039903125</v>
      </c>
      <c r="U136" s="40">
        <v>6252.58725</v>
      </c>
      <c r="V136" s="41">
        <f t="shared" si="129"/>
        <v>1250.51745</v>
      </c>
      <c r="W136" s="41">
        <f t="shared" si="130"/>
        <v>2457.63935</v>
      </c>
      <c r="X136" s="42">
        <v>6390.584484375</v>
      </c>
      <c r="Y136" s="43">
        <f t="shared" si="131"/>
        <v>1278.116896875</v>
      </c>
      <c r="Z136" s="43">
        <f t="shared" si="132"/>
        <v>2485.238796875</v>
      </c>
      <c r="AA136" s="40">
        <v>6528.58171875</v>
      </c>
      <c r="AB136" s="41">
        <f t="shared" si="133"/>
        <v>1305.71634375</v>
      </c>
      <c r="AC136" s="41">
        <f t="shared" si="134"/>
        <v>2512.83824375</v>
      </c>
      <c r="AD136" s="42">
        <v>6766.940578125</v>
      </c>
      <c r="AE136" s="43">
        <f t="shared" si="135"/>
        <v>1353.388115625</v>
      </c>
      <c r="AF136" s="43">
        <f t="shared" si="136"/>
        <v>2560.510015625</v>
      </c>
      <c r="AG136" s="44">
        <v>7155.841875</v>
      </c>
      <c r="AH136" s="45">
        <f t="shared" si="137"/>
        <v>1431.168375</v>
      </c>
      <c r="AI136" s="45">
        <f t="shared" si="138"/>
        <v>2638.290275</v>
      </c>
    </row>
    <row r="137" ht="15" customHeight="1" spans="1:35">
      <c r="A137" s="34"/>
      <c r="B137" s="35"/>
      <c r="C137" s="36"/>
      <c r="D137" s="36"/>
      <c r="E137" s="67">
        <v>0</v>
      </c>
      <c r="F137" s="37" t="s">
        <v>59</v>
      </c>
      <c r="G137" s="38" t="s">
        <v>59</v>
      </c>
      <c r="H137" s="39" t="s">
        <v>59</v>
      </c>
      <c r="I137" s="40" t="s">
        <v>59</v>
      </c>
      <c r="L137" s="42" t="s">
        <v>59</v>
      </c>
      <c r="O137" s="40" t="s">
        <v>59</v>
      </c>
      <c r="R137" s="42" t="s">
        <v>59</v>
      </c>
      <c r="U137" s="40" t="s">
        <v>59</v>
      </c>
      <c r="X137" s="42" t="s">
        <v>59</v>
      </c>
      <c r="AA137" s="40" t="s">
        <v>59</v>
      </c>
      <c r="AD137" s="42" t="s">
        <v>59</v>
      </c>
      <c r="AG137" s="44" t="s">
        <v>59</v>
      </c>
    </row>
    <row r="138" ht="15" customHeight="1" spans="1:35">
      <c r="A138" s="34"/>
      <c r="B138" s="35" t="s">
        <v>165</v>
      </c>
      <c r="C138" s="36">
        <v>1.2</v>
      </c>
      <c r="D138" s="36">
        <v>1.2</v>
      </c>
      <c r="E138" s="67">
        <v>0</v>
      </c>
      <c r="F138" s="37">
        <v>1.44</v>
      </c>
      <c r="G138" s="38">
        <v>0.9</v>
      </c>
      <c r="H138" s="39">
        <v>6.85</v>
      </c>
      <c r="I138" s="40">
        <v>3545.506453125</v>
      </c>
      <c r="J138" s="41">
        <f>I138/5</f>
        <v>709.101290625</v>
      </c>
      <c r="K138" s="41">
        <f>J138+1207.1219</f>
        <v>1916.223190625</v>
      </c>
      <c r="L138" s="42">
        <v>3604.89675</v>
      </c>
      <c r="M138" s="43">
        <f>L138/5</f>
        <v>720.97935</v>
      </c>
      <c r="N138" s="43">
        <f>M138+1207.1219</f>
        <v>1928.10125</v>
      </c>
      <c r="O138" s="40">
        <v>3698.224359375</v>
      </c>
      <c r="P138" s="41">
        <f>O138/5</f>
        <v>739.644871875</v>
      </c>
      <c r="Q138" s="41">
        <f>P138+1207.1219</f>
        <v>1946.766771875</v>
      </c>
      <c r="R138" s="42">
        <v>3783.067640625</v>
      </c>
      <c r="S138" s="43">
        <f>R138/5</f>
        <v>756.613528125</v>
      </c>
      <c r="T138" s="43">
        <f>S138+1207.1219</f>
        <v>1963.735428125</v>
      </c>
      <c r="U138" s="40">
        <v>3876.39525</v>
      </c>
      <c r="V138" s="41">
        <f>U138/5</f>
        <v>775.27905</v>
      </c>
      <c r="W138" s="41">
        <f>V138+1207.1219</f>
        <v>1982.40095</v>
      </c>
      <c r="X138" s="42">
        <v>3969.722859375</v>
      </c>
      <c r="Y138" s="43">
        <f>X138/5</f>
        <v>793.944571875</v>
      </c>
      <c r="Z138" s="43">
        <f>Y138+1207.1219</f>
        <v>2001.066471875</v>
      </c>
      <c r="AA138" s="40">
        <v>4063.05046875</v>
      </c>
      <c r="AB138" s="41">
        <f>AA138/5</f>
        <v>812.61009375</v>
      </c>
      <c r="AC138" s="41">
        <f>AB138+1207.1219</f>
        <v>2019.73199375</v>
      </c>
      <c r="AD138" s="42">
        <v>4224.252703125</v>
      </c>
      <c r="AE138" s="43">
        <f>AD138/5</f>
        <v>844.850540625</v>
      </c>
      <c r="AF138" s="43">
        <f>AE138+1207.1219</f>
        <v>2051.972440625</v>
      </c>
      <c r="AG138" s="44">
        <v>4487.266875</v>
      </c>
      <c r="AH138" s="45">
        <f>AG138/5</f>
        <v>897.453375</v>
      </c>
      <c r="AI138" s="45">
        <f>AH138+1207.1219</f>
        <v>2104.575275</v>
      </c>
    </row>
    <row r="139" ht="15" customHeight="1" spans="1:35">
      <c r="A139" s="34"/>
      <c r="B139" s="35"/>
      <c r="C139" s="36"/>
      <c r="D139" s="36"/>
      <c r="E139" s="67">
        <v>0</v>
      </c>
      <c r="F139" s="37" t="s">
        <v>59</v>
      </c>
      <c r="G139" s="38" t="s">
        <v>59</v>
      </c>
      <c r="H139" s="39" t="s">
        <v>59</v>
      </c>
      <c r="I139" s="40" t="s">
        <v>59</v>
      </c>
      <c r="L139" s="42" t="s">
        <v>59</v>
      </c>
      <c r="O139" s="40" t="s">
        <v>59</v>
      </c>
      <c r="R139" s="42" t="s">
        <v>59</v>
      </c>
      <c r="U139" s="40" t="s">
        <v>59</v>
      </c>
      <c r="X139" s="42" t="s">
        <v>59</v>
      </c>
      <c r="AA139" s="40" t="s">
        <v>59</v>
      </c>
      <c r="AD139" s="42" t="s">
        <v>59</v>
      </c>
      <c r="AG139" s="44" t="s">
        <v>59</v>
      </c>
    </row>
    <row r="140" ht="15" customHeight="1" spans="1:35">
      <c r="A140" s="34"/>
      <c r="B140" s="35" t="s">
        <v>166</v>
      </c>
      <c r="C140" s="36">
        <v>1.15</v>
      </c>
      <c r="D140" s="36">
        <v>1.45</v>
      </c>
      <c r="E140" s="67">
        <v>0</v>
      </c>
      <c r="F140" s="37">
        <v>1.6675</v>
      </c>
      <c r="G140" s="38">
        <v>0.9</v>
      </c>
      <c r="H140" s="39">
        <v>7.1</v>
      </c>
      <c r="I140" s="40">
        <v>3812.72653125</v>
      </c>
      <c r="J140" s="41">
        <f>I140/5</f>
        <v>762.54530625</v>
      </c>
      <c r="K140" s="41">
        <f>J140+1207.1219</f>
        <v>1969.66720625</v>
      </c>
      <c r="L140" s="42">
        <v>3874.654875</v>
      </c>
      <c r="M140" s="43">
        <f>L140/5</f>
        <v>774.930975</v>
      </c>
      <c r="N140" s="43">
        <f>M140+1207.1219</f>
        <v>1982.052875</v>
      </c>
      <c r="O140" s="40">
        <v>3971.97084375</v>
      </c>
      <c r="P140" s="41">
        <f>O140/5</f>
        <v>794.39416875</v>
      </c>
      <c r="Q140" s="41">
        <f>P140+1207.1219</f>
        <v>2001.51606875</v>
      </c>
      <c r="R140" s="42">
        <v>4060.43990625</v>
      </c>
      <c r="S140" s="43">
        <f>R140/5</f>
        <v>812.08798125</v>
      </c>
      <c r="T140" s="43">
        <f>S140+1207.1219</f>
        <v>2019.20988125</v>
      </c>
      <c r="U140" s="40">
        <v>4157.755875</v>
      </c>
      <c r="V140" s="41">
        <f>U140/5</f>
        <v>831.551175</v>
      </c>
      <c r="W140" s="41">
        <f>V140+1207.1219</f>
        <v>2038.673075</v>
      </c>
      <c r="X140" s="42">
        <v>4255.07184375</v>
      </c>
      <c r="Y140" s="43">
        <f>X140/5</f>
        <v>851.01436875</v>
      </c>
      <c r="Z140" s="43">
        <f>Y140+1207.1219</f>
        <v>2058.13626875</v>
      </c>
      <c r="AA140" s="40">
        <v>4352.3878125</v>
      </c>
      <c r="AB140" s="41">
        <f>AA140/5</f>
        <v>870.4775625</v>
      </c>
      <c r="AC140" s="41">
        <f>AB140+1207.1219</f>
        <v>2077.5994625</v>
      </c>
      <c r="AD140" s="42">
        <v>4520.47903125</v>
      </c>
      <c r="AE140" s="43">
        <f>AD140/5</f>
        <v>904.09580625</v>
      </c>
      <c r="AF140" s="43">
        <f>AE140+1207.1219</f>
        <v>2111.21770625</v>
      </c>
      <c r="AG140" s="44">
        <v>4794.733125</v>
      </c>
      <c r="AH140" s="45">
        <f>AG140/5</f>
        <v>958.946625</v>
      </c>
      <c r="AI140" s="45">
        <f>AH140+1207.1219</f>
        <v>2166.068525</v>
      </c>
    </row>
    <row r="141" ht="15" customHeight="1" spans="1:35">
      <c r="A141" s="34"/>
      <c r="B141" s="35" t="s">
        <v>167</v>
      </c>
      <c r="C141" s="36">
        <v>1.25</v>
      </c>
      <c r="D141" s="36">
        <v>1.45</v>
      </c>
      <c r="E141" s="67">
        <v>0</v>
      </c>
      <c r="F141" s="37">
        <v>1.8125</v>
      </c>
      <c r="G141" s="38">
        <v>0.9</v>
      </c>
      <c r="H141" s="39">
        <v>7.3</v>
      </c>
      <c r="I141" s="40">
        <v>4003.87771875</v>
      </c>
      <c r="J141" s="41">
        <f>I141/5</f>
        <v>800.77554375</v>
      </c>
      <c r="K141" s="41">
        <f>J141+1207.1219</f>
        <v>2007.89744375</v>
      </c>
      <c r="L141" s="42">
        <v>4067.8365</v>
      </c>
      <c r="M141" s="43">
        <f>L141/5</f>
        <v>813.5673</v>
      </c>
      <c r="N141" s="43">
        <f>M141+1207.1219</f>
        <v>2020.6892</v>
      </c>
      <c r="O141" s="40">
        <v>4168.34315625</v>
      </c>
      <c r="P141" s="41">
        <f>O141/5</f>
        <v>833.66863125</v>
      </c>
      <c r="Q141" s="41">
        <f>P141+1207.1219</f>
        <v>2040.79053125</v>
      </c>
      <c r="R141" s="42">
        <v>4259.71284375</v>
      </c>
      <c r="S141" s="43">
        <f>R141/5</f>
        <v>851.94256875</v>
      </c>
      <c r="T141" s="43">
        <f>S141+1207.1219</f>
        <v>2059.06446875</v>
      </c>
      <c r="U141" s="40">
        <v>4360.2195</v>
      </c>
      <c r="V141" s="41">
        <f>U141/5</f>
        <v>872.0439</v>
      </c>
      <c r="W141" s="41">
        <f>V141+1207.1219</f>
        <v>2079.1658</v>
      </c>
      <c r="X141" s="42">
        <v>4460.72615625</v>
      </c>
      <c r="Y141" s="43">
        <f>X141/5</f>
        <v>892.14523125</v>
      </c>
      <c r="Z141" s="43">
        <f>Y141+1207.1219</f>
        <v>2099.26713125</v>
      </c>
      <c r="AA141" s="40">
        <v>4561.2328125</v>
      </c>
      <c r="AB141" s="41">
        <f>AA141/5</f>
        <v>912.2465625</v>
      </c>
      <c r="AC141" s="41">
        <f>AB141+1207.1219</f>
        <v>2119.3684625</v>
      </c>
      <c r="AD141" s="42">
        <v>4734.83521875</v>
      </c>
      <c r="AE141" s="43">
        <f>AD141/5</f>
        <v>946.96704375</v>
      </c>
      <c r="AF141" s="43">
        <f>AE141+1207.1219</f>
        <v>2154.08894375</v>
      </c>
      <c r="AG141" s="44">
        <v>5018.08125</v>
      </c>
      <c r="AH141" s="45">
        <f>AG141/5</f>
        <v>1003.61625</v>
      </c>
      <c r="AI141" s="45">
        <f>AH141+1207.1219</f>
        <v>2210.73815</v>
      </c>
    </row>
    <row r="142" ht="15" customHeight="1" spans="1:35">
      <c r="A142" s="73" t="s">
        <v>111</v>
      </c>
      <c r="B142" s="35" t="s">
        <v>168</v>
      </c>
      <c r="C142" s="36">
        <v>1.35</v>
      </c>
      <c r="D142" s="36">
        <v>1.45</v>
      </c>
      <c r="E142" s="67">
        <v>0</v>
      </c>
      <c r="F142" s="37">
        <v>1.9575</v>
      </c>
      <c r="G142" s="38">
        <v>0.9</v>
      </c>
      <c r="H142" s="39">
        <v>7.5</v>
      </c>
      <c r="I142" s="40">
        <v>4195.02890625</v>
      </c>
      <c r="J142" s="41">
        <f>I142/5</f>
        <v>839.00578125</v>
      </c>
      <c r="K142" s="41">
        <f>J142+1207.1219</f>
        <v>2046.12768125</v>
      </c>
      <c r="L142" s="42">
        <v>4261.018125</v>
      </c>
      <c r="M142" s="43">
        <f>L142/5</f>
        <v>852.203625</v>
      </c>
      <c r="N142" s="43">
        <f>M142+1207.1219</f>
        <v>2059.325525</v>
      </c>
      <c r="O142" s="40">
        <v>4364.71546875</v>
      </c>
      <c r="P142" s="41">
        <f>O142/5</f>
        <v>872.94309375</v>
      </c>
      <c r="Q142" s="41">
        <f>P142+1207.1219</f>
        <v>2080.06499375</v>
      </c>
      <c r="R142" s="42">
        <v>4458.98578125</v>
      </c>
      <c r="S142" s="43">
        <f>R142/5</f>
        <v>891.79715625</v>
      </c>
      <c r="T142" s="43">
        <f>S142+1207.1219</f>
        <v>2098.91905625</v>
      </c>
      <c r="U142" s="40">
        <v>4562.683125</v>
      </c>
      <c r="V142" s="41">
        <f>U142/5</f>
        <v>912.536625</v>
      </c>
      <c r="W142" s="41">
        <f>V142+1207.1219</f>
        <v>2119.658525</v>
      </c>
      <c r="X142" s="42">
        <v>4666.38046875</v>
      </c>
      <c r="Y142" s="43">
        <f>X142/5</f>
        <v>933.27609375</v>
      </c>
      <c r="Z142" s="43">
        <f>Y142+1207.1219</f>
        <v>2140.39799375</v>
      </c>
      <c r="AA142" s="40">
        <v>4770.0778125</v>
      </c>
      <c r="AB142" s="41">
        <f>AA142/5</f>
        <v>954.0155625</v>
      </c>
      <c r="AC142" s="41">
        <f>AB142+1207.1219</f>
        <v>2161.1374625</v>
      </c>
      <c r="AD142" s="42">
        <v>4949.19140625</v>
      </c>
      <c r="AE142" s="43">
        <f>AD142/5</f>
        <v>989.83828125</v>
      </c>
      <c r="AF142" s="43">
        <f>AE142+1207.1219</f>
        <v>2196.96018125</v>
      </c>
      <c r="AG142" s="44">
        <v>5241.429375</v>
      </c>
      <c r="AH142" s="45">
        <f>AG142/5</f>
        <v>1048.285875</v>
      </c>
      <c r="AI142" s="45">
        <f>AH142+1207.1219</f>
        <v>2255.407775</v>
      </c>
    </row>
    <row r="143" ht="15" customHeight="1" spans="1:35">
      <c r="A143" s="34"/>
      <c r="B143" s="35"/>
      <c r="C143" s="36"/>
      <c r="D143" s="36"/>
      <c r="E143" s="67">
        <v>0</v>
      </c>
      <c r="F143" s="37" t="s">
        <v>59</v>
      </c>
      <c r="G143" s="38" t="s">
        <v>59</v>
      </c>
      <c r="H143" s="39" t="s">
        <v>59</v>
      </c>
      <c r="I143" s="40" t="s">
        <v>59</v>
      </c>
      <c r="L143" s="42" t="s">
        <v>59</v>
      </c>
      <c r="O143" s="40" t="s">
        <v>59</v>
      </c>
      <c r="R143" s="42" t="s">
        <v>59</v>
      </c>
      <c r="U143" s="40" t="s">
        <v>59</v>
      </c>
      <c r="X143" s="42" t="s">
        <v>59</v>
      </c>
      <c r="AA143" s="40" t="s">
        <v>59</v>
      </c>
      <c r="AD143" s="42" t="s">
        <v>59</v>
      </c>
      <c r="AG143" s="44" t="s">
        <v>59</v>
      </c>
    </row>
    <row r="144" ht="15" customHeight="1" spans="1:35">
      <c r="A144" s="34"/>
      <c r="B144" s="75" t="s">
        <v>169</v>
      </c>
      <c r="C144" s="36">
        <v>0.95</v>
      </c>
      <c r="D144" s="36">
        <v>1.02</v>
      </c>
      <c r="E144" s="67">
        <v>0</v>
      </c>
      <c r="F144" s="37">
        <v>0.969</v>
      </c>
      <c r="G144" s="38">
        <v>0.47</v>
      </c>
      <c r="H144" s="39">
        <v>3.55</v>
      </c>
      <c r="I144" s="40">
        <v>2240.660296875</v>
      </c>
      <c r="J144" s="41">
        <f>I144/5</f>
        <v>448.132059375</v>
      </c>
      <c r="K144" s="41">
        <f>J144+1207.1219</f>
        <v>1655.253959375</v>
      </c>
      <c r="L144" s="42">
        <v>2266.548375</v>
      </c>
      <c r="M144" s="43">
        <f>L144/5</f>
        <v>453.309675</v>
      </c>
      <c r="N144" s="43">
        <f>M144+1207.1219</f>
        <v>1660.431575</v>
      </c>
      <c r="O144" s="40">
        <v>2307.229640625</v>
      </c>
      <c r="P144" s="41">
        <f>O144/5</f>
        <v>461.445928125</v>
      </c>
      <c r="Q144" s="41">
        <f>P144+1207.1219</f>
        <v>1668.567828125</v>
      </c>
      <c r="R144" s="42">
        <v>2344.212609375</v>
      </c>
      <c r="S144" s="43">
        <f>R144/5</f>
        <v>468.842521875</v>
      </c>
      <c r="T144" s="43">
        <f>S144+1207.1219</f>
        <v>1675.964421875</v>
      </c>
      <c r="U144" s="40">
        <v>2384.893875</v>
      </c>
      <c r="V144" s="41">
        <f>U144/5</f>
        <v>476.978775</v>
      </c>
      <c r="W144" s="41">
        <f>V144+1207.1219</f>
        <v>1684.100675</v>
      </c>
      <c r="X144" s="42">
        <v>2425.575140625</v>
      </c>
      <c r="Y144" s="43">
        <f>X144/5</f>
        <v>485.115028125</v>
      </c>
      <c r="Z144" s="43">
        <f>Y144+1207.1219</f>
        <v>1692.236928125</v>
      </c>
      <c r="AA144" s="40">
        <v>2466.25640625</v>
      </c>
      <c r="AB144" s="41">
        <f>AA144/5</f>
        <v>493.25128125</v>
      </c>
      <c r="AC144" s="41">
        <f>AB144+1207.1219</f>
        <v>1700.37318125</v>
      </c>
      <c r="AD144" s="42">
        <v>2536.524046875</v>
      </c>
      <c r="AE144" s="43">
        <f>AD144/5</f>
        <v>507.304809375</v>
      </c>
      <c r="AF144" s="43">
        <f>AE144+1207.1219</f>
        <v>1714.426709375</v>
      </c>
      <c r="AG144" s="44">
        <v>2651.17125</v>
      </c>
      <c r="AH144" s="45">
        <f>AG144/5</f>
        <v>530.23425</v>
      </c>
      <c r="AI144" s="45">
        <f>AH144+1207.1219</f>
        <v>1737.35615</v>
      </c>
    </row>
    <row r="145" ht="15" customHeight="1" spans="1:35">
      <c r="A145" s="34"/>
      <c r="B145" s="75" t="s">
        <v>170</v>
      </c>
      <c r="C145" s="36">
        <v>1.05</v>
      </c>
      <c r="D145" s="36">
        <v>1.02</v>
      </c>
      <c r="E145" s="67">
        <v>0</v>
      </c>
      <c r="F145" s="37">
        <v>1.071</v>
      </c>
      <c r="G145" s="38">
        <v>0.47</v>
      </c>
      <c r="H145" s="39">
        <v>3.6</v>
      </c>
      <c r="I145" s="40">
        <v>2368.9404375</v>
      </c>
      <c r="J145" s="41">
        <f>I145/5</f>
        <v>473.7880875</v>
      </c>
      <c r="K145" s="41">
        <f>J145+1207.1219</f>
        <v>1680.9099875</v>
      </c>
      <c r="L145" s="42">
        <v>2395.336125</v>
      </c>
      <c r="M145" s="43">
        <f>L145/5</f>
        <v>479.067225</v>
      </c>
      <c r="N145" s="43">
        <f>M145+1207.1219</f>
        <v>1686.189125</v>
      </c>
      <c r="O145" s="40">
        <v>2436.8150625</v>
      </c>
      <c r="P145" s="41">
        <f>O145/5</f>
        <v>487.3630125</v>
      </c>
      <c r="Q145" s="41">
        <f>P145+1207.1219</f>
        <v>1694.4849125</v>
      </c>
      <c r="R145" s="42">
        <v>2474.5231875</v>
      </c>
      <c r="S145" s="43">
        <f>R145/5</f>
        <v>494.9046375</v>
      </c>
      <c r="T145" s="43">
        <f>S145+1207.1219</f>
        <v>1702.0265375</v>
      </c>
      <c r="U145" s="40">
        <v>2516.002125</v>
      </c>
      <c r="V145" s="41">
        <f>U145/5</f>
        <v>503.200425</v>
      </c>
      <c r="W145" s="41">
        <f>V145+1207.1219</f>
        <v>1710.322325</v>
      </c>
      <c r="X145" s="42">
        <v>2557.4810625</v>
      </c>
      <c r="Y145" s="43">
        <f>X145/5</f>
        <v>511.4962125</v>
      </c>
      <c r="Z145" s="43">
        <f>Y145+1207.1219</f>
        <v>1718.6181125</v>
      </c>
      <c r="AA145" s="40">
        <v>2598.96</v>
      </c>
      <c r="AB145" s="41">
        <f>AA145/5</f>
        <v>519.792</v>
      </c>
      <c r="AC145" s="41">
        <f>AB145+1207.1219</f>
        <v>1726.9139</v>
      </c>
      <c r="AD145" s="42">
        <v>2670.6054375</v>
      </c>
      <c r="AE145" s="43">
        <f>AD145/5</f>
        <v>534.1210875</v>
      </c>
      <c r="AF145" s="43">
        <f>AE145+1207.1219</f>
        <v>1741.2429875</v>
      </c>
      <c r="AG145" s="44">
        <v>2787.500625</v>
      </c>
      <c r="AH145" s="45">
        <f>AG145/5</f>
        <v>557.500125</v>
      </c>
      <c r="AI145" s="45">
        <f>AH145+1207.1219</f>
        <v>1764.622025</v>
      </c>
    </row>
    <row r="146" ht="15" customHeight="1" spans="1:35">
      <c r="A146" s="34"/>
      <c r="B146" s="75" t="s">
        <v>171</v>
      </c>
      <c r="C146" s="36">
        <v>1.15</v>
      </c>
      <c r="D146" s="36">
        <v>1.02</v>
      </c>
      <c r="E146" s="67">
        <v>0</v>
      </c>
      <c r="F146" s="37">
        <v>1.173</v>
      </c>
      <c r="G146" s="38">
        <v>0.47</v>
      </c>
      <c r="H146" s="39">
        <v>4.3</v>
      </c>
      <c r="I146" s="40">
        <v>2575.31990625</v>
      </c>
      <c r="J146" s="41">
        <f>I146/5</f>
        <v>515.06398125</v>
      </c>
      <c r="K146" s="41">
        <f>J146+1207.1219</f>
        <v>1722.18588125</v>
      </c>
      <c r="L146" s="42">
        <v>2608.822125</v>
      </c>
      <c r="M146" s="43">
        <f>L146/5</f>
        <v>521.764425</v>
      </c>
      <c r="N146" s="43">
        <f>M146+1207.1219</f>
        <v>1728.886325</v>
      </c>
      <c r="O146" s="40">
        <v>2661.46846875</v>
      </c>
      <c r="P146" s="41">
        <f>O146/5</f>
        <v>532.29369375</v>
      </c>
      <c r="Q146" s="41">
        <f>P146+1207.1219</f>
        <v>1739.41559375</v>
      </c>
      <c r="R146" s="42">
        <v>2709.32878125</v>
      </c>
      <c r="S146" s="43">
        <f>R146/5</f>
        <v>541.86575625</v>
      </c>
      <c r="T146" s="43">
        <f>S146+1207.1219</f>
        <v>1748.98765625</v>
      </c>
      <c r="U146" s="40">
        <v>2761.975125</v>
      </c>
      <c r="V146" s="41">
        <f>U146/5</f>
        <v>552.395025</v>
      </c>
      <c r="W146" s="41">
        <f>V146+1207.1219</f>
        <v>1759.516925</v>
      </c>
      <c r="X146" s="42">
        <v>2814.62146875</v>
      </c>
      <c r="Y146" s="43">
        <f>X146/5</f>
        <v>562.92429375</v>
      </c>
      <c r="Z146" s="43">
        <f>Y146+1207.1219</f>
        <v>1770.04619375</v>
      </c>
      <c r="AA146" s="40">
        <v>2867.2678125</v>
      </c>
      <c r="AB146" s="41">
        <f>AA146/5</f>
        <v>573.4535625</v>
      </c>
      <c r="AC146" s="41">
        <f>AB146+1207.1219</f>
        <v>1780.5754625</v>
      </c>
      <c r="AD146" s="42">
        <v>2958.20240625</v>
      </c>
      <c r="AE146" s="43">
        <f>AD146/5</f>
        <v>591.64048125</v>
      </c>
      <c r="AF146" s="43">
        <f>AE146+1207.1219</f>
        <v>1798.76238125</v>
      </c>
      <c r="AG146" s="44">
        <v>3106.569375</v>
      </c>
      <c r="AH146" s="45">
        <f>AG146/5</f>
        <v>621.313875</v>
      </c>
      <c r="AI146" s="45">
        <f>AH146+1207.1219</f>
        <v>1828.435775</v>
      </c>
    </row>
    <row r="147" ht="15" customHeight="1" spans="1:35">
      <c r="A147" s="34"/>
      <c r="B147" s="75"/>
      <c r="C147" s="36"/>
      <c r="D147" s="36"/>
      <c r="E147" s="67">
        <v>0</v>
      </c>
      <c r="F147" s="37" t="s">
        <v>59</v>
      </c>
      <c r="G147" s="38" t="s">
        <v>59</v>
      </c>
      <c r="H147" s="39" t="s">
        <v>59</v>
      </c>
      <c r="I147" s="40" t="s">
        <v>59</v>
      </c>
      <c r="L147" s="42" t="s">
        <v>59</v>
      </c>
      <c r="O147" s="40" t="s">
        <v>59</v>
      </c>
      <c r="R147" s="42" t="s">
        <v>59</v>
      </c>
      <c r="U147" s="40" t="s">
        <v>59</v>
      </c>
      <c r="X147" s="42" t="s">
        <v>59</v>
      </c>
      <c r="AA147" s="40" t="s">
        <v>59</v>
      </c>
      <c r="AD147" s="42" t="s">
        <v>59</v>
      </c>
      <c r="AG147" s="44" t="s">
        <v>59</v>
      </c>
    </row>
    <row r="148" ht="15" customHeight="1" spans="1:35">
      <c r="A148" s="25" t="s">
        <v>172</v>
      </c>
      <c r="B148" s="26" t="s">
        <v>37</v>
      </c>
      <c r="C148" s="27" t="s">
        <v>38</v>
      </c>
      <c r="D148" s="27" t="s">
        <v>39</v>
      </c>
      <c r="E148" s="66" t="s">
        <v>40</v>
      </c>
      <c r="F148" s="28" t="s">
        <v>41</v>
      </c>
      <c r="G148" s="28" t="s">
        <v>42</v>
      </c>
      <c r="H148" s="29" t="s">
        <v>43</v>
      </c>
      <c r="I148" s="51" t="s">
        <v>44</v>
      </c>
      <c r="J148" s="31" t="s">
        <v>45</v>
      </c>
      <c r="K148" s="31" t="s">
        <v>46</v>
      </c>
      <c r="L148" s="51" t="s">
        <v>47</v>
      </c>
      <c r="M148" s="31" t="s">
        <v>45</v>
      </c>
      <c r="N148" s="31" t="s">
        <v>46</v>
      </c>
      <c r="O148" s="51" t="s">
        <v>48</v>
      </c>
      <c r="P148" s="31" t="s">
        <v>45</v>
      </c>
      <c r="Q148" s="31" t="s">
        <v>46</v>
      </c>
      <c r="R148" s="51" t="s">
        <v>49</v>
      </c>
      <c r="S148" s="31" t="s">
        <v>45</v>
      </c>
      <c r="T148" s="31" t="s">
        <v>46</v>
      </c>
      <c r="U148" s="51" t="s">
        <v>50</v>
      </c>
      <c r="V148" s="31" t="s">
        <v>45</v>
      </c>
      <c r="W148" s="31" t="s">
        <v>46</v>
      </c>
      <c r="X148" s="51" t="s">
        <v>51</v>
      </c>
      <c r="Y148" s="31" t="s">
        <v>45</v>
      </c>
      <c r="Z148" s="31" t="s">
        <v>46</v>
      </c>
      <c r="AA148" s="51" t="s">
        <v>52</v>
      </c>
      <c r="AB148" s="31" t="s">
        <v>45</v>
      </c>
      <c r="AC148" s="31" t="s">
        <v>46</v>
      </c>
      <c r="AD148" s="51" t="s">
        <v>53</v>
      </c>
      <c r="AE148" s="31" t="s">
        <v>45</v>
      </c>
      <c r="AF148" s="31" t="s">
        <v>46</v>
      </c>
      <c r="AG148" s="52" t="s">
        <v>54</v>
      </c>
      <c r="AH148" s="33" t="s">
        <v>45</v>
      </c>
      <c r="AI148" s="33" t="s">
        <v>46</v>
      </c>
    </row>
    <row r="149" ht="15" customHeight="1" spans="1:35">
      <c r="A149" s="34"/>
      <c r="B149" s="35" t="s">
        <v>173</v>
      </c>
      <c r="C149" s="36">
        <v>1.1</v>
      </c>
      <c r="D149" s="36">
        <v>1.02</v>
      </c>
      <c r="E149" s="67">
        <v>0</v>
      </c>
      <c r="F149" s="37">
        <v>1.122</v>
      </c>
      <c r="G149" s="38">
        <v>0.8</v>
      </c>
      <c r="H149" s="39">
        <v>8.1</v>
      </c>
      <c r="I149" s="40">
        <v>4565.38963125</v>
      </c>
      <c r="J149" s="41">
        <f t="shared" ref="J149:J154" si="139">I149/5</f>
        <v>913.07792625</v>
      </c>
      <c r="K149" s="41">
        <f t="shared" ref="K149:K154" si="140">J149+518.4688</f>
        <v>1431.54672625</v>
      </c>
      <c r="L149" s="42">
        <v>4639.688025</v>
      </c>
      <c r="M149" s="43">
        <f t="shared" ref="M149:M154" si="141">L149/5</f>
        <v>927.937605</v>
      </c>
      <c r="N149" s="43">
        <f t="shared" ref="N149:N154" si="142">M149+518.4688</f>
        <v>1446.406405</v>
      </c>
      <c r="O149" s="40">
        <v>4756.44264375</v>
      </c>
      <c r="P149" s="41">
        <f t="shared" ref="P149:P154" si="143">O149/5</f>
        <v>951.28852875</v>
      </c>
      <c r="Q149" s="41">
        <f t="shared" ref="Q149:Q154" si="144">P149+518.4688</f>
        <v>1469.75732875</v>
      </c>
      <c r="R149" s="42">
        <v>4862.58320625</v>
      </c>
      <c r="S149" s="43">
        <f t="shared" ref="S149:S154" si="145">R149/5</f>
        <v>972.51664125</v>
      </c>
      <c r="T149" s="43">
        <f t="shared" ref="T149:T154" si="146">S149+518.4688</f>
        <v>1490.98544125</v>
      </c>
      <c r="U149" s="40">
        <v>4979.337825</v>
      </c>
      <c r="V149" s="41">
        <f t="shared" ref="V149:V154" si="147">U149/5</f>
        <v>995.867565</v>
      </c>
      <c r="W149" s="41">
        <f t="shared" ref="W149:W154" si="148">V149+518.4688</f>
        <v>1514.336365</v>
      </c>
      <c r="X149" s="42">
        <v>5096.09244375</v>
      </c>
      <c r="Y149" s="43">
        <f t="shared" ref="Y149:Y154" si="149">X149/5</f>
        <v>1019.21848875</v>
      </c>
      <c r="Z149" s="43">
        <f t="shared" ref="Z149:Z154" si="150">Y149+518.4688</f>
        <v>1537.68728875</v>
      </c>
      <c r="AA149" s="40">
        <v>5212.8470625</v>
      </c>
      <c r="AB149" s="41">
        <f t="shared" ref="AB149:AB154" si="151">AA149/5</f>
        <v>1042.5694125</v>
      </c>
      <c r="AC149" s="41">
        <f t="shared" ref="AC149:AC154" si="152">AB149+518.4688</f>
        <v>1561.0382125</v>
      </c>
      <c r="AD149" s="42">
        <v>5414.51413125</v>
      </c>
      <c r="AE149" s="43">
        <f t="shared" ref="AE149:AE154" si="153">AD149/5</f>
        <v>1082.90282625</v>
      </c>
      <c r="AF149" s="43">
        <f t="shared" ref="AF149:AF154" si="154">AE149+518.4688</f>
        <v>1601.37162625</v>
      </c>
      <c r="AG149" s="44">
        <v>5743.549875</v>
      </c>
      <c r="AH149" s="45">
        <f t="shared" ref="AH149:AH154" si="155">AG149/5</f>
        <v>1148.709975</v>
      </c>
      <c r="AI149" s="45">
        <f t="shared" ref="AI149:AI154" si="156">AH149+518.4688</f>
        <v>1667.178775</v>
      </c>
    </row>
    <row r="150" ht="15" customHeight="1" spans="1:35">
      <c r="A150" s="34"/>
      <c r="B150" s="35" t="s">
        <v>174</v>
      </c>
      <c r="C150" s="36">
        <v>1.2</v>
      </c>
      <c r="D150" s="36">
        <v>1.02</v>
      </c>
      <c r="E150" s="67">
        <v>0</v>
      </c>
      <c r="F150" s="37">
        <v>1.224</v>
      </c>
      <c r="G150" s="38">
        <v>0.8</v>
      </c>
      <c r="H150" s="39">
        <v>8.2</v>
      </c>
      <c r="I150" s="40">
        <v>4695.2997</v>
      </c>
      <c r="J150" s="41">
        <f t="shared" si="139"/>
        <v>939.05994</v>
      </c>
      <c r="K150" s="41">
        <f t="shared" si="140"/>
        <v>1457.52874</v>
      </c>
      <c r="L150" s="42">
        <v>4770.64455</v>
      </c>
      <c r="M150" s="43">
        <f t="shared" si="141"/>
        <v>954.12891</v>
      </c>
      <c r="N150" s="43">
        <f t="shared" si="142"/>
        <v>1472.59771</v>
      </c>
      <c r="O150" s="40">
        <v>4889.0436</v>
      </c>
      <c r="P150" s="41">
        <f t="shared" si="143"/>
        <v>977.80872</v>
      </c>
      <c r="Q150" s="41">
        <f t="shared" si="144"/>
        <v>1496.27752</v>
      </c>
      <c r="R150" s="42">
        <v>4996.6791</v>
      </c>
      <c r="S150" s="43">
        <f t="shared" si="145"/>
        <v>999.33582</v>
      </c>
      <c r="T150" s="43">
        <f t="shared" si="146"/>
        <v>1517.80462</v>
      </c>
      <c r="U150" s="40">
        <v>5115.07815</v>
      </c>
      <c r="V150" s="41">
        <f t="shared" si="147"/>
        <v>1023.01563</v>
      </c>
      <c r="W150" s="41">
        <f t="shared" si="148"/>
        <v>1541.48443</v>
      </c>
      <c r="X150" s="42">
        <v>5233.4772</v>
      </c>
      <c r="Y150" s="43">
        <f t="shared" si="149"/>
        <v>1046.69544</v>
      </c>
      <c r="Z150" s="43">
        <f t="shared" si="150"/>
        <v>1565.16424</v>
      </c>
      <c r="AA150" s="40">
        <v>5351.87625</v>
      </c>
      <c r="AB150" s="41">
        <f t="shared" si="151"/>
        <v>1070.37525</v>
      </c>
      <c r="AC150" s="41">
        <f t="shared" si="152"/>
        <v>1588.84405</v>
      </c>
      <c r="AD150" s="42">
        <v>5556.3837</v>
      </c>
      <c r="AE150" s="43">
        <f t="shared" si="153"/>
        <v>1111.27674</v>
      </c>
      <c r="AF150" s="43">
        <f t="shared" si="154"/>
        <v>1629.74554</v>
      </c>
      <c r="AG150" s="44">
        <v>5890.05375</v>
      </c>
      <c r="AH150" s="45">
        <f t="shared" si="155"/>
        <v>1178.01075</v>
      </c>
      <c r="AI150" s="45">
        <f t="shared" si="156"/>
        <v>1696.47955</v>
      </c>
    </row>
    <row r="151" ht="15" customHeight="1" spans="1:35">
      <c r="A151" s="34"/>
      <c r="B151" s="35" t="s">
        <v>175</v>
      </c>
      <c r="C151" s="36">
        <v>1.3</v>
      </c>
      <c r="D151" s="36">
        <v>1.02</v>
      </c>
      <c r="E151" s="67">
        <v>0</v>
      </c>
      <c r="F151" s="37">
        <v>1.326</v>
      </c>
      <c r="G151" s="38">
        <v>0.8</v>
      </c>
      <c r="H151" s="39">
        <v>8.3</v>
      </c>
      <c r="I151" s="40">
        <v>4825.20976875</v>
      </c>
      <c r="J151" s="41">
        <f t="shared" si="139"/>
        <v>965.04195375</v>
      </c>
      <c r="K151" s="41">
        <f t="shared" si="140"/>
        <v>1483.51075375</v>
      </c>
      <c r="L151" s="42">
        <v>4901.601075</v>
      </c>
      <c r="M151" s="43">
        <f t="shared" si="141"/>
        <v>980.320215</v>
      </c>
      <c r="N151" s="43">
        <f t="shared" si="142"/>
        <v>1498.789015</v>
      </c>
      <c r="O151" s="40">
        <v>5021.64455625</v>
      </c>
      <c r="P151" s="41">
        <f t="shared" si="143"/>
        <v>1004.32891125</v>
      </c>
      <c r="Q151" s="41">
        <f t="shared" si="144"/>
        <v>1522.79771125</v>
      </c>
      <c r="R151" s="42">
        <v>5130.77499375</v>
      </c>
      <c r="S151" s="43">
        <f t="shared" si="145"/>
        <v>1026.15499875</v>
      </c>
      <c r="T151" s="43">
        <f t="shared" si="146"/>
        <v>1544.62379875</v>
      </c>
      <c r="U151" s="40">
        <v>5250.818475</v>
      </c>
      <c r="V151" s="41">
        <f t="shared" si="147"/>
        <v>1050.163695</v>
      </c>
      <c r="W151" s="41">
        <f t="shared" si="148"/>
        <v>1568.632495</v>
      </c>
      <c r="X151" s="42">
        <v>5370.86195625</v>
      </c>
      <c r="Y151" s="43">
        <f t="shared" si="149"/>
        <v>1074.17239125</v>
      </c>
      <c r="Z151" s="43">
        <f t="shared" si="150"/>
        <v>1592.64119125</v>
      </c>
      <c r="AA151" s="40">
        <v>5490.9054375</v>
      </c>
      <c r="AB151" s="41">
        <f t="shared" si="151"/>
        <v>1098.1810875</v>
      </c>
      <c r="AC151" s="41">
        <f t="shared" si="152"/>
        <v>1616.6498875</v>
      </c>
      <c r="AD151" s="42">
        <v>5698.25326875</v>
      </c>
      <c r="AE151" s="43">
        <f t="shared" si="153"/>
        <v>1139.65065375</v>
      </c>
      <c r="AF151" s="43">
        <f t="shared" si="154"/>
        <v>1658.11945375</v>
      </c>
      <c r="AG151" s="44">
        <v>6036.557625</v>
      </c>
      <c r="AH151" s="45">
        <f t="shared" si="155"/>
        <v>1207.311525</v>
      </c>
      <c r="AI151" s="45">
        <f t="shared" si="156"/>
        <v>1725.780325</v>
      </c>
    </row>
    <row r="152" ht="15" customHeight="1" spans="1:35">
      <c r="A152" s="34"/>
      <c r="B152" s="35" t="s">
        <v>176</v>
      </c>
      <c r="C152" s="36">
        <v>1.4</v>
      </c>
      <c r="D152" s="36">
        <v>1.02</v>
      </c>
      <c r="E152" s="67">
        <v>0</v>
      </c>
      <c r="F152" s="37">
        <v>1.428</v>
      </c>
      <c r="G152" s="38">
        <v>0.8</v>
      </c>
      <c r="H152" s="39">
        <v>8.4</v>
      </c>
      <c r="I152" s="40">
        <v>4952.1299625</v>
      </c>
      <c r="J152" s="41">
        <f t="shared" si="139"/>
        <v>990.4259925</v>
      </c>
      <c r="K152" s="41">
        <f t="shared" si="140"/>
        <v>1508.8947925</v>
      </c>
      <c r="L152" s="42">
        <v>5029.567725</v>
      </c>
      <c r="M152" s="43">
        <f t="shared" si="141"/>
        <v>1005.913545</v>
      </c>
      <c r="N152" s="43">
        <f t="shared" si="142"/>
        <v>1524.382345</v>
      </c>
      <c r="O152" s="40">
        <v>5151.2556375</v>
      </c>
      <c r="P152" s="41">
        <f t="shared" si="143"/>
        <v>1030.2511275</v>
      </c>
      <c r="Q152" s="41">
        <f t="shared" si="144"/>
        <v>1548.7199275</v>
      </c>
      <c r="R152" s="42">
        <v>5261.8810125</v>
      </c>
      <c r="S152" s="43">
        <f t="shared" si="145"/>
        <v>1052.3762025</v>
      </c>
      <c r="T152" s="43">
        <f t="shared" si="146"/>
        <v>1570.8450025</v>
      </c>
      <c r="U152" s="40">
        <v>5383.568925</v>
      </c>
      <c r="V152" s="41">
        <f t="shared" si="147"/>
        <v>1076.713785</v>
      </c>
      <c r="W152" s="41">
        <f t="shared" si="148"/>
        <v>1595.182585</v>
      </c>
      <c r="X152" s="42">
        <v>5505.2568375</v>
      </c>
      <c r="Y152" s="43">
        <f t="shared" si="149"/>
        <v>1101.0513675</v>
      </c>
      <c r="Z152" s="43">
        <f t="shared" si="150"/>
        <v>1619.5201675</v>
      </c>
      <c r="AA152" s="40">
        <v>5626.94475</v>
      </c>
      <c r="AB152" s="41">
        <f t="shared" si="151"/>
        <v>1125.38895</v>
      </c>
      <c r="AC152" s="41">
        <f t="shared" si="152"/>
        <v>1643.85775</v>
      </c>
      <c r="AD152" s="42">
        <v>5837.1329625</v>
      </c>
      <c r="AE152" s="43">
        <f t="shared" si="153"/>
        <v>1167.4265925</v>
      </c>
      <c r="AF152" s="43">
        <f t="shared" si="154"/>
        <v>1685.8953925</v>
      </c>
      <c r="AG152" s="44">
        <v>6180.071625</v>
      </c>
      <c r="AH152" s="45">
        <f t="shared" si="155"/>
        <v>1236.014325</v>
      </c>
      <c r="AI152" s="45">
        <f t="shared" si="156"/>
        <v>1754.483125</v>
      </c>
    </row>
    <row r="153" ht="15" customHeight="1" spans="1:35">
      <c r="A153" s="34"/>
      <c r="B153" s="35" t="s">
        <v>177</v>
      </c>
      <c r="C153" s="36">
        <v>1.5</v>
      </c>
      <c r="D153" s="36">
        <v>1.02</v>
      </c>
      <c r="E153" s="67">
        <v>0</v>
      </c>
      <c r="F153" s="37">
        <v>1.53</v>
      </c>
      <c r="G153" s="38">
        <v>0.8</v>
      </c>
      <c r="H153" s="39">
        <v>8.5</v>
      </c>
      <c r="I153" s="40">
        <v>5079.05015625</v>
      </c>
      <c r="J153" s="41">
        <f t="shared" si="139"/>
        <v>1015.81003125</v>
      </c>
      <c r="K153" s="41">
        <f t="shared" si="140"/>
        <v>1534.27883125</v>
      </c>
      <c r="L153" s="42">
        <v>5157.534375</v>
      </c>
      <c r="M153" s="43">
        <f t="shared" si="141"/>
        <v>1031.506875</v>
      </c>
      <c r="N153" s="43">
        <f t="shared" si="142"/>
        <v>1549.975675</v>
      </c>
      <c r="O153" s="40">
        <v>5280.86671875</v>
      </c>
      <c r="P153" s="41">
        <f t="shared" si="143"/>
        <v>1056.17334375</v>
      </c>
      <c r="Q153" s="41">
        <f t="shared" si="144"/>
        <v>1574.64214375</v>
      </c>
      <c r="R153" s="42">
        <v>5392.98703125</v>
      </c>
      <c r="S153" s="43">
        <f t="shared" si="145"/>
        <v>1078.59740625</v>
      </c>
      <c r="T153" s="43">
        <f t="shared" si="146"/>
        <v>1597.06620625</v>
      </c>
      <c r="U153" s="40">
        <v>5516.319375</v>
      </c>
      <c r="V153" s="41">
        <f t="shared" si="147"/>
        <v>1103.263875</v>
      </c>
      <c r="W153" s="41">
        <f t="shared" si="148"/>
        <v>1621.732675</v>
      </c>
      <c r="X153" s="42">
        <v>5639.65171875</v>
      </c>
      <c r="Y153" s="43">
        <f t="shared" si="149"/>
        <v>1127.93034375</v>
      </c>
      <c r="Z153" s="43">
        <f t="shared" si="150"/>
        <v>1646.39914375</v>
      </c>
      <c r="AA153" s="40">
        <v>5762.9840625</v>
      </c>
      <c r="AB153" s="41">
        <f t="shared" si="151"/>
        <v>1152.5968125</v>
      </c>
      <c r="AC153" s="41">
        <f t="shared" si="152"/>
        <v>1671.0656125</v>
      </c>
      <c r="AD153" s="42">
        <v>5976.01265625</v>
      </c>
      <c r="AE153" s="43">
        <f t="shared" si="153"/>
        <v>1195.20253125</v>
      </c>
      <c r="AF153" s="43">
        <f t="shared" si="154"/>
        <v>1713.67133125</v>
      </c>
      <c r="AG153" s="44">
        <v>6323.585625</v>
      </c>
      <c r="AH153" s="45">
        <f t="shared" si="155"/>
        <v>1264.717125</v>
      </c>
      <c r="AI153" s="45">
        <f t="shared" si="156"/>
        <v>1783.185925</v>
      </c>
    </row>
    <row r="154" ht="15" customHeight="1" spans="1:35">
      <c r="A154" s="34"/>
      <c r="B154" s="35" t="s">
        <v>178</v>
      </c>
      <c r="C154" s="36">
        <v>1.6</v>
      </c>
      <c r="D154" s="36">
        <v>1.02</v>
      </c>
      <c r="E154" s="67">
        <v>0</v>
      </c>
      <c r="F154" s="37">
        <v>1.632</v>
      </c>
      <c r="G154" s="38">
        <v>0.8</v>
      </c>
      <c r="H154" s="39">
        <v>8.6</v>
      </c>
      <c r="I154" s="40">
        <v>5250.818475</v>
      </c>
      <c r="J154" s="41">
        <f t="shared" si="139"/>
        <v>1050.163695</v>
      </c>
      <c r="K154" s="41">
        <f t="shared" si="140"/>
        <v>1568.632495</v>
      </c>
      <c r="L154" s="42">
        <v>5330.34915</v>
      </c>
      <c r="M154" s="43">
        <f t="shared" si="141"/>
        <v>1066.06983</v>
      </c>
      <c r="N154" s="43">
        <f t="shared" si="142"/>
        <v>1584.53863</v>
      </c>
      <c r="O154" s="40">
        <v>5455.325925</v>
      </c>
      <c r="P154" s="41">
        <f t="shared" si="143"/>
        <v>1091.065185</v>
      </c>
      <c r="Q154" s="41">
        <f t="shared" si="144"/>
        <v>1609.533985</v>
      </c>
      <c r="R154" s="42">
        <v>5568.941175</v>
      </c>
      <c r="S154" s="43">
        <f t="shared" si="145"/>
        <v>1113.788235</v>
      </c>
      <c r="T154" s="43">
        <f t="shared" si="146"/>
        <v>1632.257035</v>
      </c>
      <c r="U154" s="40">
        <v>5693.91795</v>
      </c>
      <c r="V154" s="41">
        <f t="shared" si="147"/>
        <v>1138.78359</v>
      </c>
      <c r="W154" s="41">
        <f t="shared" si="148"/>
        <v>1657.25239</v>
      </c>
      <c r="X154" s="42">
        <v>5818.894725</v>
      </c>
      <c r="Y154" s="43">
        <f t="shared" si="149"/>
        <v>1163.778945</v>
      </c>
      <c r="Z154" s="43">
        <f t="shared" si="150"/>
        <v>1682.247745</v>
      </c>
      <c r="AA154" s="40">
        <v>5943.8715</v>
      </c>
      <c r="AB154" s="41">
        <f t="shared" si="151"/>
        <v>1188.7743</v>
      </c>
      <c r="AC154" s="41">
        <f t="shared" si="152"/>
        <v>1707.2431</v>
      </c>
      <c r="AD154" s="42">
        <v>6159.740475</v>
      </c>
      <c r="AE154" s="43">
        <f t="shared" si="153"/>
        <v>1231.948095</v>
      </c>
      <c r="AF154" s="43">
        <f t="shared" si="154"/>
        <v>1750.416895</v>
      </c>
      <c r="AG154" s="44">
        <v>6511.94775</v>
      </c>
      <c r="AH154" s="45">
        <f t="shared" si="155"/>
        <v>1302.38955</v>
      </c>
      <c r="AI154" s="45">
        <f t="shared" si="156"/>
        <v>1820.85835</v>
      </c>
    </row>
    <row r="155" ht="15" customHeight="1" spans="1:35">
      <c r="A155" s="34"/>
      <c r="B155" s="35"/>
      <c r="C155" s="36"/>
      <c r="D155" s="36"/>
      <c r="E155" s="67">
        <v>0</v>
      </c>
      <c r="F155" s="37" t="s">
        <v>59</v>
      </c>
      <c r="G155" s="38" t="s">
        <v>59</v>
      </c>
      <c r="H155" s="39" t="s">
        <v>59</v>
      </c>
      <c r="I155" s="40" t="s">
        <v>59</v>
      </c>
      <c r="L155" s="42" t="s">
        <v>59</v>
      </c>
      <c r="O155" s="40" t="s">
        <v>59</v>
      </c>
      <c r="R155" s="42" t="s">
        <v>59</v>
      </c>
      <c r="U155" s="40" t="s">
        <v>59</v>
      </c>
      <c r="X155" s="42" t="s">
        <v>59</v>
      </c>
      <c r="AA155" s="40" t="s">
        <v>59</v>
      </c>
      <c r="AD155" s="42" t="s">
        <v>59</v>
      </c>
      <c r="AG155" s="44" t="s">
        <v>59</v>
      </c>
    </row>
    <row r="156" ht="15" customHeight="1" spans="1:35">
      <c r="A156" s="46"/>
      <c r="B156" s="35" t="s">
        <v>179</v>
      </c>
      <c r="C156" s="36">
        <v>1.14</v>
      </c>
      <c r="D156" s="36">
        <v>1.02</v>
      </c>
      <c r="E156" s="67">
        <v>0</v>
      </c>
      <c r="F156" s="37">
        <v>1.1628</v>
      </c>
      <c r="G156" s="38">
        <v>0.8</v>
      </c>
      <c r="H156" s="39">
        <v>6</v>
      </c>
      <c r="I156" s="40">
        <v>4477.3378125</v>
      </c>
      <c r="J156" s="41">
        <f>I156/5</f>
        <v>895.4675625</v>
      </c>
      <c r="K156" s="41">
        <f>J156+368.0732</f>
        <v>1263.5407625</v>
      </c>
      <c r="L156" s="42">
        <v>4529.660625</v>
      </c>
      <c r="M156" s="43">
        <f>L156/5</f>
        <v>905.932125</v>
      </c>
      <c r="N156" s="43">
        <f>M156+368.0732</f>
        <v>1274.005325</v>
      </c>
      <c r="O156" s="40">
        <v>4611.8821875</v>
      </c>
      <c r="P156" s="41">
        <f>O156/5</f>
        <v>922.3764375</v>
      </c>
      <c r="Q156" s="41">
        <f>P156+368.0732</f>
        <v>1290.4496375</v>
      </c>
      <c r="R156" s="42">
        <v>4686.6290625</v>
      </c>
      <c r="S156" s="43">
        <f>R156/5</f>
        <v>937.3258125</v>
      </c>
      <c r="T156" s="43">
        <f>S156+368.0732</f>
        <v>1305.3990125</v>
      </c>
      <c r="U156" s="40">
        <v>4768.850625</v>
      </c>
      <c r="V156" s="41">
        <f>U156/5</f>
        <v>953.770125</v>
      </c>
      <c r="W156" s="41">
        <f>V156+368.0732</f>
        <v>1321.843325</v>
      </c>
      <c r="X156" s="42">
        <v>4851.0721875</v>
      </c>
      <c r="Y156" s="43">
        <f>X156/5</f>
        <v>970.2144375</v>
      </c>
      <c r="Z156" s="43">
        <f>Y156+368.0732</f>
        <v>1338.2876375</v>
      </c>
      <c r="AA156" s="40">
        <v>4933.29375</v>
      </c>
      <c r="AB156" s="41">
        <f>AA156/5</f>
        <v>986.65875</v>
      </c>
      <c r="AC156" s="41">
        <f>AB156+368.0732</f>
        <v>1354.73195</v>
      </c>
      <c r="AD156" s="42">
        <v>5075.3128125</v>
      </c>
      <c r="AE156" s="43">
        <f>AD156/5</f>
        <v>1015.0625625</v>
      </c>
      <c r="AF156" s="43">
        <f>AE156+368.0732</f>
        <v>1383.1357625</v>
      </c>
      <c r="AG156" s="44">
        <v>5307.028125</v>
      </c>
      <c r="AH156" s="45">
        <f>AG156/5</f>
        <v>1061.405625</v>
      </c>
      <c r="AI156" s="45">
        <f>AH156+368.0732</f>
        <v>1429.478825</v>
      </c>
    </row>
    <row r="157" ht="15" customHeight="1" spans="1:35">
      <c r="A157" s="46" t="s">
        <v>180</v>
      </c>
      <c r="B157" s="35"/>
      <c r="C157" s="36"/>
      <c r="D157" s="36"/>
      <c r="E157" s="67">
        <v>0</v>
      </c>
      <c r="F157" s="37" t="s">
        <v>59</v>
      </c>
      <c r="G157" s="38" t="s">
        <v>59</v>
      </c>
      <c r="H157" s="39" t="s">
        <v>59</v>
      </c>
      <c r="I157" s="40" t="s">
        <v>59</v>
      </c>
      <c r="L157" s="42" t="s">
        <v>59</v>
      </c>
      <c r="O157" s="40" t="s">
        <v>59</v>
      </c>
      <c r="R157" s="42" t="s">
        <v>59</v>
      </c>
      <c r="U157" s="40" t="s">
        <v>59</v>
      </c>
      <c r="X157" s="42" t="s">
        <v>59</v>
      </c>
      <c r="AA157" s="40" t="s">
        <v>59</v>
      </c>
      <c r="AD157" s="42" t="s">
        <v>59</v>
      </c>
      <c r="AG157" s="44" t="s">
        <v>59</v>
      </c>
    </row>
    <row r="158" ht="15" customHeight="1" spans="1:35">
      <c r="A158" s="46"/>
      <c r="B158" s="35"/>
      <c r="C158" s="36"/>
      <c r="D158" s="36"/>
      <c r="E158" s="67">
        <v>0</v>
      </c>
      <c r="F158" s="37" t="s">
        <v>59</v>
      </c>
      <c r="G158" s="38" t="s">
        <v>59</v>
      </c>
      <c r="H158" s="39" t="s">
        <v>59</v>
      </c>
      <c r="I158" s="40" t="s">
        <v>59</v>
      </c>
      <c r="L158" s="42" t="s">
        <v>59</v>
      </c>
      <c r="O158" s="40" t="s">
        <v>59</v>
      </c>
      <c r="R158" s="42" t="s">
        <v>59</v>
      </c>
      <c r="U158" s="40" t="s">
        <v>59</v>
      </c>
      <c r="X158" s="42" t="s">
        <v>59</v>
      </c>
      <c r="AA158" s="40" t="s">
        <v>59</v>
      </c>
      <c r="AD158" s="42" t="s">
        <v>59</v>
      </c>
      <c r="AG158" s="44" t="s">
        <v>59</v>
      </c>
    </row>
    <row r="159" ht="15" customHeight="1" spans="1:35">
      <c r="A159" s="46"/>
      <c r="B159" s="35"/>
      <c r="C159" s="36"/>
      <c r="D159" s="36"/>
      <c r="E159" s="67">
        <v>0</v>
      </c>
      <c r="F159" s="37" t="s">
        <v>59</v>
      </c>
      <c r="G159" s="38" t="s">
        <v>59</v>
      </c>
      <c r="H159" s="39" t="s">
        <v>59</v>
      </c>
      <c r="I159" s="40" t="s">
        <v>59</v>
      </c>
      <c r="L159" s="42" t="s">
        <v>59</v>
      </c>
      <c r="O159" s="40" t="s">
        <v>59</v>
      </c>
      <c r="R159" s="42" t="s">
        <v>59</v>
      </c>
      <c r="U159" s="40" t="s">
        <v>59</v>
      </c>
      <c r="X159" s="42" t="s">
        <v>59</v>
      </c>
      <c r="AA159" s="40" t="s">
        <v>59</v>
      </c>
      <c r="AD159" s="42" t="s">
        <v>59</v>
      </c>
      <c r="AG159" s="44" t="s">
        <v>59</v>
      </c>
    </row>
    <row r="160" ht="15" customHeight="1" spans="1:35">
      <c r="A160" s="46"/>
      <c r="B160" s="35"/>
      <c r="C160" s="36"/>
      <c r="D160" s="36"/>
      <c r="E160" s="67">
        <v>0</v>
      </c>
      <c r="F160" s="37" t="s">
        <v>59</v>
      </c>
      <c r="G160" s="38" t="s">
        <v>59</v>
      </c>
      <c r="H160" s="39" t="s">
        <v>59</v>
      </c>
      <c r="I160" s="40" t="s">
        <v>59</v>
      </c>
      <c r="L160" s="42" t="s">
        <v>59</v>
      </c>
      <c r="O160" s="40" t="s">
        <v>59</v>
      </c>
      <c r="R160" s="42" t="s">
        <v>59</v>
      </c>
      <c r="U160" s="40" t="s">
        <v>59</v>
      </c>
      <c r="X160" s="42" t="s">
        <v>59</v>
      </c>
      <c r="AA160" s="40" t="s">
        <v>59</v>
      </c>
      <c r="AD160" s="42" t="s">
        <v>59</v>
      </c>
      <c r="AG160" s="44" t="s">
        <v>59</v>
      </c>
    </row>
    <row r="161" ht="15" customHeight="1" spans="1:35">
      <c r="A161" s="46"/>
      <c r="B161" s="35"/>
      <c r="C161" s="36"/>
      <c r="D161" s="36"/>
      <c r="E161" s="67">
        <v>0</v>
      </c>
      <c r="F161" s="37" t="s">
        <v>59</v>
      </c>
      <c r="G161" s="38" t="s">
        <v>59</v>
      </c>
      <c r="H161" s="39" t="s">
        <v>59</v>
      </c>
      <c r="I161" s="40" t="s">
        <v>59</v>
      </c>
      <c r="L161" s="42" t="s">
        <v>59</v>
      </c>
      <c r="O161" s="40" t="s">
        <v>59</v>
      </c>
      <c r="R161" s="42" t="s">
        <v>59</v>
      </c>
      <c r="U161" s="40" t="s">
        <v>59</v>
      </c>
      <c r="X161" s="42" t="s">
        <v>59</v>
      </c>
      <c r="AA161" s="40" t="s">
        <v>59</v>
      </c>
      <c r="AD161" s="42" t="s">
        <v>59</v>
      </c>
      <c r="AG161" s="44" t="s">
        <v>59</v>
      </c>
    </row>
    <row r="162" ht="15" customHeight="1" spans="1:35">
      <c r="A162" s="46"/>
      <c r="B162" s="35"/>
      <c r="C162" s="36"/>
      <c r="D162" s="36"/>
      <c r="E162" s="67">
        <v>0</v>
      </c>
      <c r="F162" s="37" t="s">
        <v>59</v>
      </c>
      <c r="G162" s="38" t="s">
        <v>59</v>
      </c>
      <c r="H162" s="39" t="s">
        <v>59</v>
      </c>
      <c r="I162" s="40" t="s">
        <v>59</v>
      </c>
      <c r="L162" s="42" t="s">
        <v>59</v>
      </c>
      <c r="O162" s="40" t="s">
        <v>59</v>
      </c>
      <c r="R162" s="42" t="s">
        <v>59</v>
      </c>
      <c r="U162" s="40" t="s">
        <v>59</v>
      </c>
      <c r="X162" s="42" t="s">
        <v>59</v>
      </c>
      <c r="AA162" s="40" t="s">
        <v>59</v>
      </c>
      <c r="AD162" s="42" t="s">
        <v>59</v>
      </c>
      <c r="AG162" s="44" t="s">
        <v>59</v>
      </c>
    </row>
    <row r="163" ht="14.45" customHeight="1" spans="1:35">
      <c r="A163" s="46"/>
      <c r="B163" s="35"/>
      <c r="C163" s="36"/>
      <c r="D163" s="36"/>
      <c r="E163" s="67">
        <v>0</v>
      </c>
      <c r="F163" s="37" t="s">
        <v>59</v>
      </c>
      <c r="G163" s="38" t="s">
        <v>59</v>
      </c>
      <c r="H163" s="39" t="s">
        <v>59</v>
      </c>
      <c r="I163" s="40" t="s">
        <v>59</v>
      </c>
      <c r="L163" s="42" t="s">
        <v>59</v>
      </c>
      <c r="O163" s="40" t="s">
        <v>59</v>
      </c>
      <c r="R163" s="42" t="s">
        <v>59</v>
      </c>
      <c r="U163" s="40" t="s">
        <v>59</v>
      </c>
      <c r="X163" s="42" t="s">
        <v>59</v>
      </c>
      <c r="AA163" s="40" t="s">
        <v>59</v>
      </c>
      <c r="AD163" s="42" t="s">
        <v>59</v>
      </c>
      <c r="AG163" s="44" t="s">
        <v>59</v>
      </c>
    </row>
    <row r="164" ht="15" customHeight="1" spans="1:35">
      <c r="A164" s="46"/>
      <c r="B164" s="35"/>
      <c r="C164" s="36"/>
      <c r="D164" s="36"/>
      <c r="E164" s="67">
        <v>0</v>
      </c>
      <c r="F164" s="37" t="s">
        <v>59</v>
      </c>
      <c r="G164" s="38" t="s">
        <v>59</v>
      </c>
      <c r="H164" s="39" t="s">
        <v>59</v>
      </c>
      <c r="I164" s="40" t="s">
        <v>59</v>
      </c>
      <c r="L164" s="42" t="s">
        <v>59</v>
      </c>
      <c r="O164" s="40" t="s">
        <v>59</v>
      </c>
      <c r="R164" s="42" t="s">
        <v>59</v>
      </c>
      <c r="U164" s="40" t="s">
        <v>59</v>
      </c>
      <c r="X164" s="42" t="s">
        <v>59</v>
      </c>
      <c r="AA164" s="40" t="s">
        <v>59</v>
      </c>
      <c r="AD164" s="42" t="s">
        <v>59</v>
      </c>
      <c r="AG164" s="44" t="s">
        <v>59</v>
      </c>
    </row>
    <row r="165" ht="15" customHeight="1" spans="1:35">
      <c r="A165" s="25" t="s">
        <v>181</v>
      </c>
      <c r="B165" s="26" t="s">
        <v>37</v>
      </c>
      <c r="C165" s="27" t="s">
        <v>38</v>
      </c>
      <c r="D165" s="27" t="s">
        <v>39</v>
      </c>
      <c r="E165" s="66" t="s">
        <v>40</v>
      </c>
      <c r="F165" s="28" t="s">
        <v>41</v>
      </c>
      <c r="G165" s="28" t="s">
        <v>42</v>
      </c>
      <c r="H165" s="29" t="s">
        <v>43</v>
      </c>
      <c r="I165" s="51" t="s">
        <v>44</v>
      </c>
      <c r="J165" s="31" t="s">
        <v>45</v>
      </c>
      <c r="K165" s="31" t="s">
        <v>46</v>
      </c>
      <c r="L165" s="51" t="s">
        <v>47</v>
      </c>
      <c r="M165" s="31" t="s">
        <v>45</v>
      </c>
      <c r="N165" s="31" t="s">
        <v>46</v>
      </c>
      <c r="O165" s="51" t="s">
        <v>48</v>
      </c>
      <c r="P165" s="31" t="s">
        <v>45</v>
      </c>
      <c r="Q165" s="31" t="s">
        <v>46</v>
      </c>
      <c r="R165" s="51" t="s">
        <v>49</v>
      </c>
      <c r="S165" s="31" t="s">
        <v>45</v>
      </c>
      <c r="T165" s="31" t="s">
        <v>46</v>
      </c>
      <c r="U165" s="51" t="s">
        <v>50</v>
      </c>
      <c r="V165" s="31" t="s">
        <v>45</v>
      </c>
      <c r="W165" s="31" t="s">
        <v>46</v>
      </c>
      <c r="X165" s="51" t="s">
        <v>51</v>
      </c>
      <c r="Y165" s="31" t="s">
        <v>45</v>
      </c>
      <c r="Z165" s="31" t="s">
        <v>46</v>
      </c>
      <c r="AA165" s="51" t="s">
        <v>52</v>
      </c>
      <c r="AB165" s="31" t="s">
        <v>45</v>
      </c>
      <c r="AC165" s="31" t="s">
        <v>46</v>
      </c>
      <c r="AD165" s="51" t="s">
        <v>53</v>
      </c>
      <c r="AE165" s="31" t="s">
        <v>45</v>
      </c>
      <c r="AF165" s="31" t="s">
        <v>46</v>
      </c>
      <c r="AG165" s="52" t="s">
        <v>54</v>
      </c>
      <c r="AH165" s="33" t="s">
        <v>45</v>
      </c>
      <c r="AI165" s="33" t="s">
        <v>46</v>
      </c>
    </row>
    <row r="166" ht="15" customHeight="1" spans="1:35">
      <c r="A166" s="34"/>
      <c r="B166" s="35" t="s">
        <v>182</v>
      </c>
      <c r="C166" s="36">
        <v>0.85</v>
      </c>
      <c r="D166" s="36">
        <v>0.95</v>
      </c>
      <c r="E166" s="67">
        <v>0</v>
      </c>
      <c r="F166" s="37">
        <v>0.8075</v>
      </c>
      <c r="G166" s="38">
        <v>0.93</v>
      </c>
      <c r="H166" s="39">
        <v>7</v>
      </c>
      <c r="I166" s="40">
        <v>2634.66</v>
      </c>
      <c r="J166" s="41">
        <f>I166/5</f>
        <v>526.932</v>
      </c>
      <c r="K166" s="41">
        <f>J166+419.5243</f>
        <v>946.4563</v>
      </c>
      <c r="L166" s="42">
        <v>2696.1354</v>
      </c>
      <c r="M166" s="43">
        <f>L166/5</f>
        <v>539.22708</v>
      </c>
      <c r="N166" s="43">
        <f>M166+419.5243</f>
        <v>958.75138</v>
      </c>
      <c r="O166" s="40">
        <v>2792.7396</v>
      </c>
      <c r="P166" s="41">
        <f>O166/5</f>
        <v>558.54792</v>
      </c>
      <c r="Q166" s="41">
        <f>P166+419.5243</f>
        <v>978.07222</v>
      </c>
      <c r="R166" s="42">
        <v>2880.5616</v>
      </c>
      <c r="S166" s="43">
        <f>R166/5</f>
        <v>576.11232</v>
      </c>
      <c r="T166" s="43">
        <f>S166+419.5243</f>
        <v>995.63662</v>
      </c>
      <c r="U166" s="40">
        <v>2977.1658</v>
      </c>
      <c r="V166" s="41">
        <f>U166/5</f>
        <v>595.43316</v>
      </c>
      <c r="W166" s="41">
        <f>V166+419.5243</f>
        <v>1014.95746</v>
      </c>
      <c r="X166" s="42">
        <v>3073.77</v>
      </c>
      <c r="Y166" s="43">
        <f>X166/5</f>
        <v>614.754</v>
      </c>
      <c r="Z166" s="43">
        <f>Y166+419.5243</f>
        <v>1034.2783</v>
      </c>
      <c r="AA166" s="40">
        <v>3170.3742</v>
      </c>
      <c r="AB166" s="41">
        <f>AA166/5</f>
        <v>634.07484</v>
      </c>
      <c r="AC166" s="41">
        <f>AB166+419.5243</f>
        <v>1053.59914</v>
      </c>
      <c r="AD166" s="42">
        <v>3337.236</v>
      </c>
      <c r="AE166" s="43">
        <f>AD166/5</f>
        <v>667.4472</v>
      </c>
      <c r="AF166" s="43">
        <f>AE166+419.5243</f>
        <v>1086.9715</v>
      </c>
      <c r="AG166" s="44">
        <v>3609.4842</v>
      </c>
      <c r="AH166" s="45">
        <f>AG166/5</f>
        <v>721.89684</v>
      </c>
      <c r="AI166" s="45">
        <f>AH166+419.5243</f>
        <v>1141.42114</v>
      </c>
    </row>
    <row r="167" ht="15" customHeight="1" spans="1:35">
      <c r="A167" s="34"/>
      <c r="B167" s="35" t="s">
        <v>183</v>
      </c>
      <c r="C167" s="36">
        <v>0.95</v>
      </c>
      <c r="D167" s="36">
        <v>0.95</v>
      </c>
      <c r="E167" s="67">
        <v>0</v>
      </c>
      <c r="F167" s="37">
        <v>0.9025</v>
      </c>
      <c r="G167" s="38">
        <v>0.93</v>
      </c>
      <c r="H167" s="39">
        <v>7.6</v>
      </c>
      <c r="I167" s="40">
        <v>2765.51478</v>
      </c>
      <c r="J167" s="41">
        <f>I167/5</f>
        <v>553.102956</v>
      </c>
      <c r="K167" s="41">
        <f>J167+419.5243</f>
        <v>972.627256</v>
      </c>
      <c r="L167" s="42">
        <v>2833.13772</v>
      </c>
      <c r="M167" s="43">
        <f>L167/5</f>
        <v>566.627544</v>
      </c>
      <c r="N167" s="43">
        <f>M167+419.5243</f>
        <v>986.151844</v>
      </c>
      <c r="O167" s="40">
        <v>2939.40234</v>
      </c>
      <c r="P167" s="41">
        <f>O167/5</f>
        <v>587.880468</v>
      </c>
      <c r="Q167" s="41">
        <f>P167+419.5243</f>
        <v>1007.404768</v>
      </c>
      <c r="R167" s="42">
        <v>3036.00654</v>
      </c>
      <c r="S167" s="43">
        <f>R167/5</f>
        <v>607.201308</v>
      </c>
      <c r="T167" s="43">
        <f>S167+419.5243</f>
        <v>1026.725608</v>
      </c>
      <c r="U167" s="40">
        <v>3142.27116</v>
      </c>
      <c r="V167" s="41">
        <f>U167/5</f>
        <v>628.454232</v>
      </c>
      <c r="W167" s="41">
        <f>V167+419.5243</f>
        <v>1047.978532</v>
      </c>
      <c r="X167" s="42">
        <v>3248.53578</v>
      </c>
      <c r="Y167" s="43">
        <f>X167/5</f>
        <v>649.707156</v>
      </c>
      <c r="Z167" s="43">
        <f>Y167+419.5243</f>
        <v>1069.231456</v>
      </c>
      <c r="AA167" s="40">
        <v>3354.8004</v>
      </c>
      <c r="AB167" s="41">
        <f>AA167/5</f>
        <v>670.96008</v>
      </c>
      <c r="AC167" s="41">
        <f>AB167+419.5243</f>
        <v>1090.48438</v>
      </c>
      <c r="AD167" s="42">
        <v>3538.34838</v>
      </c>
      <c r="AE167" s="43">
        <f>AD167/5</f>
        <v>707.669676</v>
      </c>
      <c r="AF167" s="43">
        <f>AE167+419.5243</f>
        <v>1127.193976</v>
      </c>
      <c r="AG167" s="44">
        <v>3837.8214</v>
      </c>
      <c r="AH167" s="45">
        <f>AG167/5</f>
        <v>767.56428</v>
      </c>
      <c r="AI167" s="45">
        <f>AH167+419.5243</f>
        <v>1187.08858</v>
      </c>
    </row>
    <row r="168" ht="15" customHeight="1" spans="1:35">
      <c r="A168" s="34"/>
      <c r="B168" s="35" t="s">
        <v>184</v>
      </c>
      <c r="C168" s="36">
        <v>1.05</v>
      </c>
      <c r="D168" s="36">
        <v>0.95</v>
      </c>
      <c r="E168" s="67">
        <v>0</v>
      </c>
      <c r="F168" s="37">
        <v>0.9975</v>
      </c>
      <c r="G168" s="38">
        <v>0.93</v>
      </c>
      <c r="H168" s="39">
        <v>8.2</v>
      </c>
      <c r="I168" s="40">
        <v>2934.42576</v>
      </c>
      <c r="J168" s="41">
        <f>I168/5</f>
        <v>586.885152</v>
      </c>
      <c r="K168" s="41">
        <f>J168+419.5243</f>
        <v>1006.409452</v>
      </c>
      <c r="L168" s="42">
        <v>3008.19624</v>
      </c>
      <c r="M168" s="43">
        <f>L168/5</f>
        <v>601.639248</v>
      </c>
      <c r="N168" s="43">
        <f>M168+419.5243</f>
        <v>1021.163548</v>
      </c>
      <c r="O168" s="40">
        <v>3124.12128</v>
      </c>
      <c r="P168" s="41">
        <f>O168/5</f>
        <v>624.824256</v>
      </c>
      <c r="Q168" s="41">
        <f>P168+419.5243</f>
        <v>1044.348556</v>
      </c>
      <c r="R168" s="42">
        <v>3229.50768</v>
      </c>
      <c r="S168" s="43">
        <f>R168/5</f>
        <v>645.901536</v>
      </c>
      <c r="T168" s="43">
        <f>S168+419.5243</f>
        <v>1065.425836</v>
      </c>
      <c r="U168" s="40">
        <v>3345.43272</v>
      </c>
      <c r="V168" s="41">
        <f>U168/5</f>
        <v>669.086544</v>
      </c>
      <c r="W168" s="41">
        <f>V168+419.5243</f>
        <v>1088.610844</v>
      </c>
      <c r="X168" s="42">
        <v>3461.35776</v>
      </c>
      <c r="Y168" s="43">
        <f>X168/5</f>
        <v>692.271552</v>
      </c>
      <c r="Z168" s="43">
        <f>Y168+419.5243</f>
        <v>1111.795852</v>
      </c>
      <c r="AA168" s="40">
        <v>3577.2828</v>
      </c>
      <c r="AB168" s="41">
        <f>AA168/5</f>
        <v>715.45656</v>
      </c>
      <c r="AC168" s="41">
        <f>AB168+419.5243</f>
        <v>1134.98086</v>
      </c>
      <c r="AD168" s="42">
        <v>3777.51696</v>
      </c>
      <c r="AE168" s="43">
        <f>AD168/5</f>
        <v>755.503392</v>
      </c>
      <c r="AF168" s="43">
        <f>AE168+419.5243</f>
        <v>1175.027692</v>
      </c>
      <c r="AG168" s="44">
        <v>4104.2148</v>
      </c>
      <c r="AH168" s="45">
        <f>AG168/5</f>
        <v>820.84296</v>
      </c>
      <c r="AI168" s="45">
        <f>AH168+419.5243</f>
        <v>1240.36726</v>
      </c>
    </row>
    <row r="169" ht="15" customHeight="1" spans="1:35">
      <c r="A169" s="34"/>
      <c r="B169" s="35" t="s">
        <v>185</v>
      </c>
      <c r="C169" s="36">
        <v>1.15</v>
      </c>
      <c r="D169" s="36">
        <v>0.95</v>
      </c>
      <c r="E169" s="67">
        <v>0</v>
      </c>
      <c r="F169" s="37">
        <v>1.0925</v>
      </c>
      <c r="G169" s="38">
        <v>0.93</v>
      </c>
      <c r="H169" s="39">
        <v>8.8</v>
      </c>
      <c r="I169" s="40">
        <v>3065.28054</v>
      </c>
      <c r="J169" s="41">
        <f>I169/5</f>
        <v>613.056108</v>
      </c>
      <c r="K169" s="41">
        <f>J169+419.5243</f>
        <v>1032.580408</v>
      </c>
      <c r="L169" s="42">
        <v>3145.19856</v>
      </c>
      <c r="M169" s="43">
        <f>L169/5</f>
        <v>629.039712</v>
      </c>
      <c r="N169" s="43">
        <f>M169+419.5243</f>
        <v>1048.564012</v>
      </c>
      <c r="O169" s="40">
        <v>3270.78402</v>
      </c>
      <c r="P169" s="41">
        <f>O169/5</f>
        <v>654.156804</v>
      </c>
      <c r="Q169" s="41">
        <f>P169+419.5243</f>
        <v>1073.681104</v>
      </c>
      <c r="R169" s="42">
        <v>3384.95262</v>
      </c>
      <c r="S169" s="43">
        <f>R169/5</f>
        <v>676.990524</v>
      </c>
      <c r="T169" s="43">
        <f>S169+419.5243</f>
        <v>1096.514824</v>
      </c>
      <c r="U169" s="40">
        <v>3510.53808</v>
      </c>
      <c r="V169" s="41">
        <f>U169/5</f>
        <v>702.107616</v>
      </c>
      <c r="W169" s="41">
        <f>V169+419.5243</f>
        <v>1121.631916</v>
      </c>
      <c r="X169" s="42">
        <v>3636.12354</v>
      </c>
      <c r="Y169" s="43">
        <f>X169/5</f>
        <v>727.224708</v>
      </c>
      <c r="Z169" s="43">
        <f>Y169+419.5243</f>
        <v>1146.749008</v>
      </c>
      <c r="AA169" s="40">
        <v>3761.709</v>
      </c>
      <c r="AB169" s="41">
        <f>AA169/5</f>
        <v>752.3418</v>
      </c>
      <c r="AC169" s="41">
        <f>AB169+419.5243</f>
        <v>1171.8661</v>
      </c>
      <c r="AD169" s="42">
        <v>3978.62934</v>
      </c>
      <c r="AE169" s="43">
        <f>AD169/5</f>
        <v>795.725868</v>
      </c>
      <c r="AF169" s="43">
        <f>AE169+419.5243</f>
        <v>1215.250168</v>
      </c>
      <c r="AG169" s="44">
        <v>4332.552</v>
      </c>
      <c r="AH169" s="45">
        <f>AG169/5</f>
        <v>866.5104</v>
      </c>
      <c r="AI169" s="45">
        <f>AH169+419.5243</f>
        <v>1286.0347</v>
      </c>
    </row>
    <row r="170" ht="15" customHeight="1" spans="1:35">
      <c r="A170" s="34"/>
      <c r="B170" s="35" t="s">
        <v>186</v>
      </c>
      <c r="C170" s="36">
        <v>1.25</v>
      </c>
      <c r="D170" s="36">
        <v>0.95</v>
      </c>
      <c r="E170" s="67">
        <v>0</v>
      </c>
      <c r="F170" s="37">
        <v>1.1875</v>
      </c>
      <c r="G170" s="38">
        <v>0.93</v>
      </c>
      <c r="H170" s="39">
        <v>9.4</v>
      </c>
      <c r="I170" s="40">
        <v>3196.13532</v>
      </c>
      <c r="J170" s="41">
        <f>I170/5</f>
        <v>639.227064</v>
      </c>
      <c r="K170" s="41">
        <f>J170+419.5243</f>
        <v>1058.751364</v>
      </c>
      <c r="L170" s="42">
        <v>3282.20088</v>
      </c>
      <c r="M170" s="43">
        <f>L170/5</f>
        <v>656.440176</v>
      </c>
      <c r="N170" s="43">
        <f>M170+419.5243</f>
        <v>1075.964476</v>
      </c>
      <c r="O170" s="40">
        <v>3417.44676</v>
      </c>
      <c r="P170" s="41">
        <f>O170/5</f>
        <v>683.489352</v>
      </c>
      <c r="Q170" s="41">
        <f>P170+419.5243</f>
        <v>1103.013652</v>
      </c>
      <c r="R170" s="42">
        <v>3540.39756</v>
      </c>
      <c r="S170" s="43">
        <f>R170/5</f>
        <v>708.079512</v>
      </c>
      <c r="T170" s="43">
        <f>S170+419.5243</f>
        <v>1127.603812</v>
      </c>
      <c r="U170" s="40">
        <v>3675.64344</v>
      </c>
      <c r="V170" s="41">
        <f>U170/5</f>
        <v>735.128688</v>
      </c>
      <c r="W170" s="41">
        <f>V170+419.5243</f>
        <v>1154.652988</v>
      </c>
      <c r="X170" s="42">
        <v>3810.88932</v>
      </c>
      <c r="Y170" s="43">
        <f>X170/5</f>
        <v>762.177864</v>
      </c>
      <c r="Z170" s="43">
        <f>Y170+419.5243</f>
        <v>1181.702164</v>
      </c>
      <c r="AA170" s="40">
        <v>3946.1352</v>
      </c>
      <c r="AB170" s="41">
        <f>AA170/5</f>
        <v>789.22704</v>
      </c>
      <c r="AC170" s="41">
        <f>AB170+419.5243</f>
        <v>1208.75134</v>
      </c>
      <c r="AD170" s="42">
        <v>4179.74172</v>
      </c>
      <c r="AE170" s="43">
        <f>AD170/5</f>
        <v>835.948344</v>
      </c>
      <c r="AF170" s="43">
        <f>AE170+419.5243</f>
        <v>1255.472644</v>
      </c>
      <c r="AG170" s="44">
        <v>4560.8892</v>
      </c>
      <c r="AH170" s="45">
        <f>AG170/5</f>
        <v>912.17784</v>
      </c>
      <c r="AI170" s="45">
        <f>AH170+419.5243</f>
        <v>1331.70214</v>
      </c>
    </row>
    <row r="171" ht="15" customHeight="1" spans="1:35">
      <c r="A171" s="34"/>
      <c r="B171" s="35"/>
      <c r="C171" s="36"/>
      <c r="D171" s="36"/>
      <c r="E171" s="67">
        <v>0</v>
      </c>
      <c r="F171" s="37" t="s">
        <v>59</v>
      </c>
      <c r="G171" s="38" t="s">
        <v>59</v>
      </c>
      <c r="H171" s="39" t="s">
        <v>59</v>
      </c>
      <c r="I171" s="40" t="s">
        <v>59</v>
      </c>
      <c r="L171" s="42" t="s">
        <v>59</v>
      </c>
      <c r="O171" s="40" t="s">
        <v>59</v>
      </c>
      <c r="R171" s="42" t="s">
        <v>59</v>
      </c>
      <c r="U171" s="40" t="s">
        <v>59</v>
      </c>
      <c r="X171" s="42" t="s">
        <v>59</v>
      </c>
      <c r="AA171" s="40" t="s">
        <v>59</v>
      </c>
      <c r="AD171" s="42" t="s">
        <v>59</v>
      </c>
      <c r="AG171" s="44" t="s">
        <v>59</v>
      </c>
    </row>
    <row r="172" ht="15" customHeight="1" spans="1:35">
      <c r="A172" s="34"/>
      <c r="B172" s="35" t="s">
        <v>187</v>
      </c>
      <c r="C172" s="36">
        <v>1.1</v>
      </c>
      <c r="D172" s="36">
        <v>0.95</v>
      </c>
      <c r="E172" s="67">
        <v>0</v>
      </c>
      <c r="F172" s="37">
        <v>1.045</v>
      </c>
      <c r="G172" s="38">
        <v>0.93</v>
      </c>
      <c r="H172" s="39">
        <v>7.2</v>
      </c>
      <c r="I172" s="40">
        <v>2880.26886</v>
      </c>
      <c r="J172" s="41">
        <f>I172/5</f>
        <v>576.053772</v>
      </c>
      <c r="K172" s="41">
        <f>J172+419.5243</f>
        <v>995.578072</v>
      </c>
      <c r="L172" s="42">
        <v>2943.79344</v>
      </c>
      <c r="M172" s="43">
        <f>L172/5</f>
        <v>588.758688</v>
      </c>
      <c r="N172" s="43">
        <f>M172+419.5243</f>
        <v>1008.282988</v>
      </c>
      <c r="O172" s="40">
        <v>3043.61778</v>
      </c>
      <c r="P172" s="41">
        <f>O172/5</f>
        <v>608.723556</v>
      </c>
      <c r="Q172" s="41">
        <f>P172+419.5243</f>
        <v>1028.247856</v>
      </c>
      <c r="R172" s="42">
        <v>3134.36718</v>
      </c>
      <c r="S172" s="43">
        <f>R172/5</f>
        <v>626.873436</v>
      </c>
      <c r="T172" s="43">
        <f>S172+419.5243</f>
        <v>1046.397736</v>
      </c>
      <c r="U172" s="40">
        <v>3234.19152</v>
      </c>
      <c r="V172" s="41">
        <f>U172/5</f>
        <v>646.838304</v>
      </c>
      <c r="W172" s="41">
        <f>V172+419.5243</f>
        <v>1066.362604</v>
      </c>
      <c r="X172" s="42">
        <v>3334.01586</v>
      </c>
      <c r="Y172" s="43">
        <f>X172/5</f>
        <v>666.803172</v>
      </c>
      <c r="Z172" s="43">
        <f>Y172+419.5243</f>
        <v>1086.327472</v>
      </c>
      <c r="AA172" s="40">
        <v>3433.8402</v>
      </c>
      <c r="AB172" s="41">
        <f>AA172/5</f>
        <v>686.76804</v>
      </c>
      <c r="AC172" s="41">
        <f>AB172+419.5243</f>
        <v>1106.29234</v>
      </c>
      <c r="AD172" s="42">
        <v>3606.26406</v>
      </c>
      <c r="AE172" s="43">
        <f>AD172/5</f>
        <v>721.252812</v>
      </c>
      <c r="AF172" s="43">
        <f>AE172+419.5243</f>
        <v>1140.777112</v>
      </c>
      <c r="AG172" s="44">
        <v>3887.5872</v>
      </c>
      <c r="AH172" s="45">
        <f>AG172/5</f>
        <v>777.51744</v>
      </c>
      <c r="AI172" s="45">
        <f>AH172+419.5243</f>
        <v>1197.04174</v>
      </c>
    </row>
    <row r="173" ht="15" customHeight="1" spans="1:35">
      <c r="A173" s="46"/>
      <c r="B173" s="35" t="s">
        <v>188</v>
      </c>
      <c r="C173" s="36">
        <v>1.2</v>
      </c>
      <c r="D173" s="36">
        <v>0.95</v>
      </c>
      <c r="E173" s="67">
        <v>0</v>
      </c>
      <c r="F173" s="37">
        <v>1.14</v>
      </c>
      <c r="G173" s="38">
        <v>0.93</v>
      </c>
      <c r="H173" s="39">
        <v>7.6</v>
      </c>
      <c r="I173" s="40">
        <v>2993.85198</v>
      </c>
      <c r="J173" s="41">
        <f>I173/5</f>
        <v>598.770396</v>
      </c>
      <c r="K173" s="41">
        <f>J173+419.5243</f>
        <v>1018.294696</v>
      </c>
      <c r="L173" s="42">
        <v>3061.47492</v>
      </c>
      <c r="M173" s="43">
        <f>L173/5</f>
        <v>612.294984</v>
      </c>
      <c r="N173" s="43">
        <f>M173+419.5243</f>
        <v>1031.819284</v>
      </c>
      <c r="O173" s="40">
        <v>3167.73954</v>
      </c>
      <c r="P173" s="41">
        <f>O173/5</f>
        <v>633.547908</v>
      </c>
      <c r="Q173" s="41">
        <f>P173+419.5243</f>
        <v>1053.072208</v>
      </c>
      <c r="R173" s="42">
        <v>3264.34374</v>
      </c>
      <c r="S173" s="43">
        <f>R173/5</f>
        <v>652.868748</v>
      </c>
      <c r="T173" s="43">
        <f>S173+419.5243</f>
        <v>1072.393048</v>
      </c>
      <c r="U173" s="40">
        <v>3370.60836</v>
      </c>
      <c r="V173" s="41">
        <f>U173/5</f>
        <v>674.121672</v>
      </c>
      <c r="W173" s="41">
        <f>V173+419.5243</f>
        <v>1093.645972</v>
      </c>
      <c r="X173" s="42">
        <v>3476.87298</v>
      </c>
      <c r="Y173" s="43">
        <f>X173/5</f>
        <v>695.374596</v>
      </c>
      <c r="Z173" s="43">
        <f>Y173+419.5243</f>
        <v>1114.898896</v>
      </c>
      <c r="AA173" s="40">
        <v>3583.1376</v>
      </c>
      <c r="AB173" s="41">
        <f>AA173/5</f>
        <v>716.62752</v>
      </c>
      <c r="AC173" s="41">
        <f>AB173+419.5243</f>
        <v>1136.15182</v>
      </c>
      <c r="AD173" s="42">
        <v>3766.68558</v>
      </c>
      <c r="AE173" s="43">
        <f>AD173/5</f>
        <v>753.337116</v>
      </c>
      <c r="AF173" s="43">
        <f>AE173+419.5243</f>
        <v>1172.861416</v>
      </c>
      <c r="AG173" s="44">
        <v>4066.1586</v>
      </c>
      <c r="AH173" s="45">
        <f>AG173/5</f>
        <v>813.23172</v>
      </c>
      <c r="AI173" s="45">
        <f>AH173+419.5243</f>
        <v>1232.75602</v>
      </c>
    </row>
    <row r="174" ht="15" customHeight="1" spans="1:35">
      <c r="A174" s="46" t="s">
        <v>111</v>
      </c>
      <c r="B174" s="35" t="s">
        <v>189</v>
      </c>
      <c r="C174" s="36">
        <v>1.3</v>
      </c>
      <c r="D174" s="36">
        <v>0.95</v>
      </c>
      <c r="E174" s="67">
        <v>0</v>
      </c>
      <c r="F174" s="37">
        <v>1.235</v>
      </c>
      <c r="G174" s="38">
        <v>0.93</v>
      </c>
      <c r="H174" s="39">
        <v>8</v>
      </c>
      <c r="I174" s="40">
        <v>3116.2173</v>
      </c>
      <c r="J174" s="41">
        <f>I174/5</f>
        <v>623.24346</v>
      </c>
      <c r="K174" s="41">
        <f>J174+419.5243</f>
        <v>1042.76776</v>
      </c>
      <c r="L174" s="42">
        <v>3187.9386</v>
      </c>
      <c r="M174" s="43">
        <f>L174/5</f>
        <v>637.58772</v>
      </c>
      <c r="N174" s="43">
        <f>M174+419.5243</f>
        <v>1057.11202</v>
      </c>
      <c r="O174" s="40">
        <v>3300.6435</v>
      </c>
      <c r="P174" s="41">
        <f>O174/5</f>
        <v>660.1287</v>
      </c>
      <c r="Q174" s="41">
        <f>P174+419.5243</f>
        <v>1079.653</v>
      </c>
      <c r="R174" s="42">
        <v>3403.1025</v>
      </c>
      <c r="S174" s="43">
        <f>R174/5</f>
        <v>680.6205</v>
      </c>
      <c r="T174" s="43">
        <f>S174+419.5243</f>
        <v>1100.1448</v>
      </c>
      <c r="U174" s="40">
        <v>3515.8074</v>
      </c>
      <c r="V174" s="41">
        <f>U174/5</f>
        <v>703.16148</v>
      </c>
      <c r="W174" s="41">
        <f>V174+419.5243</f>
        <v>1122.68578</v>
      </c>
      <c r="X174" s="42">
        <v>3628.5123</v>
      </c>
      <c r="Y174" s="43">
        <f>X174/5</f>
        <v>725.70246</v>
      </c>
      <c r="Z174" s="43">
        <f>Y174+419.5243</f>
        <v>1145.22676</v>
      </c>
      <c r="AA174" s="40">
        <v>3741.2172</v>
      </c>
      <c r="AB174" s="41">
        <f>AA174/5</f>
        <v>748.24344</v>
      </c>
      <c r="AC174" s="41">
        <f>AB174+419.5243</f>
        <v>1167.76774</v>
      </c>
      <c r="AD174" s="42">
        <v>3935.8893</v>
      </c>
      <c r="AE174" s="43">
        <f>AD174/5</f>
        <v>787.17786</v>
      </c>
      <c r="AF174" s="43">
        <f>AE174+419.5243</f>
        <v>1206.70216</v>
      </c>
      <c r="AG174" s="44">
        <v>4253.5122</v>
      </c>
      <c r="AH174" s="45">
        <f>AG174/5</f>
        <v>850.70244</v>
      </c>
      <c r="AI174" s="45">
        <f>AH174+419.5243</f>
        <v>1270.22674</v>
      </c>
    </row>
    <row r="175" ht="15" customHeight="1" spans="1:35">
      <c r="A175" s="58" t="s">
        <v>104</v>
      </c>
      <c r="B175" s="35" t="s">
        <v>190</v>
      </c>
      <c r="C175" s="36">
        <v>1.4</v>
      </c>
      <c r="D175" s="36">
        <v>0.95</v>
      </c>
      <c r="E175" s="67">
        <v>0</v>
      </c>
      <c r="F175" s="37">
        <v>1.33</v>
      </c>
      <c r="G175" s="38">
        <v>0.93</v>
      </c>
      <c r="H175" s="39">
        <v>8.4</v>
      </c>
      <c r="I175" s="40">
        <v>3232.72782</v>
      </c>
      <c r="J175" s="41">
        <f>I175/5</f>
        <v>646.545564</v>
      </c>
      <c r="K175" s="41">
        <f>J175+419.5243</f>
        <v>1066.069864</v>
      </c>
      <c r="L175" s="42">
        <v>3308.54748</v>
      </c>
      <c r="M175" s="43">
        <f>L175/5</f>
        <v>661.709496</v>
      </c>
      <c r="N175" s="43">
        <f>M175+419.5243</f>
        <v>1081.233796</v>
      </c>
      <c r="O175" s="40">
        <v>3427.69266</v>
      </c>
      <c r="P175" s="41">
        <f>O175/5</f>
        <v>685.538532</v>
      </c>
      <c r="Q175" s="41">
        <f>P175+419.5243</f>
        <v>1105.062832</v>
      </c>
      <c r="R175" s="42">
        <v>3536.00646</v>
      </c>
      <c r="S175" s="43">
        <f>R175/5</f>
        <v>707.201292</v>
      </c>
      <c r="T175" s="43">
        <f>S175+419.5243</f>
        <v>1126.725592</v>
      </c>
      <c r="U175" s="40">
        <v>3655.15164</v>
      </c>
      <c r="V175" s="41">
        <f>U175/5</f>
        <v>731.030328</v>
      </c>
      <c r="W175" s="41">
        <f>V175+419.5243</f>
        <v>1150.554628</v>
      </c>
      <c r="X175" s="42">
        <v>3774.29682</v>
      </c>
      <c r="Y175" s="43">
        <f>X175/5</f>
        <v>754.859364</v>
      </c>
      <c r="Z175" s="43">
        <f>Y175+419.5243</f>
        <v>1174.383664</v>
      </c>
      <c r="AA175" s="40">
        <v>3893.442</v>
      </c>
      <c r="AB175" s="41">
        <f>AA175/5</f>
        <v>778.6884</v>
      </c>
      <c r="AC175" s="41">
        <f>AB175+419.5243</f>
        <v>1198.2127</v>
      </c>
      <c r="AD175" s="42">
        <v>4099.23822</v>
      </c>
      <c r="AE175" s="43">
        <f>AD175/5</f>
        <v>819.847644</v>
      </c>
      <c r="AF175" s="43">
        <f>AE175+419.5243</f>
        <v>1239.371944</v>
      </c>
      <c r="AG175" s="44">
        <v>4435.011</v>
      </c>
      <c r="AH175" s="45">
        <f>AG175/5</f>
        <v>887.0022</v>
      </c>
      <c r="AI175" s="45">
        <f>AH175+419.5243</f>
        <v>1306.5265</v>
      </c>
    </row>
    <row r="176" ht="15" customHeight="1" spans="1:35">
      <c r="A176" s="69" t="s">
        <v>106</v>
      </c>
      <c r="B176" s="35" t="s">
        <v>191</v>
      </c>
      <c r="C176" s="36">
        <v>1.5</v>
      </c>
      <c r="D176" s="36">
        <v>0.95</v>
      </c>
      <c r="E176" s="67">
        <v>0</v>
      </c>
      <c r="F176" s="37">
        <v>1.425</v>
      </c>
      <c r="G176" s="38">
        <v>0.93</v>
      </c>
      <c r="H176" s="39">
        <v>8.8</v>
      </c>
      <c r="I176" s="40">
        <v>3352.16574</v>
      </c>
      <c r="J176" s="41">
        <f>I176/5</f>
        <v>670.433148</v>
      </c>
      <c r="K176" s="41">
        <f>J176+419.5243</f>
        <v>1089.957448</v>
      </c>
      <c r="L176" s="42">
        <v>3432.08376</v>
      </c>
      <c r="M176" s="43">
        <f>L176/5</f>
        <v>686.416752</v>
      </c>
      <c r="N176" s="43">
        <f>M176+419.5243</f>
        <v>1105.941052</v>
      </c>
      <c r="O176" s="40">
        <v>3557.66922</v>
      </c>
      <c r="P176" s="41">
        <f>O176/5</f>
        <v>711.533844</v>
      </c>
      <c r="Q176" s="41">
        <f>P176+419.5243</f>
        <v>1131.058144</v>
      </c>
      <c r="R176" s="42">
        <v>3671.83782</v>
      </c>
      <c r="S176" s="43">
        <f>R176/5</f>
        <v>734.367564</v>
      </c>
      <c r="T176" s="43">
        <f>S176+419.5243</f>
        <v>1153.891864</v>
      </c>
      <c r="U176" s="40">
        <v>3797.42328</v>
      </c>
      <c r="V176" s="41">
        <f>U176/5</f>
        <v>759.484656</v>
      </c>
      <c r="W176" s="41">
        <f>V176+419.5243</f>
        <v>1179.008956</v>
      </c>
      <c r="X176" s="42">
        <v>3923.00874</v>
      </c>
      <c r="Y176" s="43">
        <f>X176/5</f>
        <v>784.601748</v>
      </c>
      <c r="Z176" s="43">
        <f>Y176+419.5243</f>
        <v>1204.126048</v>
      </c>
      <c r="AA176" s="40">
        <v>4048.5942</v>
      </c>
      <c r="AB176" s="41">
        <f>AA176/5</f>
        <v>809.71884</v>
      </c>
      <c r="AC176" s="41">
        <f>AB176+419.5243</f>
        <v>1229.24314</v>
      </c>
      <c r="AD176" s="42">
        <v>4265.51454</v>
      </c>
      <c r="AE176" s="43">
        <f>AD176/5</f>
        <v>853.102908</v>
      </c>
      <c r="AF176" s="43">
        <f>AE176+419.5243</f>
        <v>1272.627208</v>
      </c>
      <c r="AG176" s="44">
        <v>4619.4372</v>
      </c>
      <c r="AH176" s="45">
        <f>AG176/5</f>
        <v>923.88744</v>
      </c>
      <c r="AI176" s="45">
        <f>AH176+419.5243</f>
        <v>1343.41174</v>
      </c>
    </row>
    <row r="177" ht="15" customHeight="1" spans="1:35">
      <c r="A177" s="46"/>
      <c r="B177" s="35"/>
      <c r="C177" s="36"/>
      <c r="D177" s="36"/>
      <c r="E177" s="67">
        <v>0</v>
      </c>
      <c r="F177" s="37" t="s">
        <v>59</v>
      </c>
      <c r="G177" s="38" t="s">
        <v>59</v>
      </c>
      <c r="H177" s="39" t="s">
        <v>59</v>
      </c>
      <c r="I177" s="40" t="s">
        <v>59</v>
      </c>
      <c r="L177" s="42" t="s">
        <v>59</v>
      </c>
      <c r="O177" s="40" t="s">
        <v>59</v>
      </c>
      <c r="R177" s="42" t="s">
        <v>59</v>
      </c>
      <c r="U177" s="40" t="s">
        <v>59</v>
      </c>
      <c r="X177" s="42" t="s">
        <v>59</v>
      </c>
      <c r="AA177" s="40" t="s">
        <v>59</v>
      </c>
      <c r="AD177" s="42" t="s">
        <v>59</v>
      </c>
      <c r="AG177" s="44" t="s">
        <v>59</v>
      </c>
    </row>
    <row r="178" ht="15" customHeight="1" spans="1:35">
      <c r="A178" s="46"/>
      <c r="B178" s="35" t="s">
        <v>192</v>
      </c>
      <c r="C178" s="36">
        <v>1.7</v>
      </c>
      <c r="D178" s="36">
        <v>0.95</v>
      </c>
      <c r="E178" s="67">
        <v>0</v>
      </c>
      <c r="F178" s="37">
        <v>1.615</v>
      </c>
      <c r="G178" s="38">
        <v>0.93</v>
      </c>
      <c r="H178" s="39">
        <v>12</v>
      </c>
      <c r="I178" s="40">
        <v>4699.9407</v>
      </c>
      <c r="J178" s="41">
        <f>I178/5</f>
        <v>939.98814</v>
      </c>
      <c r="K178" s="41">
        <f>J178+419.5243</f>
        <v>1359.51244</v>
      </c>
      <c r="L178" s="42">
        <v>4812.6456</v>
      </c>
      <c r="M178" s="43">
        <f>L178/5</f>
        <v>962.52912</v>
      </c>
      <c r="N178" s="43">
        <f>M178+419.5243</f>
        <v>1382.05342</v>
      </c>
      <c r="O178" s="40">
        <v>4989.7533</v>
      </c>
      <c r="P178" s="41">
        <f>O178/5</f>
        <v>997.95066</v>
      </c>
      <c r="Q178" s="41">
        <f>P178+419.5243</f>
        <v>1417.47496</v>
      </c>
      <c r="R178" s="42">
        <v>5150.7603</v>
      </c>
      <c r="S178" s="43">
        <f>R178/5</f>
        <v>1030.15206</v>
      </c>
      <c r="T178" s="43">
        <f>S178+419.5243</f>
        <v>1449.67636</v>
      </c>
      <c r="U178" s="40">
        <v>5327.868</v>
      </c>
      <c r="V178" s="41">
        <f>U178/5</f>
        <v>1065.5736</v>
      </c>
      <c r="W178" s="41">
        <f>V178+419.5243</f>
        <v>1485.0979</v>
      </c>
      <c r="X178" s="42">
        <v>5504.9757</v>
      </c>
      <c r="Y178" s="43">
        <f>X178/5</f>
        <v>1100.99514</v>
      </c>
      <c r="Z178" s="43">
        <f>Y178+419.5243</f>
        <v>1520.51944</v>
      </c>
      <c r="AA178" s="40">
        <v>5682.0834</v>
      </c>
      <c r="AB178" s="41">
        <f>AA178/5</f>
        <v>1136.41668</v>
      </c>
      <c r="AC178" s="41">
        <f>AB178+419.5243</f>
        <v>1555.94098</v>
      </c>
      <c r="AD178" s="42">
        <v>5987.9967</v>
      </c>
      <c r="AE178" s="43">
        <f>AD178/5</f>
        <v>1197.59934</v>
      </c>
      <c r="AF178" s="43">
        <f>AE178+419.5243</f>
        <v>1617.12364</v>
      </c>
      <c r="AG178" s="44">
        <v>6487.1184</v>
      </c>
      <c r="AH178" s="45">
        <f>AG178/5</f>
        <v>1297.42368</v>
      </c>
      <c r="AI178" s="45">
        <f>AH178+419.5243</f>
        <v>1716.94798</v>
      </c>
    </row>
    <row r="179" ht="15" customHeight="1" spans="1:35">
      <c r="A179" s="46"/>
      <c r="B179" s="35" t="s">
        <v>193</v>
      </c>
      <c r="C179" s="36">
        <v>1.9</v>
      </c>
      <c r="D179" s="36">
        <v>0.95</v>
      </c>
      <c r="E179" s="67">
        <v>0</v>
      </c>
      <c r="F179" s="37">
        <v>1.805</v>
      </c>
      <c r="G179" s="38">
        <v>0.93</v>
      </c>
      <c r="H179" s="39">
        <v>13.1</v>
      </c>
      <c r="I179" s="40">
        <v>4951.55073</v>
      </c>
      <c r="J179" s="41">
        <f>I179/5</f>
        <v>990.310146</v>
      </c>
      <c r="K179" s="41">
        <f>J179+419.5243</f>
        <v>1409.834446</v>
      </c>
      <c r="L179" s="42">
        <v>5075.52612</v>
      </c>
      <c r="M179" s="43">
        <f>L179/5</f>
        <v>1015.105224</v>
      </c>
      <c r="N179" s="43">
        <f>M179+419.5243</f>
        <v>1434.629524</v>
      </c>
      <c r="O179" s="40">
        <v>5270.34459</v>
      </c>
      <c r="P179" s="41">
        <f>O179/5</f>
        <v>1054.068918</v>
      </c>
      <c r="Q179" s="41">
        <f>P179+419.5243</f>
        <v>1473.593218</v>
      </c>
      <c r="R179" s="42">
        <v>5447.45229</v>
      </c>
      <c r="S179" s="43">
        <f>R179/5</f>
        <v>1089.490458</v>
      </c>
      <c r="T179" s="43">
        <f>S179+419.5243</f>
        <v>1509.014758</v>
      </c>
      <c r="U179" s="40">
        <v>5642.27076</v>
      </c>
      <c r="V179" s="41">
        <f>U179/5</f>
        <v>1128.454152</v>
      </c>
      <c r="W179" s="41">
        <f>V179+419.5243</f>
        <v>1547.978452</v>
      </c>
      <c r="X179" s="42">
        <v>5837.08923</v>
      </c>
      <c r="Y179" s="43">
        <f>X179/5</f>
        <v>1167.417846</v>
      </c>
      <c r="Z179" s="43">
        <f>Y179+419.5243</f>
        <v>1586.942146</v>
      </c>
      <c r="AA179" s="40">
        <v>6031.9077</v>
      </c>
      <c r="AB179" s="41">
        <f>AA179/5</f>
        <v>1206.38154</v>
      </c>
      <c r="AC179" s="41">
        <f>AB179+419.5243</f>
        <v>1625.90584</v>
      </c>
      <c r="AD179" s="42">
        <v>6368.41233</v>
      </c>
      <c r="AE179" s="43">
        <f>AD179/5</f>
        <v>1273.682466</v>
      </c>
      <c r="AF179" s="43">
        <f>AE179+419.5243</f>
        <v>1693.206766</v>
      </c>
      <c r="AG179" s="44">
        <v>6917.4462</v>
      </c>
      <c r="AH179" s="45">
        <f>AG179/5</f>
        <v>1383.48924</v>
      </c>
      <c r="AI179" s="45">
        <f>AH179+419.5243</f>
        <v>1803.01354</v>
      </c>
    </row>
    <row r="180" ht="14.45" customHeight="1" spans="1:35">
      <c r="A180" s="46"/>
      <c r="B180" s="35" t="s">
        <v>194</v>
      </c>
      <c r="C180" s="36">
        <v>2.1</v>
      </c>
      <c r="D180" s="36">
        <v>0.95</v>
      </c>
      <c r="E180" s="67">
        <v>0</v>
      </c>
      <c r="F180" s="37">
        <v>1.995</v>
      </c>
      <c r="G180" s="38">
        <v>0.93</v>
      </c>
      <c r="H180" s="39">
        <v>14.2</v>
      </c>
      <c r="I180" s="40">
        <v>5249.99916</v>
      </c>
      <c r="J180" s="41">
        <f>I180/5</f>
        <v>1049.999832</v>
      </c>
      <c r="K180" s="41">
        <f>J180+419.5243</f>
        <v>1469.524132</v>
      </c>
      <c r="L180" s="42">
        <v>5385.24504</v>
      </c>
      <c r="M180" s="43">
        <f>L180/5</f>
        <v>1077.049008</v>
      </c>
      <c r="N180" s="43">
        <f>M180+419.5243</f>
        <v>1496.573308</v>
      </c>
      <c r="O180" s="40">
        <v>5597.77428</v>
      </c>
      <c r="P180" s="41">
        <f>O180/5</f>
        <v>1119.554856</v>
      </c>
      <c r="Q180" s="41">
        <f>P180+419.5243</f>
        <v>1539.079156</v>
      </c>
      <c r="R180" s="42">
        <v>5790.98268</v>
      </c>
      <c r="S180" s="43">
        <f>R180/5</f>
        <v>1158.196536</v>
      </c>
      <c r="T180" s="43">
        <f>S180+419.5243</f>
        <v>1577.720836</v>
      </c>
      <c r="U180" s="40">
        <v>6003.51192</v>
      </c>
      <c r="V180" s="41">
        <f>U180/5</f>
        <v>1200.702384</v>
      </c>
      <c r="W180" s="41">
        <f>V180+419.5243</f>
        <v>1620.226684</v>
      </c>
      <c r="X180" s="42">
        <v>6216.04116</v>
      </c>
      <c r="Y180" s="43">
        <f>X180/5</f>
        <v>1243.208232</v>
      </c>
      <c r="Z180" s="43">
        <f>Y180+419.5243</f>
        <v>1662.732532</v>
      </c>
      <c r="AA180" s="40">
        <v>6428.5704</v>
      </c>
      <c r="AB180" s="41">
        <f>AA180/5</f>
        <v>1285.71408</v>
      </c>
      <c r="AC180" s="41">
        <f>AB180+419.5243</f>
        <v>1705.23838</v>
      </c>
      <c r="AD180" s="42">
        <v>6795.66636</v>
      </c>
      <c r="AE180" s="43">
        <f>AD180/5</f>
        <v>1359.133272</v>
      </c>
      <c r="AF180" s="43">
        <f>AE180+419.5243</f>
        <v>1778.657572</v>
      </c>
      <c r="AG180" s="44">
        <v>7394.6124</v>
      </c>
      <c r="AH180" s="45">
        <f>AG180/5</f>
        <v>1478.92248</v>
      </c>
      <c r="AI180" s="45">
        <f>AH180+419.5243</f>
        <v>1898.44678</v>
      </c>
    </row>
    <row r="181" ht="15" customHeight="1" spans="1:35">
      <c r="A181" s="46"/>
      <c r="B181" s="35" t="s">
        <v>195</v>
      </c>
      <c r="C181" s="36">
        <v>2.3</v>
      </c>
      <c r="D181" s="36">
        <v>0.95</v>
      </c>
      <c r="E181" s="67">
        <v>0</v>
      </c>
      <c r="F181" s="37">
        <v>2.185</v>
      </c>
      <c r="G181" s="38">
        <v>0.93</v>
      </c>
      <c r="H181" s="39">
        <v>15.3</v>
      </c>
      <c r="I181" s="40">
        <v>5507.46399</v>
      </c>
      <c r="J181" s="41">
        <f>I181/5</f>
        <v>1101.492798</v>
      </c>
      <c r="K181" s="41">
        <f>J181+419.5243</f>
        <v>1521.017098</v>
      </c>
      <c r="L181" s="42">
        <v>5653.98036</v>
      </c>
      <c r="M181" s="43">
        <f>L181/5</f>
        <v>1130.796072</v>
      </c>
      <c r="N181" s="43">
        <f>M181+419.5243</f>
        <v>1550.320372</v>
      </c>
      <c r="O181" s="40">
        <v>5884.22037</v>
      </c>
      <c r="P181" s="41">
        <f>O181/5</f>
        <v>1176.844074</v>
      </c>
      <c r="Q181" s="41">
        <f>P181+419.5243</f>
        <v>1596.368374</v>
      </c>
      <c r="R181" s="42">
        <v>6093.52947</v>
      </c>
      <c r="S181" s="43">
        <f>R181/5</f>
        <v>1218.705894</v>
      </c>
      <c r="T181" s="43">
        <f>S181+419.5243</f>
        <v>1638.230194</v>
      </c>
      <c r="U181" s="40">
        <v>6323.76948</v>
      </c>
      <c r="V181" s="41">
        <f>U181/5</f>
        <v>1264.753896</v>
      </c>
      <c r="W181" s="41">
        <f>V181+419.5243</f>
        <v>1684.278196</v>
      </c>
      <c r="X181" s="42">
        <v>6554.00949</v>
      </c>
      <c r="Y181" s="43">
        <f>X181/5</f>
        <v>1310.801898</v>
      </c>
      <c r="Z181" s="43">
        <f>Y181+419.5243</f>
        <v>1730.326198</v>
      </c>
      <c r="AA181" s="40">
        <v>6784.2495</v>
      </c>
      <c r="AB181" s="41">
        <f>AA181/5</f>
        <v>1356.8499</v>
      </c>
      <c r="AC181" s="41">
        <f>AB181+419.5243</f>
        <v>1776.3742</v>
      </c>
      <c r="AD181" s="42">
        <v>7181.93679</v>
      </c>
      <c r="AE181" s="43">
        <f>AD181/5</f>
        <v>1436.387358</v>
      </c>
      <c r="AF181" s="43">
        <f>AE181+419.5243</f>
        <v>1855.911658</v>
      </c>
      <c r="AG181" s="44">
        <v>7830.795</v>
      </c>
      <c r="AH181" s="45">
        <f>AG181/5</f>
        <v>1566.159</v>
      </c>
      <c r="AI181" s="45">
        <f>AH181+419.5243</f>
        <v>1985.6833</v>
      </c>
    </row>
    <row r="182" ht="15" customHeight="1" spans="1:35">
      <c r="A182" s="46"/>
      <c r="B182" s="35" t="s">
        <v>196</v>
      </c>
      <c r="C182" s="36">
        <v>2.5</v>
      </c>
      <c r="D182" s="36">
        <v>0.95</v>
      </c>
      <c r="E182" s="67">
        <v>0</v>
      </c>
      <c r="F182" s="37">
        <v>2.375</v>
      </c>
      <c r="G182" s="38">
        <v>0.93</v>
      </c>
      <c r="H182" s="39">
        <v>16.4</v>
      </c>
      <c r="I182" s="40">
        <v>5762.00142</v>
      </c>
      <c r="J182" s="41">
        <f>I182/5</f>
        <v>1152.400284</v>
      </c>
      <c r="K182" s="41">
        <f>J182+419.5243</f>
        <v>1571.924584</v>
      </c>
      <c r="L182" s="42">
        <v>5919.78828</v>
      </c>
      <c r="M182" s="43">
        <f>L182/5</f>
        <v>1183.957656</v>
      </c>
      <c r="N182" s="43">
        <f>M182+419.5243</f>
        <v>1603.481956</v>
      </c>
      <c r="O182" s="40">
        <v>6167.73906</v>
      </c>
      <c r="P182" s="41">
        <f>O182/5</f>
        <v>1233.547812</v>
      </c>
      <c r="Q182" s="41">
        <f>P182+419.5243</f>
        <v>1653.072112</v>
      </c>
      <c r="R182" s="42">
        <v>6393.14886</v>
      </c>
      <c r="S182" s="43">
        <f>R182/5</f>
        <v>1278.629772</v>
      </c>
      <c r="T182" s="43">
        <f>S182+419.5243</f>
        <v>1698.154072</v>
      </c>
      <c r="U182" s="40">
        <v>6641.09964</v>
      </c>
      <c r="V182" s="41">
        <f>U182/5</f>
        <v>1328.219928</v>
      </c>
      <c r="W182" s="41">
        <f>V182+419.5243</f>
        <v>1747.744228</v>
      </c>
      <c r="X182" s="42">
        <v>6889.05042</v>
      </c>
      <c r="Y182" s="43">
        <f>X182/5</f>
        <v>1377.810084</v>
      </c>
      <c r="Z182" s="43">
        <f>Y182+419.5243</f>
        <v>1797.334384</v>
      </c>
      <c r="AA182" s="40">
        <v>7137.0012</v>
      </c>
      <c r="AB182" s="41">
        <f>AA182/5</f>
        <v>1427.40024</v>
      </c>
      <c r="AC182" s="41">
        <f>AB182+419.5243</f>
        <v>1846.92454</v>
      </c>
      <c r="AD182" s="42">
        <v>7565.27982</v>
      </c>
      <c r="AE182" s="43">
        <f>AD182/5</f>
        <v>1513.055964</v>
      </c>
      <c r="AF182" s="43">
        <f>AE182+419.5243</f>
        <v>1932.580264</v>
      </c>
      <c r="AG182" s="44">
        <v>8264.0502</v>
      </c>
      <c r="AH182" s="45">
        <f>AG182/5</f>
        <v>1652.81004</v>
      </c>
      <c r="AI182" s="45">
        <f>AH182+419.5243</f>
        <v>2072.33434</v>
      </c>
    </row>
    <row r="183" ht="15" customHeight="1" spans="1:35">
      <c r="A183" s="46"/>
      <c r="B183" s="35"/>
      <c r="C183" s="36"/>
      <c r="D183" s="36"/>
      <c r="E183" s="67">
        <v>0</v>
      </c>
      <c r="F183" s="37" t="s">
        <v>59</v>
      </c>
      <c r="G183" s="38" t="s">
        <v>59</v>
      </c>
      <c r="H183" s="39" t="s">
        <v>59</v>
      </c>
      <c r="I183" s="40" t="s">
        <v>59</v>
      </c>
      <c r="L183" s="42" t="s">
        <v>59</v>
      </c>
      <c r="O183" s="40" t="s">
        <v>59</v>
      </c>
      <c r="R183" s="42" t="s">
        <v>59</v>
      </c>
      <c r="U183" s="40" t="s">
        <v>59</v>
      </c>
      <c r="X183" s="42" t="s">
        <v>59</v>
      </c>
      <c r="AA183" s="40" t="s">
        <v>59</v>
      </c>
      <c r="AD183" s="42" t="s">
        <v>59</v>
      </c>
      <c r="AG183" s="44" t="s">
        <v>59</v>
      </c>
    </row>
    <row r="184" ht="15" customHeight="1" spans="1:35">
      <c r="A184" s="46"/>
      <c r="B184" s="35" t="s">
        <v>197</v>
      </c>
      <c r="C184" s="36">
        <v>1.95</v>
      </c>
      <c r="D184" s="36">
        <v>0.95</v>
      </c>
      <c r="E184" s="67">
        <v>0</v>
      </c>
      <c r="F184" s="37">
        <v>1.8525</v>
      </c>
      <c r="G184" s="38">
        <v>0.93</v>
      </c>
      <c r="H184" s="39">
        <v>10.6</v>
      </c>
      <c r="I184" s="40">
        <v>4874.70648</v>
      </c>
      <c r="J184" s="41">
        <f>I184/5</f>
        <v>974.941296</v>
      </c>
      <c r="K184" s="41">
        <f>J184+419.5243</f>
        <v>1394.465596</v>
      </c>
      <c r="L184" s="42">
        <v>4973.06712</v>
      </c>
      <c r="M184" s="43">
        <f>L184/5</f>
        <v>994.613424</v>
      </c>
      <c r="N184" s="43">
        <f>M184+419.5243</f>
        <v>1414.137724</v>
      </c>
      <c r="O184" s="40">
        <v>5127.63384</v>
      </c>
      <c r="P184" s="41">
        <f>O184/5</f>
        <v>1025.526768</v>
      </c>
      <c r="Q184" s="41">
        <f>P184+419.5243</f>
        <v>1445.051068</v>
      </c>
      <c r="R184" s="42">
        <v>5268.14904</v>
      </c>
      <c r="S184" s="43">
        <f>R184/5</f>
        <v>1053.629808</v>
      </c>
      <c r="T184" s="43">
        <f>S184+419.5243</f>
        <v>1473.154108</v>
      </c>
      <c r="U184" s="40">
        <v>5422.71576</v>
      </c>
      <c r="V184" s="41">
        <f>U184/5</f>
        <v>1084.543152</v>
      </c>
      <c r="W184" s="41">
        <f>V184+419.5243</f>
        <v>1504.067452</v>
      </c>
      <c r="X184" s="42">
        <v>5577.28248</v>
      </c>
      <c r="Y184" s="43">
        <f>X184/5</f>
        <v>1115.456496</v>
      </c>
      <c r="Z184" s="43">
        <f>Y184+419.5243</f>
        <v>1534.980796</v>
      </c>
      <c r="AA184" s="40">
        <v>5731.8492</v>
      </c>
      <c r="AB184" s="41">
        <f>AA184/5</f>
        <v>1146.36984</v>
      </c>
      <c r="AC184" s="41">
        <f>AB184+419.5243</f>
        <v>1565.89414</v>
      </c>
      <c r="AD184" s="42">
        <v>5998.82808</v>
      </c>
      <c r="AE184" s="43">
        <f>AD184/5</f>
        <v>1199.765616</v>
      </c>
      <c r="AF184" s="43">
        <f>AE184+419.5243</f>
        <v>1619.289916</v>
      </c>
      <c r="AG184" s="44">
        <v>6434.4252</v>
      </c>
      <c r="AH184" s="45">
        <f>AG184/5</f>
        <v>1286.88504</v>
      </c>
      <c r="AI184" s="45">
        <f>AH184+419.5243</f>
        <v>1706.40934</v>
      </c>
    </row>
    <row r="185" ht="15" customHeight="1" spans="1:35">
      <c r="A185" s="46"/>
      <c r="B185" s="35" t="s">
        <v>198</v>
      </c>
      <c r="C185" s="36">
        <v>2.15</v>
      </c>
      <c r="D185" s="36">
        <v>0.95</v>
      </c>
      <c r="E185" s="67">
        <v>0</v>
      </c>
      <c r="F185" s="37">
        <v>2.0425</v>
      </c>
      <c r="G185" s="38">
        <v>0.93</v>
      </c>
      <c r="H185" s="39">
        <v>11.5</v>
      </c>
      <c r="I185" s="40">
        <v>5147.10105</v>
      </c>
      <c r="J185" s="41">
        <f>I185/5</f>
        <v>1029.42021</v>
      </c>
      <c r="K185" s="41">
        <f>J185+419.5243</f>
        <v>1448.94451</v>
      </c>
      <c r="L185" s="42">
        <v>5254.683</v>
      </c>
      <c r="M185" s="43">
        <f>L185/5</f>
        <v>1050.9366</v>
      </c>
      <c r="N185" s="43">
        <f>M185+419.5243</f>
        <v>1470.4609</v>
      </c>
      <c r="O185" s="40">
        <v>5423.74035</v>
      </c>
      <c r="P185" s="41">
        <f>O185/5</f>
        <v>1084.74807</v>
      </c>
      <c r="Q185" s="41">
        <f>P185+419.5243</f>
        <v>1504.27237</v>
      </c>
      <c r="R185" s="42">
        <v>5577.42885</v>
      </c>
      <c r="S185" s="43">
        <f>R185/5</f>
        <v>1115.48577</v>
      </c>
      <c r="T185" s="43">
        <f>S185+419.5243</f>
        <v>1535.01007</v>
      </c>
      <c r="U185" s="40">
        <v>5746.4862</v>
      </c>
      <c r="V185" s="41">
        <f>U185/5</f>
        <v>1149.29724</v>
      </c>
      <c r="W185" s="41">
        <f>V185+419.5243</f>
        <v>1568.82154</v>
      </c>
      <c r="X185" s="42">
        <v>5915.54355</v>
      </c>
      <c r="Y185" s="43">
        <f>X185/5</f>
        <v>1183.10871</v>
      </c>
      <c r="Z185" s="43">
        <f>Y185+419.5243</f>
        <v>1602.63301</v>
      </c>
      <c r="AA185" s="40">
        <v>6084.6009</v>
      </c>
      <c r="AB185" s="41">
        <f>AA185/5</f>
        <v>1216.92018</v>
      </c>
      <c r="AC185" s="41">
        <f>AB185+419.5243</f>
        <v>1636.44448</v>
      </c>
      <c r="AD185" s="42">
        <v>6376.60905</v>
      </c>
      <c r="AE185" s="43">
        <f>AD185/5</f>
        <v>1275.32181</v>
      </c>
      <c r="AF185" s="43">
        <f>AE185+419.5243</f>
        <v>1694.84611</v>
      </c>
      <c r="AG185" s="44">
        <v>6853.0434</v>
      </c>
      <c r="AH185" s="45">
        <f>AG185/5</f>
        <v>1370.60868</v>
      </c>
      <c r="AI185" s="45">
        <f>AH185+419.5243</f>
        <v>1790.13298</v>
      </c>
    </row>
    <row r="186" ht="15" customHeight="1" spans="1:35">
      <c r="A186" s="46"/>
      <c r="B186" s="35" t="s">
        <v>199</v>
      </c>
      <c r="C186" s="36">
        <v>2.35</v>
      </c>
      <c r="D186" s="36">
        <v>0.95</v>
      </c>
      <c r="E186" s="67">
        <v>0</v>
      </c>
      <c r="F186" s="37">
        <v>2.2325</v>
      </c>
      <c r="G186" s="38">
        <v>0.93</v>
      </c>
      <c r="H186" s="39">
        <v>12.4</v>
      </c>
      <c r="I186" s="40">
        <v>5396.07642</v>
      </c>
      <c r="J186" s="41">
        <f>I186/5</f>
        <v>1079.215284</v>
      </c>
      <c r="K186" s="41">
        <f>J186+419.5243</f>
        <v>1498.739584</v>
      </c>
      <c r="L186" s="42">
        <v>5512.87968</v>
      </c>
      <c r="M186" s="43">
        <f>L186/5</f>
        <v>1102.575936</v>
      </c>
      <c r="N186" s="43">
        <f>M186+419.5243</f>
        <v>1522.100236</v>
      </c>
      <c r="O186" s="40">
        <v>5696.42766</v>
      </c>
      <c r="P186" s="41">
        <f>O186/5</f>
        <v>1139.285532</v>
      </c>
      <c r="Q186" s="41">
        <f>P186+419.5243</f>
        <v>1558.809832</v>
      </c>
      <c r="R186" s="42">
        <v>5863.28946</v>
      </c>
      <c r="S186" s="43">
        <f>R186/5</f>
        <v>1172.657892</v>
      </c>
      <c r="T186" s="43">
        <f>S186+419.5243</f>
        <v>1592.182192</v>
      </c>
      <c r="U186" s="40">
        <v>6046.83744</v>
      </c>
      <c r="V186" s="41">
        <f>U186/5</f>
        <v>1209.367488</v>
      </c>
      <c r="W186" s="41">
        <f>V186+419.5243</f>
        <v>1628.891788</v>
      </c>
      <c r="X186" s="42">
        <v>6230.38542</v>
      </c>
      <c r="Y186" s="43">
        <f>X186/5</f>
        <v>1246.077084</v>
      </c>
      <c r="Z186" s="43">
        <f>Y186+419.5243</f>
        <v>1665.601384</v>
      </c>
      <c r="AA186" s="40">
        <v>6413.9334</v>
      </c>
      <c r="AB186" s="41">
        <f>AA186/5</f>
        <v>1282.78668</v>
      </c>
      <c r="AC186" s="41">
        <f>AB186+419.5243</f>
        <v>1702.31098</v>
      </c>
      <c r="AD186" s="42">
        <v>6730.97082</v>
      </c>
      <c r="AE186" s="43">
        <f>AD186/5</f>
        <v>1346.194164</v>
      </c>
      <c r="AF186" s="43">
        <f>AE186+419.5243</f>
        <v>1765.718464</v>
      </c>
      <c r="AG186" s="44">
        <v>7248.2424</v>
      </c>
      <c r="AH186" s="45">
        <f>AG186/5</f>
        <v>1449.64848</v>
      </c>
      <c r="AI186" s="45">
        <f>AH186+419.5243</f>
        <v>1869.17278</v>
      </c>
    </row>
    <row r="187" ht="15" customHeight="1" spans="1:35">
      <c r="A187" s="46"/>
      <c r="B187" s="35" t="s">
        <v>200</v>
      </c>
      <c r="C187" s="36">
        <v>2.55</v>
      </c>
      <c r="D187" s="36">
        <v>0.95</v>
      </c>
      <c r="E187" s="67">
        <v>0</v>
      </c>
      <c r="F187" s="37">
        <v>2.4225</v>
      </c>
      <c r="G187" s="38">
        <v>0.93</v>
      </c>
      <c r="H187" s="39">
        <v>13.3</v>
      </c>
      <c r="I187" s="40">
        <v>5671.39839</v>
      </c>
      <c r="J187" s="41">
        <f>I187/5</f>
        <v>1134.279678</v>
      </c>
      <c r="K187" s="41">
        <f>J187+419.5243</f>
        <v>1553.803978</v>
      </c>
      <c r="L187" s="42">
        <v>5797.42296</v>
      </c>
      <c r="M187" s="43">
        <f>L187/5</f>
        <v>1159.484592</v>
      </c>
      <c r="N187" s="43">
        <f>M187+419.5243</f>
        <v>1579.008892</v>
      </c>
      <c r="O187" s="40">
        <v>5995.46157</v>
      </c>
      <c r="P187" s="41">
        <f>O187/5</f>
        <v>1199.092314</v>
      </c>
      <c r="Q187" s="41">
        <f>P187+419.5243</f>
        <v>1618.616614</v>
      </c>
      <c r="R187" s="42">
        <v>6175.49667</v>
      </c>
      <c r="S187" s="43">
        <f>R187/5</f>
        <v>1235.099334</v>
      </c>
      <c r="T187" s="43">
        <f>S187+419.5243</f>
        <v>1654.623634</v>
      </c>
      <c r="U187" s="40">
        <v>6373.53528</v>
      </c>
      <c r="V187" s="41">
        <f>U187/5</f>
        <v>1274.707056</v>
      </c>
      <c r="W187" s="41">
        <f>V187+419.5243</f>
        <v>1694.231356</v>
      </c>
      <c r="X187" s="42">
        <v>6571.57389</v>
      </c>
      <c r="Y187" s="43">
        <f>X187/5</f>
        <v>1314.314778</v>
      </c>
      <c r="Z187" s="43">
        <f>Y187+419.5243</f>
        <v>1733.839078</v>
      </c>
      <c r="AA187" s="40">
        <v>6769.6125</v>
      </c>
      <c r="AB187" s="41">
        <f>AA187/5</f>
        <v>1353.9225</v>
      </c>
      <c r="AC187" s="41">
        <f>AB187+419.5243</f>
        <v>1773.4468</v>
      </c>
      <c r="AD187" s="42">
        <v>7111.67919</v>
      </c>
      <c r="AE187" s="43">
        <f>AD187/5</f>
        <v>1422.335838</v>
      </c>
      <c r="AF187" s="43">
        <f>AE187+419.5243</f>
        <v>1841.860138</v>
      </c>
      <c r="AG187" s="44">
        <v>7669.788</v>
      </c>
      <c r="AH187" s="45">
        <f>AG187/5</f>
        <v>1533.9576</v>
      </c>
      <c r="AI187" s="45">
        <f>AH187+419.5243</f>
        <v>1953.4819</v>
      </c>
    </row>
    <row r="188" ht="15" customHeight="1" spans="1:35">
      <c r="A188" s="46"/>
      <c r="B188" s="35" t="s">
        <v>201</v>
      </c>
      <c r="C188" s="36">
        <v>2.75</v>
      </c>
      <c r="D188" s="36">
        <v>0.95</v>
      </c>
      <c r="E188" s="67">
        <v>0</v>
      </c>
      <c r="F188" s="37">
        <v>2.6125</v>
      </c>
      <c r="G188" s="38">
        <v>0.93</v>
      </c>
      <c r="H188" s="39">
        <v>14.2</v>
      </c>
      <c r="I188" s="40">
        <v>5914.51896</v>
      </c>
      <c r="J188" s="41">
        <f>I188/5</f>
        <v>1182.903792</v>
      </c>
      <c r="K188" s="41">
        <f>J188+419.5243</f>
        <v>1602.428092</v>
      </c>
      <c r="L188" s="42">
        <v>6049.76484</v>
      </c>
      <c r="M188" s="43">
        <f>L188/5</f>
        <v>1209.952968</v>
      </c>
      <c r="N188" s="43">
        <f>M188+419.5243</f>
        <v>1629.477268</v>
      </c>
      <c r="O188" s="40">
        <v>6262.29408</v>
      </c>
      <c r="P188" s="41">
        <f>O188/5</f>
        <v>1252.458816</v>
      </c>
      <c r="Q188" s="41">
        <f>P188+419.5243</f>
        <v>1671.983116</v>
      </c>
      <c r="R188" s="42">
        <v>6455.50248</v>
      </c>
      <c r="S188" s="43">
        <f>R188/5</f>
        <v>1291.100496</v>
      </c>
      <c r="T188" s="43">
        <f>S188+419.5243</f>
        <v>1710.624796</v>
      </c>
      <c r="U188" s="40">
        <v>6668.03172</v>
      </c>
      <c r="V188" s="41">
        <f>U188/5</f>
        <v>1333.606344</v>
      </c>
      <c r="W188" s="41">
        <f>V188+419.5243</f>
        <v>1753.130644</v>
      </c>
      <c r="X188" s="42">
        <v>6880.56096</v>
      </c>
      <c r="Y188" s="43">
        <f>X188/5</f>
        <v>1376.112192</v>
      </c>
      <c r="Z188" s="43">
        <f>Y188+419.5243</f>
        <v>1795.636492</v>
      </c>
      <c r="AA188" s="40">
        <v>7093.0902</v>
      </c>
      <c r="AB188" s="41">
        <f>AA188/5</f>
        <v>1418.61804</v>
      </c>
      <c r="AC188" s="41">
        <f>AB188+419.5243</f>
        <v>1838.14234</v>
      </c>
      <c r="AD188" s="42">
        <v>7460.18616</v>
      </c>
      <c r="AE188" s="43">
        <f>AD188/5</f>
        <v>1492.037232</v>
      </c>
      <c r="AF188" s="43">
        <f>AE188+419.5243</f>
        <v>1911.561532</v>
      </c>
      <c r="AG188" s="44">
        <v>8059.1322</v>
      </c>
      <c r="AH188" s="45">
        <f>AG188/5</f>
        <v>1611.82644</v>
      </c>
      <c r="AI188" s="45">
        <f>AH188+419.5243</f>
        <v>2031.35074</v>
      </c>
    </row>
    <row r="189" ht="15" customHeight="1" spans="1:35">
      <c r="A189" s="46"/>
      <c r="B189" s="35"/>
      <c r="C189" s="36"/>
      <c r="D189" s="36"/>
      <c r="E189" s="67">
        <v>0</v>
      </c>
      <c r="F189" s="37" t="s">
        <v>59</v>
      </c>
      <c r="G189" s="38" t="s">
        <v>59</v>
      </c>
      <c r="H189" s="39" t="s">
        <v>59</v>
      </c>
      <c r="I189" s="40" t="s">
        <v>59</v>
      </c>
      <c r="L189" s="42" t="s">
        <v>59</v>
      </c>
      <c r="O189" s="40" t="s">
        <v>59</v>
      </c>
      <c r="R189" s="42" t="s">
        <v>59</v>
      </c>
      <c r="U189" s="40" t="s">
        <v>59</v>
      </c>
      <c r="X189" s="42" t="s">
        <v>59</v>
      </c>
      <c r="AA189" s="40" t="s">
        <v>59</v>
      </c>
      <c r="AD189" s="42" t="s">
        <v>59</v>
      </c>
      <c r="AG189" s="44" t="s">
        <v>59</v>
      </c>
    </row>
    <row r="190" ht="15" customHeight="1" spans="1:35">
      <c r="A190" s="46"/>
      <c r="B190" s="35" t="s">
        <v>202</v>
      </c>
      <c r="C190" s="36">
        <v>1.9</v>
      </c>
      <c r="D190" s="36">
        <v>1.14</v>
      </c>
      <c r="E190" s="67">
        <v>0</v>
      </c>
      <c r="F190" s="37">
        <v>2.166</v>
      </c>
      <c r="G190" s="38">
        <v>0.93</v>
      </c>
      <c r="H190" s="39">
        <v>11.05</v>
      </c>
      <c r="I190" s="40">
        <v>4418.105265</v>
      </c>
      <c r="J190" s="41">
        <f>I190/5</f>
        <v>883.621053</v>
      </c>
      <c r="K190" s="41">
        <f>J190+882.5842</f>
        <v>1766.205253</v>
      </c>
      <c r="L190" s="42">
        <v>4521.07656</v>
      </c>
      <c r="M190" s="43">
        <f>L190/5</f>
        <v>904.215312</v>
      </c>
      <c r="N190" s="43">
        <f>M190+882.5842</f>
        <v>1786.799512</v>
      </c>
      <c r="O190" s="40">
        <v>4682.888595</v>
      </c>
      <c r="P190" s="41">
        <f>O190/5</f>
        <v>936.577719</v>
      </c>
      <c r="Q190" s="41">
        <f>P190+882.5842</f>
        <v>1819.161919</v>
      </c>
      <c r="R190" s="42">
        <v>4829.990445</v>
      </c>
      <c r="S190" s="43">
        <f>R190/5</f>
        <v>965.998089</v>
      </c>
      <c r="T190" s="43">
        <f>S190+882.5842</f>
        <v>1848.582289</v>
      </c>
      <c r="U190" s="40">
        <v>4991.80248</v>
      </c>
      <c r="V190" s="41">
        <f>U190/5</f>
        <v>998.360496</v>
      </c>
      <c r="W190" s="41">
        <f>V190+882.5842</f>
        <v>1880.944696</v>
      </c>
      <c r="X190" s="42">
        <v>5153.614515</v>
      </c>
      <c r="Y190" s="43">
        <f>X190/5</f>
        <v>1030.722903</v>
      </c>
      <c r="Z190" s="43">
        <f>Y190+882.5842</f>
        <v>1913.307103</v>
      </c>
      <c r="AA190" s="40">
        <v>5315.42655</v>
      </c>
      <c r="AB190" s="41">
        <f>AA190/5</f>
        <v>1063.08531</v>
      </c>
      <c r="AC190" s="41">
        <f>AB190+882.5842</f>
        <v>1945.66951</v>
      </c>
      <c r="AD190" s="42">
        <v>5594.920065</v>
      </c>
      <c r="AE190" s="43">
        <f>AD190/5</f>
        <v>1118.984013</v>
      </c>
      <c r="AF190" s="43">
        <f>AE190+882.5842</f>
        <v>2001.568213</v>
      </c>
      <c r="AG190" s="44">
        <v>6050.9358</v>
      </c>
      <c r="AH190" s="45">
        <f>AG190/5</f>
        <v>1210.18716</v>
      </c>
      <c r="AI190" s="45">
        <f>AH190+882.5842</f>
        <v>2092.77136</v>
      </c>
    </row>
    <row r="191" ht="15" customHeight="1" spans="1:35">
      <c r="A191" s="46"/>
      <c r="B191" s="35" t="s">
        <v>202</v>
      </c>
      <c r="C191" s="36">
        <v>2.1</v>
      </c>
      <c r="D191" s="36">
        <v>1.14</v>
      </c>
      <c r="E191" s="67">
        <v>0</v>
      </c>
      <c r="F191" s="37">
        <v>2.394</v>
      </c>
      <c r="G191" s="38">
        <v>0.93</v>
      </c>
      <c r="H191" s="39">
        <v>11.9</v>
      </c>
      <c r="I191" s="40">
        <v>4689.84117</v>
      </c>
      <c r="J191" s="41">
        <f>I191/5</f>
        <v>937.968234</v>
      </c>
      <c r="K191" s="41">
        <f>J191+882.5842</f>
        <v>1820.552434</v>
      </c>
      <c r="L191" s="42">
        <v>4801.52148</v>
      </c>
      <c r="M191" s="43">
        <f>L191/5</f>
        <v>960.304296</v>
      </c>
      <c r="N191" s="43">
        <f>M191+882.5842</f>
        <v>1842.888496</v>
      </c>
      <c r="O191" s="40">
        <v>4977.01911</v>
      </c>
      <c r="P191" s="41">
        <f>O191/5</f>
        <v>995.403822</v>
      </c>
      <c r="Q191" s="41">
        <f>P191+882.5842</f>
        <v>1877.988022</v>
      </c>
      <c r="R191" s="42">
        <v>5136.56241</v>
      </c>
      <c r="S191" s="43">
        <f>R191/5</f>
        <v>1027.312482</v>
      </c>
      <c r="T191" s="43">
        <f>S191+882.5842</f>
        <v>1909.896682</v>
      </c>
      <c r="U191" s="40">
        <v>5312.06004</v>
      </c>
      <c r="V191" s="41">
        <f>U191/5</f>
        <v>1062.412008</v>
      </c>
      <c r="W191" s="41">
        <f>V191+882.5842</f>
        <v>1944.996208</v>
      </c>
      <c r="X191" s="42">
        <v>5487.55767</v>
      </c>
      <c r="Y191" s="43">
        <f>X191/5</f>
        <v>1097.511534</v>
      </c>
      <c r="Z191" s="43">
        <f>Y191+882.5842</f>
        <v>1980.095734</v>
      </c>
      <c r="AA191" s="40">
        <v>5663.0553</v>
      </c>
      <c r="AB191" s="41">
        <f>AA191/5</f>
        <v>1132.61106</v>
      </c>
      <c r="AC191" s="41">
        <f>AB191+882.5842</f>
        <v>2015.19526</v>
      </c>
      <c r="AD191" s="42">
        <v>5966.18757</v>
      </c>
      <c r="AE191" s="43">
        <f>AD191/5</f>
        <v>1193.237514</v>
      </c>
      <c r="AF191" s="43">
        <f>AE191+882.5842</f>
        <v>2075.821714</v>
      </c>
      <c r="AG191" s="44">
        <v>6460.7718</v>
      </c>
      <c r="AH191" s="45">
        <f>AG191/5</f>
        <v>1292.15436</v>
      </c>
      <c r="AI191" s="45">
        <f>AH191+882.5842</f>
        <v>2174.73856</v>
      </c>
    </row>
    <row r="192" ht="15" customHeight="1" spans="1:35">
      <c r="A192" s="46"/>
      <c r="B192" s="35" t="s">
        <v>202</v>
      </c>
      <c r="C192" s="36">
        <v>2.3</v>
      </c>
      <c r="D192" s="36">
        <v>1.14</v>
      </c>
      <c r="E192" s="67">
        <v>0</v>
      </c>
      <c r="F192" s="37">
        <v>2.622</v>
      </c>
      <c r="G192" s="38">
        <v>0.93</v>
      </c>
      <c r="H192" s="39">
        <v>12.75</v>
      </c>
      <c r="I192" s="40">
        <v>5219.188275</v>
      </c>
      <c r="J192" s="41">
        <f>I192/5</f>
        <v>1043.837655</v>
      </c>
      <c r="K192" s="41">
        <f>J192+882.5842</f>
        <v>1926.421855</v>
      </c>
      <c r="L192" s="42">
        <v>5339.5776</v>
      </c>
      <c r="M192" s="43">
        <f>L192/5</f>
        <v>1067.91552</v>
      </c>
      <c r="N192" s="43">
        <f>M192+882.5842</f>
        <v>1950.49972</v>
      </c>
      <c r="O192" s="40">
        <v>5528.760825</v>
      </c>
      <c r="P192" s="41">
        <f>O192/5</f>
        <v>1105.752165</v>
      </c>
      <c r="Q192" s="41">
        <f>P192+882.5842</f>
        <v>1988.336365</v>
      </c>
      <c r="R192" s="42">
        <v>5700.745575</v>
      </c>
      <c r="S192" s="43">
        <f>R192/5</f>
        <v>1140.149115</v>
      </c>
      <c r="T192" s="43">
        <f>S192+882.5842</f>
        <v>2022.733315</v>
      </c>
      <c r="U192" s="40">
        <v>5889.9288</v>
      </c>
      <c r="V192" s="41">
        <f>U192/5</f>
        <v>1177.98576</v>
      </c>
      <c r="W192" s="41">
        <f>V192+882.5842</f>
        <v>2060.56996</v>
      </c>
      <c r="X192" s="42">
        <v>6079.112025</v>
      </c>
      <c r="Y192" s="43">
        <f>X192/5</f>
        <v>1215.822405</v>
      </c>
      <c r="Z192" s="43">
        <f>Y192+882.5842</f>
        <v>2098.406605</v>
      </c>
      <c r="AA192" s="40">
        <v>6268.29525</v>
      </c>
      <c r="AB192" s="41">
        <f>AA192/5</f>
        <v>1253.65905</v>
      </c>
      <c r="AC192" s="41">
        <f>AB192+882.5842</f>
        <v>2136.24325</v>
      </c>
      <c r="AD192" s="42">
        <v>6595.066275</v>
      </c>
      <c r="AE192" s="43">
        <f>AD192/5</f>
        <v>1319.013255</v>
      </c>
      <c r="AF192" s="43">
        <f>AE192+882.5842</f>
        <v>2201.597455</v>
      </c>
      <c r="AG192" s="44">
        <v>7128.219</v>
      </c>
      <c r="AH192" s="45">
        <f>AG192/5</f>
        <v>1425.6438</v>
      </c>
      <c r="AI192" s="45">
        <f>AH192+882.5842</f>
        <v>2308.228</v>
      </c>
    </row>
    <row r="193" ht="15" customHeight="1" spans="1:35">
      <c r="A193" s="46"/>
      <c r="B193" s="35"/>
      <c r="C193" s="36"/>
      <c r="D193" s="36"/>
      <c r="E193" s="67">
        <v>0</v>
      </c>
      <c r="F193" s="37" t="s">
        <v>59</v>
      </c>
      <c r="G193" s="38" t="s">
        <v>59</v>
      </c>
      <c r="H193" s="39" t="s">
        <v>59</v>
      </c>
      <c r="I193" s="40" t="s">
        <v>59</v>
      </c>
      <c r="L193" s="42" t="s">
        <v>59</v>
      </c>
      <c r="O193" s="40" t="s">
        <v>59</v>
      </c>
      <c r="R193" s="42" t="s">
        <v>59</v>
      </c>
      <c r="U193" s="40" t="s">
        <v>59</v>
      </c>
      <c r="X193" s="42" t="s">
        <v>59</v>
      </c>
      <c r="AA193" s="40" t="s">
        <v>59</v>
      </c>
      <c r="AD193" s="42" t="s">
        <v>59</v>
      </c>
      <c r="AG193" s="44" t="s">
        <v>59</v>
      </c>
    </row>
    <row r="194" ht="15" customHeight="1" spans="1:35">
      <c r="A194" s="25" t="s">
        <v>203</v>
      </c>
      <c r="B194" s="26" t="s">
        <v>37</v>
      </c>
      <c r="C194" s="27" t="s">
        <v>38</v>
      </c>
      <c r="D194" s="27" t="s">
        <v>39</v>
      </c>
      <c r="E194" s="66" t="s">
        <v>40</v>
      </c>
      <c r="F194" s="28" t="s">
        <v>41</v>
      </c>
      <c r="G194" s="28" t="s">
        <v>42</v>
      </c>
      <c r="H194" s="29" t="s">
        <v>43</v>
      </c>
      <c r="I194" s="51" t="s">
        <v>44</v>
      </c>
      <c r="J194" s="31" t="s">
        <v>45</v>
      </c>
      <c r="K194" s="31" t="s">
        <v>46</v>
      </c>
      <c r="L194" s="51" t="s">
        <v>47</v>
      </c>
      <c r="M194" s="31" t="s">
        <v>45</v>
      </c>
      <c r="N194" s="31" t="s">
        <v>46</v>
      </c>
      <c r="O194" s="51" t="s">
        <v>48</v>
      </c>
      <c r="P194" s="31" t="s">
        <v>45</v>
      </c>
      <c r="Q194" s="31" t="s">
        <v>46</v>
      </c>
      <c r="R194" s="51" t="s">
        <v>49</v>
      </c>
      <c r="S194" s="31" t="s">
        <v>45</v>
      </c>
      <c r="T194" s="31" t="s">
        <v>46</v>
      </c>
      <c r="U194" s="51" t="s">
        <v>50</v>
      </c>
      <c r="V194" s="31" t="s">
        <v>45</v>
      </c>
      <c r="W194" s="31" t="s">
        <v>46</v>
      </c>
      <c r="X194" s="51" t="s">
        <v>51</v>
      </c>
      <c r="Y194" s="31" t="s">
        <v>45</v>
      </c>
      <c r="Z194" s="31" t="s">
        <v>46</v>
      </c>
      <c r="AA194" s="51" t="s">
        <v>52</v>
      </c>
      <c r="AB194" s="31" t="s">
        <v>45</v>
      </c>
      <c r="AC194" s="31" t="s">
        <v>46</v>
      </c>
      <c r="AD194" s="51" t="s">
        <v>53</v>
      </c>
      <c r="AE194" s="31" t="s">
        <v>45</v>
      </c>
      <c r="AF194" s="31" t="s">
        <v>46</v>
      </c>
      <c r="AG194" s="52" t="s">
        <v>54</v>
      </c>
      <c r="AH194" s="33" t="s">
        <v>45</v>
      </c>
      <c r="AI194" s="33" t="s">
        <v>46</v>
      </c>
    </row>
    <row r="195" ht="15" customHeight="1" spans="1:35">
      <c r="A195" s="34"/>
      <c r="B195" s="35" t="s">
        <v>56</v>
      </c>
      <c r="C195" s="36">
        <v>0.9</v>
      </c>
      <c r="D195" s="36">
        <v>1.04</v>
      </c>
      <c r="E195" s="67">
        <v>1.56</v>
      </c>
      <c r="F195" s="37">
        <v>0.936</v>
      </c>
      <c r="G195" s="38">
        <v>1</v>
      </c>
      <c r="H195" s="39">
        <v>8</v>
      </c>
      <c r="I195" s="40">
        <v>2191.53375</v>
      </c>
      <c r="J195" s="41">
        <f>I195/5</f>
        <v>438.30675</v>
      </c>
      <c r="K195" s="41">
        <f>J195+0</f>
        <v>438.30675</v>
      </c>
      <c r="L195" s="42">
        <v>2257.1325</v>
      </c>
      <c r="M195" s="43">
        <f>L195/5</f>
        <v>451.4265</v>
      </c>
      <c r="N195" s="43">
        <f>M195+0</f>
        <v>451.4265</v>
      </c>
      <c r="O195" s="40">
        <v>2360.21625</v>
      </c>
      <c r="P195" s="41">
        <f>O195/5</f>
        <v>472.04325</v>
      </c>
      <c r="Q195" s="41">
        <f>P195+0</f>
        <v>472.04325</v>
      </c>
      <c r="R195" s="42">
        <v>2453.92875</v>
      </c>
      <c r="S195" s="43">
        <f>R195/5</f>
        <v>490.78575</v>
      </c>
      <c r="T195" s="43">
        <f>S195+0</f>
        <v>490.78575</v>
      </c>
      <c r="U195" s="40">
        <v>2557.0125</v>
      </c>
      <c r="V195" s="41">
        <f>U195/5</f>
        <v>511.4025</v>
      </c>
      <c r="W195" s="41">
        <f>V195+0</f>
        <v>511.4025</v>
      </c>
      <c r="X195" s="42">
        <v>2660.09625</v>
      </c>
      <c r="Y195" s="43">
        <f>X195/5</f>
        <v>532.01925</v>
      </c>
      <c r="Z195" s="43">
        <f>Y195+0</f>
        <v>532.01925</v>
      </c>
      <c r="AA195" s="40">
        <v>2763.18</v>
      </c>
      <c r="AB195" s="41">
        <f>AA195/5</f>
        <v>552.636</v>
      </c>
      <c r="AC195" s="41">
        <f>AB195+0</f>
        <v>552.636</v>
      </c>
      <c r="AD195" s="42">
        <v>2941.23375</v>
      </c>
      <c r="AE195" s="43">
        <f>AD195/5</f>
        <v>588.24675</v>
      </c>
      <c r="AF195" s="43">
        <f>AE195+0</f>
        <v>588.24675</v>
      </c>
      <c r="AG195" s="44">
        <v>3231.7425</v>
      </c>
      <c r="AH195" s="45">
        <f>AG195/5</f>
        <v>646.3485</v>
      </c>
      <c r="AI195" s="45">
        <f>AH195+0</f>
        <v>646.3485</v>
      </c>
    </row>
    <row r="196" ht="15" customHeight="1" spans="1:35">
      <c r="A196" s="34"/>
      <c r="B196" s="35" t="s">
        <v>57</v>
      </c>
      <c r="C196" s="36">
        <v>1</v>
      </c>
      <c r="D196" s="36">
        <v>1.04</v>
      </c>
      <c r="E196" s="67">
        <v>1.56</v>
      </c>
      <c r="F196" s="37">
        <v>1.04</v>
      </c>
      <c r="G196" s="38">
        <v>1</v>
      </c>
      <c r="H196" s="39">
        <v>8.4</v>
      </c>
      <c r="I196" s="40">
        <v>2340.93825</v>
      </c>
      <c r="J196" s="41">
        <f>I196/5</f>
        <v>468.18765</v>
      </c>
      <c r="K196" s="41">
        <f>J196+410.1696</f>
        <v>878.35725</v>
      </c>
      <c r="L196" s="42">
        <v>2410.2855</v>
      </c>
      <c r="M196" s="43">
        <f>L196/5</f>
        <v>482.0571</v>
      </c>
      <c r="N196" s="43">
        <f>M196+410.1696</f>
        <v>892.2267</v>
      </c>
      <c r="O196" s="40">
        <v>2519.25975</v>
      </c>
      <c r="P196" s="41">
        <f>O196/5</f>
        <v>503.85195</v>
      </c>
      <c r="Q196" s="41">
        <f>P196+410.1696</f>
        <v>914.02155</v>
      </c>
      <c r="R196" s="42">
        <v>2618.32725</v>
      </c>
      <c r="S196" s="43">
        <f>R196/5</f>
        <v>523.66545</v>
      </c>
      <c r="T196" s="43">
        <f>S196+410.1696</f>
        <v>933.83505</v>
      </c>
      <c r="U196" s="40">
        <v>2727.3015</v>
      </c>
      <c r="V196" s="41">
        <f>U196/5</f>
        <v>545.4603</v>
      </c>
      <c r="W196" s="41">
        <f>V196+410.1696</f>
        <v>955.6299</v>
      </c>
      <c r="X196" s="42">
        <v>2836.27575</v>
      </c>
      <c r="Y196" s="43">
        <f>X196/5</f>
        <v>567.25515</v>
      </c>
      <c r="Z196" s="43">
        <f>Y196+410.1696</f>
        <v>977.42475</v>
      </c>
      <c r="AA196" s="40">
        <v>2945.25</v>
      </c>
      <c r="AB196" s="41">
        <f>AA196/5</f>
        <v>589.05</v>
      </c>
      <c r="AC196" s="41">
        <f>AB196+410.1696</f>
        <v>999.2196</v>
      </c>
      <c r="AD196" s="42">
        <v>3133.47825</v>
      </c>
      <c r="AE196" s="43">
        <f>AD196/5</f>
        <v>626.69565</v>
      </c>
      <c r="AF196" s="43">
        <f>AE196+410.1696</f>
        <v>1036.86525</v>
      </c>
      <c r="AG196" s="44">
        <v>3440.5875</v>
      </c>
      <c r="AH196" s="45">
        <f>AG196/5</f>
        <v>688.1175</v>
      </c>
      <c r="AI196" s="45">
        <f>AH196+410.1696</f>
        <v>1098.2871</v>
      </c>
    </row>
    <row r="197" ht="15" customHeight="1" spans="1:35">
      <c r="A197" s="34"/>
      <c r="B197" s="35" t="s">
        <v>58</v>
      </c>
      <c r="C197" s="36">
        <v>1.1</v>
      </c>
      <c r="D197" s="36">
        <v>1.04</v>
      </c>
      <c r="E197" s="67">
        <v>1.56</v>
      </c>
      <c r="F197" s="37">
        <v>1.144</v>
      </c>
      <c r="G197" s="38">
        <v>1</v>
      </c>
      <c r="H197" s="39">
        <v>8.8</v>
      </c>
      <c r="I197" s="40">
        <v>2487.66525</v>
      </c>
      <c r="J197" s="41">
        <f>I197/5</f>
        <v>497.53305</v>
      </c>
      <c r="K197" s="41">
        <f>J197+451.1866</f>
        <v>948.71965</v>
      </c>
      <c r="L197" s="42">
        <v>2560.761</v>
      </c>
      <c r="M197" s="43">
        <f>L197/5</f>
        <v>512.1522</v>
      </c>
      <c r="N197" s="43">
        <f>M197+451.1866</f>
        <v>963.3388</v>
      </c>
      <c r="O197" s="40">
        <v>2675.62575</v>
      </c>
      <c r="P197" s="41">
        <f>O197/5</f>
        <v>535.12515</v>
      </c>
      <c r="Q197" s="41">
        <f>P197+451.1866</f>
        <v>986.31175</v>
      </c>
      <c r="R197" s="42">
        <v>2780.04825</v>
      </c>
      <c r="S197" s="43">
        <f>R197/5</f>
        <v>556.00965</v>
      </c>
      <c r="T197" s="43">
        <f>S197+451.1866</f>
        <v>1007.19625</v>
      </c>
      <c r="U197" s="40">
        <v>2894.913</v>
      </c>
      <c r="V197" s="41">
        <f>U197/5</f>
        <v>578.9826</v>
      </c>
      <c r="W197" s="41">
        <f>V197+451.1866</f>
        <v>1030.1692</v>
      </c>
      <c r="X197" s="42">
        <v>3009.77775</v>
      </c>
      <c r="Y197" s="43">
        <f>X197/5</f>
        <v>601.95555</v>
      </c>
      <c r="Z197" s="43">
        <f>Y197+451.1866</f>
        <v>1053.14215</v>
      </c>
      <c r="AA197" s="40">
        <v>3124.6425</v>
      </c>
      <c r="AB197" s="41">
        <f>AA197/5</f>
        <v>624.9285</v>
      </c>
      <c r="AC197" s="41">
        <f>AB197+451.1866</f>
        <v>1076.1151</v>
      </c>
      <c r="AD197" s="42">
        <v>3323.04525</v>
      </c>
      <c r="AE197" s="43">
        <f>AD197/5</f>
        <v>664.60905</v>
      </c>
      <c r="AF197" s="43">
        <f>AE197+451.1866</f>
        <v>1115.79565</v>
      </c>
      <c r="AG197" s="44">
        <v>3646.755</v>
      </c>
      <c r="AH197" s="45">
        <f>AG197/5</f>
        <v>729.351</v>
      </c>
      <c r="AI197" s="45">
        <f>AH197+451.1866</f>
        <v>1180.5376</v>
      </c>
    </row>
    <row r="198" ht="15" customHeight="1" spans="1:35">
      <c r="A198" s="34"/>
      <c r="B198" s="35"/>
      <c r="C198" s="36"/>
      <c r="D198" s="36"/>
      <c r="E198" s="67">
        <v>0</v>
      </c>
      <c r="F198" s="37" t="s">
        <v>59</v>
      </c>
      <c r="G198" s="38" t="s">
        <v>59</v>
      </c>
      <c r="H198" s="39" t="s">
        <v>59</v>
      </c>
      <c r="I198" s="40" t="s">
        <v>59</v>
      </c>
      <c r="L198" s="42" t="s">
        <v>59</v>
      </c>
      <c r="O198" s="40" t="s">
        <v>59</v>
      </c>
      <c r="R198" s="42" t="s">
        <v>59</v>
      </c>
      <c r="U198" s="40" t="s">
        <v>59</v>
      </c>
      <c r="X198" s="42" t="s">
        <v>59</v>
      </c>
      <c r="AA198" s="40" t="s">
        <v>59</v>
      </c>
      <c r="AD198" s="42" t="s">
        <v>59</v>
      </c>
      <c r="AG198" s="44" t="s">
        <v>59</v>
      </c>
    </row>
    <row r="199" ht="15" customHeight="1" spans="1:35">
      <c r="A199" s="34"/>
      <c r="B199" s="35" t="s">
        <v>204</v>
      </c>
      <c r="C199" s="36">
        <v>0.12</v>
      </c>
      <c r="D199" s="36">
        <v>1</v>
      </c>
      <c r="E199" s="67">
        <v>0</v>
      </c>
      <c r="F199" s="37">
        <v>0.12</v>
      </c>
      <c r="G199" s="38">
        <v>0.6</v>
      </c>
      <c r="H199" s="39">
        <v>3.3</v>
      </c>
      <c r="I199" s="40">
        <v>316.882125</v>
      </c>
      <c r="J199" s="41">
        <f>I199/5</f>
        <v>63.376425</v>
      </c>
      <c r="K199" s="41">
        <f>J199+0</f>
        <v>63.376425</v>
      </c>
      <c r="L199" s="42">
        <v>338.436</v>
      </c>
      <c r="M199" s="43">
        <f>L199/5</f>
        <v>67.6872</v>
      </c>
      <c r="N199" s="43">
        <f>M199+0</f>
        <v>67.6872</v>
      </c>
      <c r="O199" s="40">
        <v>372.306375</v>
      </c>
      <c r="P199" s="41">
        <f>O199/5</f>
        <v>74.461275</v>
      </c>
      <c r="Q199" s="41">
        <f>P199+0</f>
        <v>74.461275</v>
      </c>
      <c r="R199" s="42">
        <v>403.097625</v>
      </c>
      <c r="S199" s="43">
        <f>R199/5</f>
        <v>80.619525</v>
      </c>
      <c r="T199" s="43">
        <f>S199+0</f>
        <v>80.619525</v>
      </c>
      <c r="U199" s="40">
        <v>436.968</v>
      </c>
      <c r="V199" s="41">
        <f>U199/5</f>
        <v>87.3936</v>
      </c>
      <c r="W199" s="41">
        <f>V199+0</f>
        <v>87.3936</v>
      </c>
      <c r="X199" s="42">
        <v>470.838375</v>
      </c>
      <c r="Y199" s="43">
        <f>X199/5</f>
        <v>94.167675</v>
      </c>
      <c r="Z199" s="43">
        <f>Y199+0</f>
        <v>94.167675</v>
      </c>
      <c r="AA199" s="40">
        <v>504.70875</v>
      </c>
      <c r="AB199" s="41">
        <f>AA199/5</f>
        <v>100.94175</v>
      </c>
      <c r="AC199" s="41">
        <f>AB199+0</f>
        <v>100.94175</v>
      </c>
      <c r="AD199" s="42">
        <v>563.212125</v>
      </c>
      <c r="AE199" s="43">
        <f>AD199/5</f>
        <v>112.642425</v>
      </c>
      <c r="AF199" s="43">
        <f>AE199+0</f>
        <v>112.642425</v>
      </c>
      <c r="AG199" s="44">
        <v>658.665</v>
      </c>
      <c r="AH199" s="45">
        <f>AG199/5</f>
        <v>131.733</v>
      </c>
      <c r="AI199" s="45">
        <f>AH199+0</f>
        <v>131.733</v>
      </c>
    </row>
    <row r="200" ht="15" customHeight="1" spans="1:35">
      <c r="A200" s="34"/>
      <c r="B200" s="35"/>
      <c r="C200" s="36"/>
      <c r="D200" s="36"/>
      <c r="E200" s="67">
        <v>0</v>
      </c>
      <c r="F200" s="37" t="s">
        <v>59</v>
      </c>
      <c r="G200" s="38" t="s">
        <v>59</v>
      </c>
      <c r="H200" s="39" t="s">
        <v>59</v>
      </c>
      <c r="I200" s="40" t="s">
        <v>59</v>
      </c>
      <c r="L200" s="42" t="s">
        <v>59</v>
      </c>
      <c r="O200" s="40" t="s">
        <v>59</v>
      </c>
      <c r="R200" s="42" t="s">
        <v>59</v>
      </c>
      <c r="U200" s="40" t="s">
        <v>59</v>
      </c>
      <c r="X200" s="42" t="s">
        <v>59</v>
      </c>
      <c r="AA200" s="40" t="s">
        <v>59</v>
      </c>
      <c r="AD200" s="42" t="s">
        <v>59</v>
      </c>
      <c r="AG200" s="44" t="s">
        <v>59</v>
      </c>
    </row>
    <row r="201" ht="15" customHeight="1" spans="1:35">
      <c r="A201" s="34"/>
      <c r="B201" s="35" t="s">
        <v>205</v>
      </c>
      <c r="C201" s="36">
        <v>1</v>
      </c>
      <c r="D201" s="36">
        <v>1</v>
      </c>
      <c r="E201" s="67">
        <v>0</v>
      </c>
      <c r="F201" s="37">
        <v>1</v>
      </c>
      <c r="G201" s="38" t="s">
        <v>59</v>
      </c>
      <c r="H201" s="39">
        <v>1</v>
      </c>
      <c r="I201" s="76">
        <v>1859.76</v>
      </c>
      <c r="J201" s="77">
        <f>I201/5</f>
        <v>371.952</v>
      </c>
      <c r="K201" s="77">
        <f>J201+0</f>
        <v>371.952</v>
      </c>
      <c r="L201" s="78" t="s">
        <v>206</v>
      </c>
      <c r="M201" s="79" t="e">
        <f>L201/5</f>
        <v>#VALUE!</v>
      </c>
      <c r="N201" s="79" t="e">
        <f>M201+0</f>
        <v>#VALUE!</v>
      </c>
      <c r="O201" s="80"/>
      <c r="R201" s="80"/>
      <c r="U201" s="80"/>
      <c r="X201" s="80"/>
      <c r="AA201" s="80"/>
      <c r="AD201" s="80"/>
      <c r="AG201" s="81"/>
    </row>
    <row r="202" ht="15" customHeight="1" spans="1:35">
      <c r="A202" s="34"/>
      <c r="B202" s="35" t="s">
        <v>207</v>
      </c>
      <c r="C202" s="36">
        <v>1</v>
      </c>
      <c r="D202" s="36">
        <v>1</v>
      </c>
      <c r="E202" s="67">
        <v>0</v>
      </c>
      <c r="F202" s="37">
        <v>1</v>
      </c>
      <c r="G202" s="38" t="s">
        <v>59</v>
      </c>
      <c r="H202" s="39">
        <v>1</v>
      </c>
      <c r="I202" s="76">
        <v>3539.7</v>
      </c>
      <c r="J202" s="77">
        <f>I202/5</f>
        <v>707.94</v>
      </c>
      <c r="K202" s="77">
        <f>J202+0</f>
        <v>707.94</v>
      </c>
      <c r="L202" s="78" t="s">
        <v>208</v>
      </c>
      <c r="M202" s="79" t="e">
        <f>L202/5</f>
        <v>#VALUE!</v>
      </c>
      <c r="N202" s="79" t="e">
        <f>M202+0</f>
        <v>#VALUE!</v>
      </c>
      <c r="O202" s="80"/>
      <c r="R202" s="80"/>
      <c r="U202" s="80"/>
      <c r="X202" s="80"/>
      <c r="AA202" s="80"/>
      <c r="AD202" s="80"/>
      <c r="AG202" s="81"/>
    </row>
    <row r="203" ht="15" customHeight="1" spans="1:35">
      <c r="A203" s="46" t="s">
        <v>209</v>
      </c>
      <c r="B203" s="35" t="s">
        <v>210</v>
      </c>
      <c r="C203" s="36">
        <v>1</v>
      </c>
      <c r="D203" s="36">
        <v>1</v>
      </c>
      <c r="E203" s="67">
        <v>0</v>
      </c>
      <c r="F203" s="37">
        <v>1</v>
      </c>
      <c r="G203" s="38" t="s">
        <v>59</v>
      </c>
      <c r="H203" s="39">
        <v>1</v>
      </c>
      <c r="I203" s="76">
        <v>4801.68</v>
      </c>
      <c r="J203" s="77">
        <f>I203/5</f>
        <v>960.336</v>
      </c>
      <c r="K203" s="77">
        <f>J203+0</f>
        <v>960.336</v>
      </c>
      <c r="L203" s="78" t="s">
        <v>211</v>
      </c>
      <c r="M203" s="79" t="e">
        <f>L203/5</f>
        <v>#VALUE!</v>
      </c>
      <c r="N203" s="79" t="e">
        <f>M203+0</f>
        <v>#VALUE!</v>
      </c>
      <c r="O203" s="80"/>
      <c r="R203" s="80"/>
      <c r="U203" s="80"/>
      <c r="X203" s="80"/>
      <c r="AA203" s="80"/>
      <c r="AD203" s="80"/>
      <c r="AG203" s="81"/>
    </row>
    <row r="204" ht="15" customHeight="1" spans="1:35">
      <c r="A204" s="82"/>
      <c r="B204" s="35"/>
      <c r="C204" s="36"/>
      <c r="D204" s="36"/>
      <c r="E204" s="67">
        <v>0</v>
      </c>
      <c r="F204" s="37" t="s">
        <v>59</v>
      </c>
      <c r="G204" s="38" t="s">
        <v>59</v>
      </c>
      <c r="H204" s="39" t="s">
        <v>59</v>
      </c>
      <c r="I204" s="40" t="s">
        <v>59</v>
      </c>
      <c r="L204" s="42" t="s">
        <v>59</v>
      </c>
      <c r="O204" s="40" t="s">
        <v>59</v>
      </c>
      <c r="R204" s="42" t="s">
        <v>59</v>
      </c>
      <c r="U204" s="40" t="s">
        <v>59</v>
      </c>
      <c r="X204" s="42" t="s">
        <v>59</v>
      </c>
      <c r="AA204" s="40" t="s">
        <v>59</v>
      </c>
      <c r="AD204" s="42" t="s">
        <v>59</v>
      </c>
      <c r="AG204" s="44" t="s">
        <v>59</v>
      </c>
    </row>
  </sheetData>
  <mergeCells count="4">
    <mergeCell ref="A1:Q1"/>
    <mergeCell ref="A2:Q2"/>
    <mergeCell ref="P3:P4"/>
    <mergeCell ref="Q3:Q4"/>
  </mergeCells>
  <conditionalFormatting sqref="E5:E204">
    <cfRule type="cellIs" dxfId="0" priority="904" operator="equal">
      <formula>0</formula>
    </cfRule>
  </conditionalFormatting>
  <hyperlinks>
    <hyperlink ref="A69" r:id="rId4" display="JOÃO V. DEMELE"/>
    <hyperlink ref="A126" r:id="rId4" display="LUCIANO SANTELLI"/>
    <hyperlink ref="A176" r:id="rId4" display="JOÃO V. DEMELE"/>
  </hyperlinks>
  <printOptions gridLines="1"/>
  <pageMargins left="0" right="0" top="0.393700787401575" bottom="0.393700787401575" header="0" footer="0"/>
  <pageSetup paperSize="9" scale="73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14</xdr:col>
                    <xdr:colOff>285750</xdr:colOff>
                    <xdr:row>0</xdr:row>
                    <xdr:rowOff>66675</xdr:rowOff>
                  </from>
                  <to>
                    <xdr:col>16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3">
    <tabColor rgb="FF00B0F0"/>
    <pageSetUpPr fitToPage="1"/>
  </sheetPr>
  <dimension ref="A1:AH58"/>
  <sheetViews>
    <sheetView workbookViewId="0">
      <selection activeCell="A1" sqref="A1:P1"/>
    </sheetView>
  </sheetViews>
  <sheetFormatPr defaultColWidth="0" defaultRowHeight="15.75" zeroHeight="1"/>
  <cols>
    <col min="1" max="1" width="27" style="1" customWidth="1"/>
    <col min="2" max="2" width="38.1428571428571" style="2" customWidth="1"/>
    <col min="3" max="4" width="6.71428571428571" style="3" customWidth="1"/>
    <col min="5" max="5" width="6.71428571428571" style="4" customWidth="1"/>
    <col min="6" max="6" width="6.71428571428571" style="4" hidden="1" customWidth="1"/>
    <col min="7" max="7" width="6.71428571428571" style="4" customWidth="1"/>
    <col min="8" max="8" width="8.71428571428571" style="5" customWidth="1"/>
    <col min="9" max="10" width="12" style="5" customWidth="1"/>
    <col min="11" max="11" width="8.71428571428571" style="6" customWidth="1"/>
    <col min="12" max="13" width="12" style="6" customWidth="1"/>
    <col min="14" max="14" width="8.71428571428571" style="6" customWidth="1"/>
    <col min="15" max="16" width="12" style="6" customWidth="1"/>
    <col min="17" max="17" width="9.14285714285714" style="7" hidden="1" customWidth="1"/>
    <col min="18" max="19" width="12" style="7" customWidth="1"/>
    <col min="20" max="20" width="9.14285714285714" style="7" hidden="1" customWidth="1"/>
    <col min="21" max="22" width="12" style="7" customWidth="1"/>
    <col min="23" max="23" width="9.14285714285714" style="7" hidden="1" customWidth="1"/>
    <col min="24" max="25" width="12" style="7" customWidth="1"/>
    <col min="26" max="26" width="9.14285714285714" style="7" hidden="1" customWidth="1"/>
    <col min="27" max="28" width="12" style="7" customWidth="1"/>
    <col min="29" max="29" width="9.14285714285714" style="7" hidden="1" customWidth="1"/>
    <col min="30" max="31" width="12" style="7" customWidth="1"/>
    <col min="32" max="32" width="9.14285714285714" style="7" hidden="1" customWidth="1"/>
    <col min="33" max="34" width="12" style="7" customWidth="1"/>
    <col min="35" max="16384" width="9.14285714285714" style="7" hidden="1" customWidth="1"/>
  </cols>
  <sheetData>
    <row r="1" ht="54.75" customHeight="1" spans="1:34">
      <c r="A1" s="8" t="s">
        <v>212</v>
      </c>
      <c r="B1" s="9"/>
      <c r="C1" s="9"/>
      <c r="D1" s="9"/>
      <c r="E1" s="9"/>
      <c r="F1" s="9"/>
      <c r="G1" s="9"/>
      <c r="H1" s="9"/>
      <c r="K1" s="9"/>
      <c r="N1" s="9"/>
      <c r="Q1" s="9"/>
      <c r="T1" s="9"/>
      <c r="W1" s="9"/>
      <c r="Z1" s="9"/>
      <c r="AC1" s="9"/>
      <c r="AF1" s="10"/>
    </row>
    <row r="2" ht="20.1" customHeight="1" spans="1:34">
      <c r="A2" s="11" t="s">
        <v>34</v>
      </c>
      <c r="B2" s="12"/>
      <c r="C2" s="12"/>
      <c r="D2" s="12"/>
      <c r="E2" s="12"/>
      <c r="F2" s="12"/>
      <c r="G2" s="12"/>
      <c r="H2" s="12"/>
      <c r="K2" s="12"/>
      <c r="N2" s="12"/>
      <c r="Q2" s="12"/>
      <c r="T2" s="12"/>
      <c r="W2" s="12"/>
      <c r="Z2" s="12"/>
      <c r="AC2" s="12"/>
      <c r="AF2" s="13"/>
    </row>
    <row r="3" ht="6" customHeight="1" spans="1:34">
      <c r="A3" s="14"/>
      <c r="B3" s="15"/>
      <c r="C3" s="15"/>
      <c r="D3" s="15"/>
      <c r="E3" s="15"/>
      <c r="F3" s="15"/>
      <c r="G3" s="15"/>
      <c r="H3" s="15"/>
      <c r="K3" s="15"/>
      <c r="N3" s="15"/>
      <c r="Q3" s="15"/>
      <c r="T3" s="15"/>
      <c r="W3" s="15"/>
      <c r="Z3" s="15"/>
      <c r="AC3" s="16" t="s">
        <v>35</v>
      </c>
      <c r="AF3" s="17">
        <v>46234</v>
      </c>
    </row>
    <row r="4" ht="6" customHeight="1" spans="1:34">
      <c r="A4" s="18"/>
      <c r="B4" s="19"/>
      <c r="C4" s="20"/>
      <c r="D4" s="20"/>
      <c r="E4" s="21"/>
      <c r="F4" s="21"/>
      <c r="G4" s="21"/>
      <c r="H4" s="22"/>
      <c r="K4" s="22"/>
      <c r="N4" s="23"/>
      <c r="Q4" s="21"/>
      <c r="T4" s="21"/>
      <c r="W4" s="21"/>
      <c r="Z4" s="21"/>
      <c r="AC4" s="24"/>
      <c r="AF4" s="24"/>
    </row>
    <row r="5" ht="15" customHeight="1" spans="1:34">
      <c r="A5" s="25" t="s">
        <v>213</v>
      </c>
      <c r="B5" s="60" t="s">
        <v>37</v>
      </c>
      <c r="C5" s="61" t="s">
        <v>38</v>
      </c>
      <c r="D5" s="61" t="s">
        <v>39</v>
      </c>
      <c r="E5" s="28" t="s">
        <v>42</v>
      </c>
      <c r="F5" s="28" t="s">
        <v>41</v>
      </c>
      <c r="G5" s="29" t="s">
        <v>43</v>
      </c>
      <c r="H5" s="30" t="s">
        <v>44</v>
      </c>
      <c r="I5" s="31" t="s">
        <v>45</v>
      </c>
      <c r="J5" s="31" t="s">
        <v>46</v>
      </c>
      <c r="K5" s="30" t="s">
        <v>47</v>
      </c>
      <c r="L5" s="31" t="s">
        <v>45</v>
      </c>
      <c r="M5" s="31" t="s">
        <v>46</v>
      </c>
      <c r="N5" s="30" t="s">
        <v>48</v>
      </c>
      <c r="O5" s="31" t="s">
        <v>45</v>
      </c>
      <c r="P5" s="31" t="s">
        <v>46</v>
      </c>
      <c r="Q5" s="30" t="s">
        <v>49</v>
      </c>
      <c r="R5" s="31" t="s">
        <v>45</v>
      </c>
      <c r="S5" s="31" t="s">
        <v>46</v>
      </c>
      <c r="T5" s="30" t="s">
        <v>50</v>
      </c>
      <c r="U5" s="31" t="s">
        <v>45</v>
      </c>
      <c r="V5" s="31" t="s">
        <v>46</v>
      </c>
      <c r="W5" s="30" t="s">
        <v>51</v>
      </c>
      <c r="X5" s="31" t="s">
        <v>45</v>
      </c>
      <c r="Y5" s="31" t="s">
        <v>46</v>
      </c>
      <c r="Z5" s="30" t="s">
        <v>52</v>
      </c>
      <c r="AA5" s="31" t="s">
        <v>45</v>
      </c>
      <c r="AB5" s="31" t="s">
        <v>46</v>
      </c>
      <c r="AC5" s="30" t="s">
        <v>53</v>
      </c>
      <c r="AD5" s="31" t="s">
        <v>45</v>
      </c>
      <c r="AE5" s="31" t="s">
        <v>46</v>
      </c>
      <c r="AF5" s="32" t="s">
        <v>54</v>
      </c>
      <c r="AG5" s="33" t="s">
        <v>45</v>
      </c>
      <c r="AH5" s="33" t="s">
        <v>46</v>
      </c>
    </row>
    <row r="6" ht="15" customHeight="1" spans="1:34">
      <c r="A6" s="53"/>
      <c r="B6" s="54" t="s">
        <v>179</v>
      </c>
      <c r="C6" s="55">
        <v>0.9</v>
      </c>
      <c r="D6" s="55">
        <v>0.93</v>
      </c>
      <c r="E6" s="38">
        <v>0.77</v>
      </c>
      <c r="F6" s="37">
        <v>0.837</v>
      </c>
      <c r="G6" s="39">
        <v>4.8</v>
      </c>
      <c r="H6" s="40">
        <v>1850.8888125</v>
      </c>
      <c r="I6" s="41">
        <f>H6/5</f>
        <v>370.1777625</v>
      </c>
      <c r="J6" s="41">
        <f>I6+253.2977</f>
        <v>623.4754625</v>
      </c>
      <c r="K6" s="42">
        <v>1889.467125</v>
      </c>
      <c r="L6" s="43">
        <f>K6/5</f>
        <v>377.893425</v>
      </c>
      <c r="M6" s="43">
        <f>L6+253.2977</f>
        <v>631.191125</v>
      </c>
      <c r="N6" s="40">
        <v>1950.0901875</v>
      </c>
      <c r="O6" s="41">
        <f>N6/5</f>
        <v>390.0180375</v>
      </c>
      <c r="P6" s="41">
        <f>O6+253.2977</f>
        <v>643.3157375</v>
      </c>
      <c r="Q6" s="42">
        <v>2005.2020625</v>
      </c>
      <c r="R6" s="43">
        <f>Q6/5</f>
        <v>401.0404125</v>
      </c>
      <c r="S6" s="43">
        <f>R6+253.2977</f>
        <v>654.3381125</v>
      </c>
      <c r="T6" s="40">
        <v>2065.825125</v>
      </c>
      <c r="U6" s="41">
        <f>T6/5</f>
        <v>413.165025</v>
      </c>
      <c r="V6" s="41">
        <f>U6+253.2977</f>
        <v>666.462725</v>
      </c>
      <c r="W6" s="42">
        <v>2126.4481875</v>
      </c>
      <c r="X6" s="43">
        <f>W6/5</f>
        <v>425.2896375</v>
      </c>
      <c r="Y6" s="43">
        <f>X6+253.2977</f>
        <v>678.5873375</v>
      </c>
      <c r="Z6" s="40">
        <v>2187.07125</v>
      </c>
      <c r="AA6" s="41">
        <f>Z6/5</f>
        <v>437.41425</v>
      </c>
      <c r="AB6" s="41">
        <f>AA6+253.2977</f>
        <v>690.71195</v>
      </c>
      <c r="AC6" s="42">
        <v>2291.7838125</v>
      </c>
      <c r="AD6" s="43">
        <f>AC6/5</f>
        <v>458.3567625</v>
      </c>
      <c r="AE6" s="43">
        <f>AD6+253.2977</f>
        <v>711.6544625</v>
      </c>
      <c r="AF6" s="56">
        <v>2462.630625</v>
      </c>
      <c r="AG6" s="57">
        <f>AF6/5</f>
        <v>492.526125</v>
      </c>
      <c r="AH6" s="57">
        <f>AG6+253.2977</f>
        <v>745.823825</v>
      </c>
    </row>
    <row r="7" ht="15" customHeight="1" spans="1:34">
      <c r="A7" s="53"/>
      <c r="B7" s="54"/>
      <c r="C7" s="55"/>
      <c r="D7" s="55"/>
      <c r="E7" s="38" t="s">
        <v>59</v>
      </c>
      <c r="F7" s="37" t="s">
        <v>59</v>
      </c>
      <c r="G7" s="39" t="s">
        <v>59</v>
      </c>
      <c r="H7" s="40" t="s">
        <v>59</v>
      </c>
      <c r="K7" s="42" t="s">
        <v>59</v>
      </c>
      <c r="N7" s="40" t="s">
        <v>59</v>
      </c>
      <c r="Q7" s="42" t="s">
        <v>59</v>
      </c>
      <c r="T7" s="40" t="s">
        <v>59</v>
      </c>
      <c r="W7" s="42" t="s">
        <v>59</v>
      </c>
      <c r="Z7" s="40" t="s">
        <v>59</v>
      </c>
      <c r="AC7" s="42" t="s">
        <v>59</v>
      </c>
      <c r="AF7" s="56" t="s">
        <v>59</v>
      </c>
    </row>
    <row r="8" ht="15" customHeight="1" spans="1:34">
      <c r="A8" s="53"/>
      <c r="B8" s="54"/>
      <c r="C8" s="55"/>
      <c r="D8" s="55"/>
      <c r="E8" s="38" t="s">
        <v>59</v>
      </c>
      <c r="F8" s="37" t="s">
        <v>59</v>
      </c>
      <c r="G8" s="39" t="s">
        <v>59</v>
      </c>
      <c r="H8" s="40" t="s">
        <v>59</v>
      </c>
      <c r="K8" s="42" t="s">
        <v>59</v>
      </c>
      <c r="N8" s="40" t="s">
        <v>59</v>
      </c>
      <c r="Q8" s="42" t="s">
        <v>59</v>
      </c>
      <c r="T8" s="40" t="s">
        <v>59</v>
      </c>
      <c r="W8" s="42" t="s">
        <v>59</v>
      </c>
      <c r="Z8" s="40" t="s">
        <v>59</v>
      </c>
      <c r="AC8" s="42" t="s">
        <v>59</v>
      </c>
      <c r="AF8" s="56" t="s">
        <v>59</v>
      </c>
    </row>
    <row r="9" ht="15" customHeight="1" spans="1:34">
      <c r="A9" s="62"/>
      <c r="B9" s="63"/>
      <c r="C9" s="64"/>
      <c r="D9" s="64"/>
      <c r="E9" s="38" t="s">
        <v>59</v>
      </c>
      <c r="F9" s="37" t="s">
        <v>59</v>
      </c>
      <c r="G9" s="39" t="s">
        <v>59</v>
      </c>
      <c r="H9" s="40" t="s">
        <v>59</v>
      </c>
      <c r="K9" s="42" t="s">
        <v>59</v>
      </c>
      <c r="N9" s="40" t="s">
        <v>59</v>
      </c>
      <c r="Q9" s="42" t="s">
        <v>59</v>
      </c>
      <c r="T9" s="40" t="s">
        <v>59</v>
      </c>
      <c r="W9" s="42" t="s">
        <v>59</v>
      </c>
      <c r="Z9" s="40" t="s">
        <v>59</v>
      </c>
      <c r="AC9" s="42" t="s">
        <v>59</v>
      </c>
      <c r="AF9" s="56" t="s">
        <v>59</v>
      </c>
    </row>
    <row r="10" ht="15" customHeight="1" spans="1:34">
      <c r="A10" s="53"/>
      <c r="B10" s="63"/>
      <c r="C10" s="55"/>
      <c r="D10" s="55"/>
      <c r="E10" s="38" t="s">
        <v>59</v>
      </c>
      <c r="F10" s="37" t="s">
        <v>59</v>
      </c>
      <c r="G10" s="39" t="s">
        <v>59</v>
      </c>
      <c r="H10" s="40" t="s">
        <v>59</v>
      </c>
      <c r="K10" s="42" t="s">
        <v>59</v>
      </c>
      <c r="N10" s="40" t="s">
        <v>59</v>
      </c>
      <c r="Q10" s="42" t="s">
        <v>59</v>
      </c>
      <c r="T10" s="40" t="s">
        <v>59</v>
      </c>
      <c r="W10" s="42" t="s">
        <v>59</v>
      </c>
      <c r="Z10" s="40" t="s">
        <v>59</v>
      </c>
      <c r="AC10" s="42" t="s">
        <v>59</v>
      </c>
      <c r="AF10" s="56" t="s">
        <v>59</v>
      </c>
    </row>
    <row r="11" ht="15" customHeight="1" spans="1:34">
      <c r="A11" s="53"/>
      <c r="B11" s="54"/>
      <c r="C11" s="55"/>
      <c r="D11" s="55"/>
      <c r="E11" s="38" t="s">
        <v>59</v>
      </c>
      <c r="F11" s="37" t="s">
        <v>59</v>
      </c>
      <c r="G11" s="39" t="s">
        <v>59</v>
      </c>
      <c r="H11" s="40" t="s">
        <v>59</v>
      </c>
      <c r="K11" s="42" t="s">
        <v>59</v>
      </c>
      <c r="N11" s="40" t="s">
        <v>59</v>
      </c>
      <c r="Q11" s="42" t="s">
        <v>59</v>
      </c>
      <c r="T11" s="40" t="s">
        <v>59</v>
      </c>
      <c r="W11" s="42" t="s">
        <v>59</v>
      </c>
      <c r="Z11" s="40" t="s">
        <v>59</v>
      </c>
      <c r="AC11" s="42" t="s">
        <v>59</v>
      </c>
      <c r="AF11" s="56" t="s">
        <v>59</v>
      </c>
    </row>
    <row r="12" ht="15" customHeight="1" spans="1:34">
      <c r="A12" s="58" t="s">
        <v>104</v>
      </c>
      <c r="B12" s="65" t="s">
        <v>214</v>
      </c>
      <c r="C12" s="55"/>
      <c r="D12" s="55"/>
      <c r="E12" s="38" t="s">
        <v>59</v>
      </c>
      <c r="F12" s="37" t="s">
        <v>59</v>
      </c>
      <c r="G12" s="39" t="s">
        <v>59</v>
      </c>
      <c r="H12" s="40" t="s">
        <v>59</v>
      </c>
      <c r="K12" s="42" t="s">
        <v>59</v>
      </c>
      <c r="N12" s="40" t="s">
        <v>59</v>
      </c>
      <c r="Q12" s="42" t="s">
        <v>59</v>
      </c>
      <c r="T12" s="40" t="s">
        <v>59</v>
      </c>
      <c r="W12" s="42" t="s">
        <v>59</v>
      </c>
      <c r="Z12" s="40" t="s">
        <v>59</v>
      </c>
      <c r="AC12" s="42" t="s">
        <v>59</v>
      </c>
      <c r="AF12" s="56" t="s">
        <v>59</v>
      </c>
    </row>
    <row r="13" ht="15" customHeight="1" spans="1:34">
      <c r="A13" s="59" t="s">
        <v>106</v>
      </c>
      <c r="B13" s="54"/>
      <c r="C13" s="55"/>
      <c r="D13" s="55"/>
      <c r="E13" s="38" t="s">
        <v>59</v>
      </c>
      <c r="F13" s="37" t="s">
        <v>59</v>
      </c>
      <c r="G13" s="39" t="s">
        <v>59</v>
      </c>
      <c r="H13" s="40" t="s">
        <v>59</v>
      </c>
      <c r="K13" s="42" t="s">
        <v>59</v>
      </c>
      <c r="N13" s="40" t="s">
        <v>59</v>
      </c>
      <c r="Q13" s="42" t="s">
        <v>59</v>
      </c>
      <c r="T13" s="40" t="s">
        <v>59</v>
      </c>
      <c r="W13" s="42" t="s">
        <v>59</v>
      </c>
      <c r="Z13" s="40" t="s">
        <v>59</v>
      </c>
      <c r="AC13" s="42" t="s">
        <v>59</v>
      </c>
      <c r="AF13" s="56" t="s">
        <v>59</v>
      </c>
    </row>
    <row r="14" ht="15" customHeight="1" spans="1:34">
      <c r="A14" s="25" t="s">
        <v>215</v>
      </c>
      <c r="B14" s="60" t="s">
        <v>37</v>
      </c>
      <c r="C14" s="61" t="s">
        <v>38</v>
      </c>
      <c r="D14" s="61" t="s">
        <v>39</v>
      </c>
      <c r="E14" s="28" t="s">
        <v>42</v>
      </c>
      <c r="F14" s="28" t="s">
        <v>41</v>
      </c>
      <c r="G14" s="29" t="s">
        <v>43</v>
      </c>
      <c r="H14" s="30" t="s">
        <v>44</v>
      </c>
      <c r="I14" s="31" t="s">
        <v>45</v>
      </c>
      <c r="J14" s="31" t="s">
        <v>46</v>
      </c>
      <c r="K14" s="30" t="s">
        <v>47</v>
      </c>
      <c r="L14" s="31" t="s">
        <v>45</v>
      </c>
      <c r="M14" s="31" t="s">
        <v>46</v>
      </c>
      <c r="N14" s="30" t="s">
        <v>48</v>
      </c>
      <c r="O14" s="31" t="s">
        <v>45</v>
      </c>
      <c r="P14" s="31" t="s">
        <v>46</v>
      </c>
      <c r="Q14" s="30" t="s">
        <v>49</v>
      </c>
      <c r="R14" s="31" t="s">
        <v>45</v>
      </c>
      <c r="S14" s="31" t="s">
        <v>46</v>
      </c>
      <c r="T14" s="30" t="s">
        <v>50</v>
      </c>
      <c r="U14" s="31" t="s">
        <v>45</v>
      </c>
      <c r="V14" s="31" t="s">
        <v>46</v>
      </c>
      <c r="W14" s="30" t="s">
        <v>51</v>
      </c>
      <c r="X14" s="31" t="s">
        <v>45</v>
      </c>
      <c r="Y14" s="31" t="s">
        <v>46</v>
      </c>
      <c r="Z14" s="30" t="s">
        <v>52</v>
      </c>
      <c r="AA14" s="31" t="s">
        <v>45</v>
      </c>
      <c r="AB14" s="31" t="s">
        <v>46</v>
      </c>
      <c r="AC14" s="30" t="s">
        <v>53</v>
      </c>
      <c r="AD14" s="31" t="s">
        <v>45</v>
      </c>
      <c r="AE14" s="31" t="s">
        <v>46</v>
      </c>
      <c r="AF14" s="32" t="s">
        <v>54</v>
      </c>
      <c r="AG14" s="33" t="s">
        <v>45</v>
      </c>
      <c r="AH14" s="33" t="s">
        <v>46</v>
      </c>
    </row>
    <row r="15" ht="15" customHeight="1" spans="1:34">
      <c r="A15" s="53"/>
      <c r="B15" s="54" t="s">
        <v>179</v>
      </c>
      <c r="C15" s="55">
        <v>1.16</v>
      </c>
      <c r="D15" s="55">
        <v>1.05</v>
      </c>
      <c r="E15" s="38">
        <v>0.78</v>
      </c>
      <c r="F15" s="37">
        <v>1.218</v>
      </c>
      <c r="G15" s="39">
        <v>7.5</v>
      </c>
      <c r="H15" s="40">
        <v>3344.866875</v>
      </c>
      <c r="I15" s="41">
        <f>H15/5</f>
        <v>668.973375</v>
      </c>
      <c r="J15" s="41">
        <f>I15+375.9888</f>
        <v>1044.962175</v>
      </c>
      <c r="K15" s="42">
        <v>3422.0235</v>
      </c>
      <c r="L15" s="43">
        <f>K15/5</f>
        <v>684.4047</v>
      </c>
      <c r="M15" s="43">
        <f>L15+375.9888</f>
        <v>1060.3935</v>
      </c>
      <c r="N15" s="40">
        <v>3543.269625</v>
      </c>
      <c r="O15" s="41">
        <f>N15/5</f>
        <v>708.653925</v>
      </c>
      <c r="P15" s="41">
        <f>O15+375.9888</f>
        <v>1084.642725</v>
      </c>
      <c r="Q15" s="42">
        <v>3653.493375</v>
      </c>
      <c r="R15" s="43">
        <f>Q15/5</f>
        <v>730.698675</v>
      </c>
      <c r="S15" s="43">
        <f>R15+375.9888</f>
        <v>1106.687475</v>
      </c>
      <c r="T15" s="40">
        <v>3774.7395</v>
      </c>
      <c r="U15" s="41">
        <f>T15/5</f>
        <v>754.9479</v>
      </c>
      <c r="V15" s="41">
        <f>U15+375.9888</f>
        <v>1130.9367</v>
      </c>
      <c r="W15" s="42">
        <v>3895.985625</v>
      </c>
      <c r="X15" s="43">
        <f>W15/5</f>
        <v>779.197125</v>
      </c>
      <c r="Y15" s="43">
        <f>X15+375.9888</f>
        <v>1155.185925</v>
      </c>
      <c r="Z15" s="40">
        <v>4017.23175</v>
      </c>
      <c r="AA15" s="41">
        <f>Z15/5</f>
        <v>803.44635</v>
      </c>
      <c r="AB15" s="41">
        <f>AA15+375.9888</f>
        <v>1179.43515</v>
      </c>
      <c r="AC15" s="42">
        <v>4226.656875</v>
      </c>
      <c r="AD15" s="43">
        <f>AC15/5</f>
        <v>845.331375</v>
      </c>
      <c r="AE15" s="43">
        <f>AD15+375.9888</f>
        <v>1221.320175</v>
      </c>
      <c r="AF15" s="56">
        <v>4568.3505</v>
      </c>
      <c r="AG15" s="57">
        <f>AF15/5</f>
        <v>913.6701</v>
      </c>
      <c r="AH15" s="57">
        <f>AG15+375.9888</f>
        <v>1289.6589</v>
      </c>
    </row>
    <row r="16" ht="15" customHeight="1" spans="1:34">
      <c r="A16" s="53"/>
      <c r="B16" s="54"/>
      <c r="C16" s="55"/>
      <c r="D16" s="55"/>
      <c r="E16" s="38" t="s">
        <v>59</v>
      </c>
      <c r="F16" s="37" t="s">
        <v>59</v>
      </c>
      <c r="G16" s="39" t="s">
        <v>59</v>
      </c>
      <c r="H16" s="40" t="s">
        <v>59</v>
      </c>
      <c r="K16" s="42" t="s">
        <v>59</v>
      </c>
      <c r="N16" s="40" t="s">
        <v>59</v>
      </c>
      <c r="Q16" s="42" t="s">
        <v>59</v>
      </c>
      <c r="T16" s="40" t="s">
        <v>59</v>
      </c>
      <c r="W16" s="42" t="s">
        <v>59</v>
      </c>
      <c r="Z16" s="40" t="s">
        <v>59</v>
      </c>
      <c r="AC16" s="42" t="s">
        <v>59</v>
      </c>
      <c r="AF16" s="56" t="s">
        <v>59</v>
      </c>
    </row>
    <row r="17" ht="15" customHeight="1" spans="1:34">
      <c r="A17" s="53"/>
      <c r="B17" s="54"/>
      <c r="C17" s="55"/>
      <c r="D17" s="55"/>
      <c r="E17" s="38" t="s">
        <v>59</v>
      </c>
      <c r="F17" s="37" t="s">
        <v>59</v>
      </c>
      <c r="G17" s="39" t="s">
        <v>59</v>
      </c>
      <c r="H17" s="40" t="s">
        <v>59</v>
      </c>
      <c r="K17" s="42" t="s">
        <v>59</v>
      </c>
      <c r="N17" s="40" t="s">
        <v>59</v>
      </c>
      <c r="Q17" s="42" t="s">
        <v>59</v>
      </c>
      <c r="T17" s="40" t="s">
        <v>59</v>
      </c>
      <c r="W17" s="42" t="s">
        <v>59</v>
      </c>
      <c r="Z17" s="40" t="s">
        <v>59</v>
      </c>
      <c r="AC17" s="42" t="s">
        <v>59</v>
      </c>
      <c r="AF17" s="56" t="s">
        <v>59</v>
      </c>
    </row>
    <row r="18" ht="15" customHeight="1" spans="1:34">
      <c r="A18" s="62"/>
      <c r="B18" s="63"/>
      <c r="C18" s="64"/>
      <c r="D18" s="64"/>
      <c r="E18" s="38" t="s">
        <v>59</v>
      </c>
      <c r="F18" s="37" t="s">
        <v>59</v>
      </c>
      <c r="G18" s="39" t="s">
        <v>59</v>
      </c>
      <c r="H18" s="40" t="s">
        <v>59</v>
      </c>
      <c r="K18" s="42" t="s">
        <v>59</v>
      </c>
      <c r="N18" s="40" t="s">
        <v>59</v>
      </c>
      <c r="Q18" s="42" t="s">
        <v>59</v>
      </c>
      <c r="T18" s="40" t="s">
        <v>59</v>
      </c>
      <c r="W18" s="42" t="s">
        <v>59</v>
      </c>
      <c r="Z18" s="40" t="s">
        <v>59</v>
      </c>
      <c r="AC18" s="42" t="s">
        <v>59</v>
      </c>
      <c r="AF18" s="56" t="s">
        <v>59</v>
      </c>
    </row>
    <row r="19" ht="15" customHeight="1" spans="1:34">
      <c r="A19" s="53"/>
      <c r="B19" s="63"/>
      <c r="C19" s="55"/>
      <c r="D19" s="55"/>
      <c r="E19" s="38" t="s">
        <v>59</v>
      </c>
      <c r="F19" s="37" t="s">
        <v>59</v>
      </c>
      <c r="G19" s="39" t="s">
        <v>59</v>
      </c>
      <c r="H19" s="40" t="s">
        <v>59</v>
      </c>
      <c r="K19" s="42" t="s">
        <v>59</v>
      </c>
      <c r="N19" s="40" t="s">
        <v>59</v>
      </c>
      <c r="Q19" s="42" t="s">
        <v>59</v>
      </c>
      <c r="T19" s="40" t="s">
        <v>59</v>
      </c>
      <c r="W19" s="42" t="s">
        <v>59</v>
      </c>
      <c r="Z19" s="40" t="s">
        <v>59</v>
      </c>
      <c r="AC19" s="42" t="s">
        <v>59</v>
      </c>
      <c r="AF19" s="56" t="s">
        <v>59</v>
      </c>
    </row>
    <row r="20" ht="15" customHeight="1" spans="1:34">
      <c r="A20" s="53"/>
      <c r="B20" s="54"/>
      <c r="C20" s="55"/>
      <c r="D20" s="55"/>
      <c r="E20" s="38" t="s">
        <v>59</v>
      </c>
      <c r="F20" s="37" t="s">
        <v>59</v>
      </c>
      <c r="G20" s="39" t="s">
        <v>59</v>
      </c>
      <c r="H20" s="40" t="s">
        <v>59</v>
      </c>
      <c r="K20" s="42" t="s">
        <v>59</v>
      </c>
      <c r="N20" s="40" t="s">
        <v>59</v>
      </c>
      <c r="Q20" s="42" t="s">
        <v>59</v>
      </c>
      <c r="T20" s="40" t="s">
        <v>59</v>
      </c>
      <c r="W20" s="42" t="s">
        <v>59</v>
      </c>
      <c r="Z20" s="40" t="s">
        <v>59</v>
      </c>
      <c r="AC20" s="42" t="s">
        <v>59</v>
      </c>
      <c r="AF20" s="56" t="s">
        <v>59</v>
      </c>
    </row>
    <row r="21" ht="15" customHeight="1" spans="1:34">
      <c r="A21" s="58" t="s">
        <v>104</v>
      </c>
      <c r="B21" s="65" t="s">
        <v>111</v>
      </c>
      <c r="C21" s="55"/>
      <c r="D21" s="55"/>
      <c r="E21" s="38" t="s">
        <v>59</v>
      </c>
      <c r="F21" s="37" t="s">
        <v>59</v>
      </c>
      <c r="G21" s="39" t="s">
        <v>59</v>
      </c>
      <c r="H21" s="40" t="s">
        <v>59</v>
      </c>
      <c r="K21" s="42" t="s">
        <v>59</v>
      </c>
      <c r="N21" s="40" t="s">
        <v>59</v>
      </c>
      <c r="Q21" s="42" t="s">
        <v>59</v>
      </c>
      <c r="T21" s="40" t="s">
        <v>59</v>
      </c>
      <c r="W21" s="42" t="s">
        <v>59</v>
      </c>
      <c r="Z21" s="40" t="s">
        <v>59</v>
      </c>
      <c r="AC21" s="42" t="s">
        <v>59</v>
      </c>
      <c r="AF21" s="56" t="s">
        <v>59</v>
      </c>
    </row>
    <row r="22" ht="15" customHeight="1" spans="1:34">
      <c r="A22" s="59" t="s">
        <v>106</v>
      </c>
      <c r="B22" s="54"/>
      <c r="C22" s="55"/>
      <c r="D22" s="55"/>
      <c r="E22" s="38" t="s">
        <v>59</v>
      </c>
      <c r="F22" s="37" t="s">
        <v>59</v>
      </c>
      <c r="G22" s="39" t="s">
        <v>59</v>
      </c>
      <c r="H22" s="40" t="s">
        <v>59</v>
      </c>
      <c r="K22" s="42" t="s">
        <v>59</v>
      </c>
      <c r="N22" s="40" t="s">
        <v>59</v>
      </c>
      <c r="Q22" s="42" t="s">
        <v>59</v>
      </c>
      <c r="T22" s="40" t="s">
        <v>59</v>
      </c>
      <c r="W22" s="42" t="s">
        <v>59</v>
      </c>
      <c r="Z22" s="40" t="s">
        <v>59</v>
      </c>
      <c r="AC22" s="42" t="s">
        <v>59</v>
      </c>
      <c r="AF22" s="56" t="s">
        <v>59</v>
      </c>
    </row>
    <row r="23" ht="15" customHeight="1" spans="1:34">
      <c r="A23" s="25" t="s">
        <v>216</v>
      </c>
      <c r="B23" s="60" t="s">
        <v>37</v>
      </c>
      <c r="C23" s="61" t="s">
        <v>38</v>
      </c>
      <c r="D23" s="61" t="s">
        <v>39</v>
      </c>
      <c r="E23" s="28" t="s">
        <v>42</v>
      </c>
      <c r="F23" s="28" t="s">
        <v>41</v>
      </c>
      <c r="G23" s="29" t="s">
        <v>43</v>
      </c>
      <c r="H23" s="30" t="s">
        <v>44</v>
      </c>
      <c r="I23" s="31" t="s">
        <v>45</v>
      </c>
      <c r="J23" s="31" t="s">
        <v>46</v>
      </c>
      <c r="K23" s="30" t="s">
        <v>47</v>
      </c>
      <c r="L23" s="31" t="s">
        <v>45</v>
      </c>
      <c r="M23" s="31" t="s">
        <v>46</v>
      </c>
      <c r="N23" s="30" t="s">
        <v>48</v>
      </c>
      <c r="O23" s="31" t="s">
        <v>45</v>
      </c>
      <c r="P23" s="31" t="s">
        <v>46</v>
      </c>
      <c r="Q23" s="30" t="s">
        <v>49</v>
      </c>
      <c r="R23" s="31" t="s">
        <v>45</v>
      </c>
      <c r="S23" s="31" t="s">
        <v>46</v>
      </c>
      <c r="T23" s="30" t="s">
        <v>50</v>
      </c>
      <c r="U23" s="31" t="s">
        <v>45</v>
      </c>
      <c r="V23" s="31" t="s">
        <v>46</v>
      </c>
      <c r="W23" s="30" t="s">
        <v>51</v>
      </c>
      <c r="X23" s="31" t="s">
        <v>45</v>
      </c>
      <c r="Y23" s="31" t="s">
        <v>46</v>
      </c>
      <c r="Z23" s="30" t="s">
        <v>52</v>
      </c>
      <c r="AA23" s="31" t="s">
        <v>45</v>
      </c>
      <c r="AB23" s="31" t="s">
        <v>46</v>
      </c>
      <c r="AC23" s="30" t="s">
        <v>53</v>
      </c>
      <c r="AD23" s="31" t="s">
        <v>45</v>
      </c>
      <c r="AE23" s="31" t="s">
        <v>46</v>
      </c>
      <c r="AF23" s="32" t="s">
        <v>54</v>
      </c>
      <c r="AG23" s="33" t="s">
        <v>45</v>
      </c>
      <c r="AH23" s="33" t="s">
        <v>46</v>
      </c>
    </row>
    <row r="24" ht="15" customHeight="1" spans="1:34">
      <c r="A24" s="53"/>
      <c r="B24" s="54" t="s">
        <v>179</v>
      </c>
      <c r="C24" s="55">
        <v>0.94</v>
      </c>
      <c r="D24" s="55">
        <v>0.87</v>
      </c>
      <c r="E24" s="38">
        <v>0.81</v>
      </c>
      <c r="F24" s="37">
        <v>0.8178</v>
      </c>
      <c r="G24" s="39">
        <v>4.7</v>
      </c>
      <c r="H24" s="40">
        <v>2210.11961625</v>
      </c>
      <c r="I24" s="41">
        <f>H24/5</f>
        <v>442.02392325</v>
      </c>
      <c r="J24" s="41">
        <f>I24+261.2133</f>
        <v>703.23722325</v>
      </c>
      <c r="K24" s="42">
        <v>2262.47679</v>
      </c>
      <c r="L24" s="43">
        <f>K24/5</f>
        <v>452.495358</v>
      </c>
      <c r="M24" s="43">
        <f>L24+261.2133</f>
        <v>713.708658</v>
      </c>
      <c r="N24" s="40">
        <v>2344.75234875</v>
      </c>
      <c r="O24" s="41">
        <f>N24/5</f>
        <v>468.95046975</v>
      </c>
      <c r="P24" s="41">
        <f>O24+261.2133</f>
        <v>730.16376975</v>
      </c>
      <c r="Q24" s="42">
        <v>2419.54831125</v>
      </c>
      <c r="R24" s="43">
        <f>Q24/5</f>
        <v>483.90966225</v>
      </c>
      <c r="S24" s="43">
        <f>R24+261.2133</f>
        <v>745.12296225</v>
      </c>
      <c r="T24" s="40">
        <v>2501.82387</v>
      </c>
      <c r="U24" s="41">
        <f>T24/5</f>
        <v>500.364774</v>
      </c>
      <c r="V24" s="41">
        <f>U24+261.2133</f>
        <v>761.578074</v>
      </c>
      <c r="W24" s="42">
        <v>2584.09942875</v>
      </c>
      <c r="X24" s="43">
        <f>W24/5</f>
        <v>516.81988575</v>
      </c>
      <c r="Y24" s="43">
        <f>X24+261.2133</f>
        <v>778.03318575</v>
      </c>
      <c r="Z24" s="40">
        <v>2666.3749875</v>
      </c>
      <c r="AA24" s="41">
        <f>Z24/5</f>
        <v>533.2749975</v>
      </c>
      <c r="AB24" s="41">
        <f>AA24+261.2133</f>
        <v>794.4882975</v>
      </c>
      <c r="AC24" s="42">
        <v>2808.48731625</v>
      </c>
      <c r="AD24" s="43">
        <f>AC24/5</f>
        <v>561.69746325</v>
      </c>
      <c r="AE24" s="43">
        <f>AD24+261.2133</f>
        <v>822.91076325</v>
      </c>
      <c r="AF24" s="56">
        <v>3040.3548</v>
      </c>
      <c r="AG24" s="57">
        <f>AF24/5</f>
        <v>608.07096</v>
      </c>
      <c r="AH24" s="57">
        <f>AG24+261.2133</f>
        <v>869.28426</v>
      </c>
    </row>
    <row r="25" ht="15" customHeight="1" spans="1:34">
      <c r="A25" s="53"/>
      <c r="B25" s="54"/>
      <c r="C25" s="55"/>
      <c r="D25" s="55"/>
      <c r="E25" s="38" t="s">
        <v>59</v>
      </c>
      <c r="F25" s="37" t="s">
        <v>59</v>
      </c>
      <c r="G25" s="39" t="s">
        <v>59</v>
      </c>
      <c r="H25" s="40" t="s">
        <v>59</v>
      </c>
      <c r="K25" s="42" t="s">
        <v>59</v>
      </c>
      <c r="N25" s="40" t="s">
        <v>59</v>
      </c>
      <c r="Q25" s="42" t="s">
        <v>59</v>
      </c>
      <c r="T25" s="40" t="s">
        <v>59</v>
      </c>
      <c r="W25" s="42" t="s">
        <v>59</v>
      </c>
      <c r="Z25" s="40" t="s">
        <v>59</v>
      </c>
      <c r="AC25" s="42" t="s">
        <v>59</v>
      </c>
      <c r="AF25" s="56" t="s">
        <v>59</v>
      </c>
    </row>
    <row r="26" ht="15" customHeight="1" spans="1:34">
      <c r="A26" s="53"/>
      <c r="B26" s="54"/>
      <c r="C26" s="55"/>
      <c r="D26" s="55"/>
      <c r="E26" s="38" t="s">
        <v>59</v>
      </c>
      <c r="F26" s="37" t="s">
        <v>59</v>
      </c>
      <c r="G26" s="39" t="s">
        <v>59</v>
      </c>
      <c r="H26" s="40" t="s">
        <v>59</v>
      </c>
      <c r="K26" s="42" t="s">
        <v>59</v>
      </c>
      <c r="N26" s="40" t="s">
        <v>59</v>
      </c>
      <c r="Q26" s="42" t="s">
        <v>59</v>
      </c>
      <c r="T26" s="40" t="s">
        <v>59</v>
      </c>
      <c r="W26" s="42" t="s">
        <v>59</v>
      </c>
      <c r="Z26" s="40" t="s">
        <v>59</v>
      </c>
      <c r="AC26" s="42" t="s">
        <v>59</v>
      </c>
      <c r="AF26" s="56" t="s">
        <v>59</v>
      </c>
    </row>
    <row r="27" ht="15" customHeight="1" spans="1:34">
      <c r="A27" s="62"/>
      <c r="B27" s="63"/>
      <c r="C27" s="64"/>
      <c r="D27" s="64"/>
      <c r="E27" s="38" t="s">
        <v>59</v>
      </c>
      <c r="F27" s="37" t="s">
        <v>59</v>
      </c>
      <c r="G27" s="39" t="s">
        <v>59</v>
      </c>
      <c r="H27" s="40" t="s">
        <v>59</v>
      </c>
      <c r="K27" s="42" t="s">
        <v>59</v>
      </c>
      <c r="N27" s="40" t="s">
        <v>59</v>
      </c>
      <c r="Q27" s="42" t="s">
        <v>59</v>
      </c>
      <c r="T27" s="40" t="s">
        <v>59</v>
      </c>
      <c r="W27" s="42" t="s">
        <v>59</v>
      </c>
      <c r="Z27" s="40" t="s">
        <v>59</v>
      </c>
      <c r="AC27" s="42" t="s">
        <v>59</v>
      </c>
      <c r="AF27" s="56" t="s">
        <v>59</v>
      </c>
    </row>
    <row r="28" ht="15" customHeight="1" spans="1:34">
      <c r="A28" s="53"/>
      <c r="B28" s="63"/>
      <c r="C28" s="55"/>
      <c r="D28" s="55"/>
      <c r="E28" s="38" t="s">
        <v>59</v>
      </c>
      <c r="F28" s="37" t="s">
        <v>59</v>
      </c>
      <c r="G28" s="39" t="s">
        <v>59</v>
      </c>
      <c r="H28" s="40" t="s">
        <v>59</v>
      </c>
      <c r="K28" s="42" t="s">
        <v>59</v>
      </c>
      <c r="N28" s="40" t="s">
        <v>59</v>
      </c>
      <c r="Q28" s="42" t="s">
        <v>59</v>
      </c>
      <c r="T28" s="40" t="s">
        <v>59</v>
      </c>
      <c r="W28" s="42" t="s">
        <v>59</v>
      </c>
      <c r="Z28" s="40" t="s">
        <v>59</v>
      </c>
      <c r="AC28" s="42" t="s">
        <v>59</v>
      </c>
      <c r="AF28" s="56" t="s">
        <v>59</v>
      </c>
    </row>
    <row r="29" ht="15" customHeight="1" spans="1:34">
      <c r="A29" s="53"/>
      <c r="B29" s="54"/>
      <c r="C29" s="55"/>
      <c r="D29" s="55"/>
      <c r="E29" s="38" t="s">
        <v>59</v>
      </c>
      <c r="F29" s="37" t="s">
        <v>59</v>
      </c>
      <c r="G29" s="39" t="s">
        <v>59</v>
      </c>
      <c r="H29" s="40" t="s">
        <v>59</v>
      </c>
      <c r="K29" s="42" t="s">
        <v>59</v>
      </c>
      <c r="N29" s="40" t="s">
        <v>59</v>
      </c>
      <c r="Q29" s="42" t="s">
        <v>59</v>
      </c>
      <c r="T29" s="40" t="s">
        <v>59</v>
      </c>
      <c r="W29" s="42" t="s">
        <v>59</v>
      </c>
      <c r="Z29" s="40" t="s">
        <v>59</v>
      </c>
      <c r="AC29" s="42" t="s">
        <v>59</v>
      </c>
      <c r="AF29" s="56" t="s">
        <v>59</v>
      </c>
    </row>
    <row r="30" ht="15" customHeight="1" spans="1:34">
      <c r="A30" s="58" t="s">
        <v>104</v>
      </c>
      <c r="B30" s="65" t="s">
        <v>217</v>
      </c>
      <c r="C30" s="55"/>
      <c r="D30" s="55"/>
      <c r="E30" s="38" t="s">
        <v>59</v>
      </c>
      <c r="F30" s="37" t="s">
        <v>59</v>
      </c>
      <c r="G30" s="39" t="s">
        <v>59</v>
      </c>
      <c r="H30" s="40" t="s">
        <v>59</v>
      </c>
      <c r="K30" s="42" t="s">
        <v>59</v>
      </c>
      <c r="N30" s="40" t="s">
        <v>59</v>
      </c>
      <c r="Q30" s="42" t="s">
        <v>59</v>
      </c>
      <c r="T30" s="40" t="s">
        <v>59</v>
      </c>
      <c r="W30" s="42" t="s">
        <v>59</v>
      </c>
      <c r="Z30" s="40" t="s">
        <v>59</v>
      </c>
      <c r="AC30" s="42" t="s">
        <v>59</v>
      </c>
      <c r="AF30" s="56" t="s">
        <v>59</v>
      </c>
    </row>
    <row r="31" ht="15" customHeight="1" spans="1:34">
      <c r="A31" s="59" t="s">
        <v>106</v>
      </c>
      <c r="B31" s="54"/>
      <c r="C31" s="55"/>
      <c r="D31" s="55"/>
      <c r="E31" s="38" t="s">
        <v>59</v>
      </c>
      <c r="F31" s="37" t="s">
        <v>59</v>
      </c>
      <c r="G31" s="39" t="s">
        <v>59</v>
      </c>
      <c r="H31" s="40" t="s">
        <v>59</v>
      </c>
      <c r="K31" s="42" t="s">
        <v>59</v>
      </c>
      <c r="N31" s="40" t="s">
        <v>59</v>
      </c>
      <c r="Q31" s="42" t="s">
        <v>59</v>
      </c>
      <c r="T31" s="40" t="s">
        <v>59</v>
      </c>
      <c r="W31" s="42" t="s">
        <v>59</v>
      </c>
      <c r="Z31" s="40" t="s">
        <v>59</v>
      </c>
      <c r="AC31" s="42" t="s">
        <v>59</v>
      </c>
      <c r="AF31" s="56" t="s">
        <v>59</v>
      </c>
    </row>
    <row r="32" ht="15" customHeight="1" spans="1:34">
      <c r="A32" s="25" t="s">
        <v>218</v>
      </c>
      <c r="B32" s="60" t="s">
        <v>37</v>
      </c>
      <c r="C32" s="61" t="s">
        <v>38</v>
      </c>
      <c r="D32" s="61" t="s">
        <v>39</v>
      </c>
      <c r="E32" s="28" t="s">
        <v>42</v>
      </c>
      <c r="F32" s="28" t="s">
        <v>41</v>
      </c>
      <c r="G32" s="29" t="s">
        <v>43</v>
      </c>
      <c r="H32" s="30" t="s">
        <v>44</v>
      </c>
      <c r="I32" s="31" t="s">
        <v>45</v>
      </c>
      <c r="J32" s="31" t="s">
        <v>46</v>
      </c>
      <c r="K32" s="30" t="s">
        <v>47</v>
      </c>
      <c r="L32" s="31" t="s">
        <v>45</v>
      </c>
      <c r="M32" s="31" t="s">
        <v>46</v>
      </c>
      <c r="N32" s="30" t="s">
        <v>48</v>
      </c>
      <c r="O32" s="31" t="s">
        <v>45</v>
      </c>
      <c r="P32" s="31" t="s">
        <v>46</v>
      </c>
      <c r="Q32" s="30" t="s">
        <v>49</v>
      </c>
      <c r="R32" s="31" t="s">
        <v>45</v>
      </c>
      <c r="S32" s="31" t="s">
        <v>46</v>
      </c>
      <c r="T32" s="30" t="s">
        <v>50</v>
      </c>
      <c r="U32" s="31" t="s">
        <v>45</v>
      </c>
      <c r="V32" s="31" t="s">
        <v>46</v>
      </c>
      <c r="W32" s="30" t="s">
        <v>51</v>
      </c>
      <c r="X32" s="31" t="s">
        <v>45</v>
      </c>
      <c r="Y32" s="31" t="s">
        <v>46</v>
      </c>
      <c r="Z32" s="30" t="s">
        <v>52</v>
      </c>
      <c r="AA32" s="31" t="s">
        <v>45</v>
      </c>
      <c r="AB32" s="31" t="s">
        <v>46</v>
      </c>
      <c r="AC32" s="30" t="s">
        <v>53</v>
      </c>
      <c r="AD32" s="31" t="s">
        <v>45</v>
      </c>
      <c r="AE32" s="31" t="s">
        <v>46</v>
      </c>
      <c r="AF32" s="32" t="s">
        <v>54</v>
      </c>
      <c r="AG32" s="33" t="s">
        <v>45</v>
      </c>
      <c r="AH32" s="33" t="s">
        <v>46</v>
      </c>
    </row>
    <row r="33" ht="15" customHeight="1" spans="1:34">
      <c r="A33" s="53"/>
      <c r="B33" s="54" t="s">
        <v>219</v>
      </c>
      <c r="C33" s="55">
        <v>0.85</v>
      </c>
      <c r="D33" s="55">
        <v>0.92</v>
      </c>
      <c r="E33" s="38">
        <v>0.85</v>
      </c>
      <c r="F33" s="37">
        <v>0.782</v>
      </c>
      <c r="G33" s="39">
        <v>4.3</v>
      </c>
      <c r="H33" s="40">
        <v>3389.6159325</v>
      </c>
      <c r="I33" s="41">
        <f>H33/5</f>
        <v>677.9231865</v>
      </c>
      <c r="J33" s="41">
        <f>I33+276.2615</f>
        <v>954.1846865</v>
      </c>
      <c r="K33" s="42">
        <v>3426.10758</v>
      </c>
      <c r="L33" s="43">
        <f>K33/5</f>
        <v>685.221516</v>
      </c>
      <c r="M33" s="43">
        <f>L33+276.2615</f>
        <v>961.483016</v>
      </c>
      <c r="N33" s="40">
        <v>3483.4515975</v>
      </c>
      <c r="O33" s="41">
        <f>N33/5</f>
        <v>696.6903195</v>
      </c>
      <c r="P33" s="41">
        <f>O33+276.2615</f>
        <v>972.9518195</v>
      </c>
      <c r="Q33" s="42">
        <v>3535.5825225</v>
      </c>
      <c r="R33" s="43">
        <f>Q33/5</f>
        <v>707.1165045</v>
      </c>
      <c r="S33" s="43">
        <f>R33+276.2615</f>
        <v>983.3780045</v>
      </c>
      <c r="T33" s="40">
        <v>3592.92654</v>
      </c>
      <c r="U33" s="41">
        <f>T33/5</f>
        <v>718.585308</v>
      </c>
      <c r="V33" s="41">
        <f>U33+276.2615</f>
        <v>994.846808</v>
      </c>
      <c r="W33" s="42">
        <v>3650.2705575</v>
      </c>
      <c r="X33" s="43">
        <f>W33/5</f>
        <v>730.0541115</v>
      </c>
      <c r="Y33" s="43">
        <f>X33+276.2615</f>
        <v>1006.3156115</v>
      </c>
      <c r="Z33" s="40">
        <v>3707.614575</v>
      </c>
      <c r="AA33" s="41">
        <f>Z33/5</f>
        <v>741.522915</v>
      </c>
      <c r="AB33" s="41">
        <f>AA33+276.2615</f>
        <v>1017.784415</v>
      </c>
      <c r="AC33" s="42">
        <v>3806.6633325</v>
      </c>
      <c r="AD33" s="43">
        <f>AC33/5</f>
        <v>761.3326665</v>
      </c>
      <c r="AE33" s="43">
        <f>AD33+276.2615</f>
        <v>1037.5941665</v>
      </c>
      <c r="AF33" s="56">
        <v>3968.2692</v>
      </c>
      <c r="AG33" s="57">
        <f>AF33/5</f>
        <v>793.65384</v>
      </c>
      <c r="AH33" s="57">
        <f>AG33+276.2615</f>
        <v>1069.91534</v>
      </c>
    </row>
    <row r="34" ht="15" customHeight="1" spans="1:34">
      <c r="A34" s="53"/>
      <c r="B34" s="54"/>
      <c r="C34" s="55"/>
      <c r="D34" s="55"/>
      <c r="E34" s="38" t="s">
        <v>59</v>
      </c>
      <c r="F34" s="37" t="s">
        <v>59</v>
      </c>
      <c r="G34" s="39" t="s">
        <v>59</v>
      </c>
      <c r="H34" s="40" t="s">
        <v>59</v>
      </c>
      <c r="K34" s="42" t="s">
        <v>59</v>
      </c>
      <c r="N34" s="40" t="s">
        <v>59</v>
      </c>
      <c r="Q34" s="42" t="s">
        <v>59</v>
      </c>
      <c r="T34" s="40" t="s">
        <v>59</v>
      </c>
      <c r="W34" s="42" t="s">
        <v>59</v>
      </c>
      <c r="Z34" s="40" t="s">
        <v>59</v>
      </c>
      <c r="AC34" s="42" t="s">
        <v>59</v>
      </c>
      <c r="AF34" s="56" t="s">
        <v>59</v>
      </c>
    </row>
    <row r="35" ht="15" customHeight="1" spans="1:34">
      <c r="A35" s="53"/>
      <c r="B35" s="54"/>
      <c r="C35" s="55"/>
      <c r="D35" s="55"/>
      <c r="E35" s="38" t="s">
        <v>59</v>
      </c>
      <c r="F35" s="37" t="s">
        <v>59</v>
      </c>
      <c r="G35" s="39" t="s">
        <v>59</v>
      </c>
      <c r="H35" s="40" t="s">
        <v>59</v>
      </c>
      <c r="K35" s="42" t="s">
        <v>59</v>
      </c>
      <c r="N35" s="40" t="s">
        <v>59</v>
      </c>
      <c r="Q35" s="42" t="s">
        <v>59</v>
      </c>
      <c r="T35" s="40" t="s">
        <v>59</v>
      </c>
      <c r="W35" s="42" t="s">
        <v>59</v>
      </c>
      <c r="Z35" s="40" t="s">
        <v>59</v>
      </c>
      <c r="AC35" s="42" t="s">
        <v>59</v>
      </c>
      <c r="AF35" s="56" t="s">
        <v>59</v>
      </c>
    </row>
    <row r="36" ht="15" customHeight="1" spans="1:34">
      <c r="A36" s="62"/>
      <c r="B36" s="63"/>
      <c r="C36" s="64"/>
      <c r="D36" s="64"/>
      <c r="E36" s="38" t="s">
        <v>59</v>
      </c>
      <c r="F36" s="37" t="s">
        <v>59</v>
      </c>
      <c r="G36" s="39" t="s">
        <v>59</v>
      </c>
      <c r="H36" s="40" t="s">
        <v>59</v>
      </c>
      <c r="K36" s="42" t="s">
        <v>59</v>
      </c>
      <c r="N36" s="40" t="s">
        <v>59</v>
      </c>
      <c r="Q36" s="42" t="s">
        <v>59</v>
      </c>
      <c r="T36" s="40" t="s">
        <v>59</v>
      </c>
      <c r="W36" s="42" t="s">
        <v>59</v>
      </c>
      <c r="Z36" s="40" t="s">
        <v>59</v>
      </c>
      <c r="AC36" s="42" t="s">
        <v>59</v>
      </c>
      <c r="AF36" s="56" t="s">
        <v>59</v>
      </c>
    </row>
    <row r="37" ht="15" customHeight="1" spans="1:34">
      <c r="A37" s="53"/>
      <c r="B37" s="63"/>
      <c r="C37" s="55"/>
      <c r="D37" s="55"/>
      <c r="E37" s="38" t="s">
        <v>59</v>
      </c>
      <c r="F37" s="37" t="s">
        <v>59</v>
      </c>
      <c r="G37" s="39" t="s">
        <v>59</v>
      </c>
      <c r="H37" s="40" t="s">
        <v>59</v>
      </c>
      <c r="K37" s="42" t="s">
        <v>59</v>
      </c>
      <c r="N37" s="40" t="s">
        <v>59</v>
      </c>
      <c r="Q37" s="42" t="s">
        <v>59</v>
      </c>
      <c r="T37" s="40" t="s">
        <v>59</v>
      </c>
      <c r="W37" s="42" t="s">
        <v>59</v>
      </c>
      <c r="Z37" s="40" t="s">
        <v>59</v>
      </c>
      <c r="AC37" s="42" t="s">
        <v>59</v>
      </c>
      <c r="AF37" s="56" t="s">
        <v>59</v>
      </c>
    </row>
    <row r="38" ht="15" customHeight="1" spans="1:34">
      <c r="A38" s="53"/>
      <c r="B38" s="54"/>
      <c r="C38" s="55"/>
      <c r="D38" s="55"/>
      <c r="E38" s="38" t="s">
        <v>59</v>
      </c>
      <c r="F38" s="37" t="s">
        <v>59</v>
      </c>
      <c r="G38" s="39" t="s">
        <v>59</v>
      </c>
      <c r="H38" s="40" t="s">
        <v>59</v>
      </c>
      <c r="K38" s="42" t="s">
        <v>59</v>
      </c>
      <c r="N38" s="40" t="s">
        <v>59</v>
      </c>
      <c r="Q38" s="42" t="s">
        <v>59</v>
      </c>
      <c r="T38" s="40" t="s">
        <v>59</v>
      </c>
      <c r="W38" s="42" t="s">
        <v>59</v>
      </c>
      <c r="Z38" s="40" t="s">
        <v>59</v>
      </c>
      <c r="AC38" s="42" t="s">
        <v>59</v>
      </c>
      <c r="AF38" s="56" t="s">
        <v>59</v>
      </c>
    </row>
    <row r="39" ht="15" customHeight="1" spans="1:34">
      <c r="A39" s="58" t="s">
        <v>104</v>
      </c>
      <c r="B39" s="63" t="s">
        <v>220</v>
      </c>
      <c r="C39" s="55"/>
      <c r="D39" s="55"/>
      <c r="E39" s="38" t="s">
        <v>59</v>
      </c>
      <c r="F39" s="37" t="s">
        <v>59</v>
      </c>
      <c r="G39" s="39" t="s">
        <v>59</v>
      </c>
      <c r="H39" s="40" t="s">
        <v>59</v>
      </c>
      <c r="K39" s="42" t="s">
        <v>59</v>
      </c>
      <c r="N39" s="40" t="s">
        <v>59</v>
      </c>
      <c r="Q39" s="42" t="s">
        <v>59</v>
      </c>
      <c r="T39" s="40" t="s">
        <v>59</v>
      </c>
      <c r="W39" s="42" t="s">
        <v>59</v>
      </c>
      <c r="Z39" s="40" t="s">
        <v>59</v>
      </c>
      <c r="AC39" s="42" t="s">
        <v>59</v>
      </c>
      <c r="AF39" s="56" t="s">
        <v>59</v>
      </c>
    </row>
    <row r="40" ht="15" customHeight="1" spans="1:34">
      <c r="A40" s="59" t="s">
        <v>221</v>
      </c>
      <c r="B40" s="54"/>
      <c r="C40" s="55"/>
      <c r="D40" s="55"/>
      <c r="E40" s="38" t="s">
        <v>59</v>
      </c>
      <c r="F40" s="37" t="s">
        <v>59</v>
      </c>
      <c r="G40" s="39" t="s">
        <v>59</v>
      </c>
      <c r="H40" s="40" t="s">
        <v>59</v>
      </c>
      <c r="K40" s="42" t="s">
        <v>59</v>
      </c>
      <c r="N40" s="40" t="s">
        <v>59</v>
      </c>
      <c r="Q40" s="42" t="s">
        <v>59</v>
      </c>
      <c r="T40" s="40" t="s">
        <v>59</v>
      </c>
      <c r="W40" s="42" t="s">
        <v>59</v>
      </c>
      <c r="Z40" s="40" t="s">
        <v>59</v>
      </c>
      <c r="AC40" s="42" t="s">
        <v>59</v>
      </c>
      <c r="AF40" s="56" t="s">
        <v>59</v>
      </c>
    </row>
    <row r="41" ht="15" customHeight="1" spans="1:34">
      <c r="A41" s="25" t="s">
        <v>222</v>
      </c>
      <c r="B41" s="60" t="s">
        <v>37</v>
      </c>
      <c r="C41" s="61" t="s">
        <v>38</v>
      </c>
      <c r="D41" s="61" t="s">
        <v>39</v>
      </c>
      <c r="E41" s="28" t="s">
        <v>42</v>
      </c>
      <c r="F41" s="28" t="s">
        <v>41</v>
      </c>
      <c r="G41" s="29" t="s">
        <v>43</v>
      </c>
      <c r="H41" s="30" t="s">
        <v>223</v>
      </c>
      <c r="I41" s="31" t="s">
        <v>45</v>
      </c>
      <c r="J41" s="31" t="s">
        <v>46</v>
      </c>
      <c r="K41" s="30"/>
      <c r="L41" s="31" t="s">
        <v>45</v>
      </c>
      <c r="M41" s="31" t="s">
        <v>46</v>
      </c>
      <c r="N41" s="30"/>
      <c r="O41" s="31" t="s">
        <v>45</v>
      </c>
      <c r="P41" s="31" t="s">
        <v>46</v>
      </c>
      <c r="Q41" s="30"/>
      <c r="R41" s="31" t="s">
        <v>45</v>
      </c>
      <c r="S41" s="31" t="s">
        <v>46</v>
      </c>
      <c r="T41" s="30"/>
      <c r="U41" s="31" t="s">
        <v>45</v>
      </c>
      <c r="V41" s="31" t="s">
        <v>46</v>
      </c>
      <c r="W41" s="30"/>
      <c r="X41" s="31" t="s">
        <v>45</v>
      </c>
      <c r="Y41" s="31" t="s">
        <v>46</v>
      </c>
      <c r="Z41" s="30"/>
      <c r="AA41" s="31" t="s">
        <v>45</v>
      </c>
      <c r="AB41" s="31" t="s">
        <v>46</v>
      </c>
      <c r="AC41" s="30"/>
      <c r="AD41" s="31" t="s">
        <v>45</v>
      </c>
      <c r="AE41" s="31" t="s">
        <v>46</v>
      </c>
      <c r="AF41" s="32"/>
      <c r="AG41" s="33" t="s">
        <v>45</v>
      </c>
      <c r="AH41" s="33" t="s">
        <v>46</v>
      </c>
    </row>
    <row r="42" ht="15" customHeight="1" spans="1:34">
      <c r="A42" s="53"/>
      <c r="B42" s="54" t="s">
        <v>219</v>
      </c>
      <c r="C42" s="55">
        <v>0.85</v>
      </c>
      <c r="D42" s="55">
        <v>0.92</v>
      </c>
      <c r="E42" s="38">
        <v>0.82</v>
      </c>
      <c r="F42" s="37">
        <v>0.782</v>
      </c>
      <c r="G42" s="39">
        <v>5.80491551459293</v>
      </c>
      <c r="H42" s="40">
        <v>4854.494925</v>
      </c>
      <c r="I42" s="41">
        <f>H42/5</f>
        <v>970.898985</v>
      </c>
      <c r="J42" s="41">
        <f>I42+276.2615</f>
        <v>1247.160485</v>
      </c>
      <c r="K42" s="42"/>
      <c r="N42" s="40"/>
      <c r="Q42" s="42"/>
      <c r="T42" s="40"/>
      <c r="W42" s="42"/>
      <c r="Z42" s="40"/>
      <c r="AC42" s="42"/>
      <c r="AF42" s="56"/>
    </row>
    <row r="43" ht="15" customHeight="1" spans="1:34">
      <c r="A43" s="53"/>
      <c r="B43" s="54"/>
      <c r="C43" s="55"/>
      <c r="D43" s="55"/>
      <c r="E43" s="38" t="s">
        <v>59</v>
      </c>
      <c r="F43" s="37" t="s">
        <v>59</v>
      </c>
      <c r="G43" s="39" t="s">
        <v>59</v>
      </c>
      <c r="H43" s="40" t="s">
        <v>59</v>
      </c>
      <c r="K43" s="42"/>
      <c r="N43" s="40"/>
      <c r="Q43" s="42"/>
      <c r="T43" s="40"/>
      <c r="W43" s="42"/>
      <c r="Z43" s="40"/>
      <c r="AC43" s="42"/>
      <c r="AF43" s="56"/>
    </row>
    <row r="44" ht="15" customHeight="1" spans="1:34">
      <c r="A44" s="53"/>
      <c r="B44" s="54"/>
      <c r="C44" s="55"/>
      <c r="D44" s="55"/>
      <c r="E44" s="38" t="s">
        <v>59</v>
      </c>
      <c r="F44" s="37" t="s">
        <v>59</v>
      </c>
      <c r="G44" s="39" t="s">
        <v>59</v>
      </c>
      <c r="H44" s="40" t="s">
        <v>59</v>
      </c>
      <c r="K44" s="42"/>
      <c r="N44" s="40"/>
      <c r="Q44" s="42"/>
      <c r="T44" s="40"/>
      <c r="W44" s="42"/>
      <c r="Z44" s="40"/>
      <c r="AC44" s="42"/>
      <c r="AF44" s="56"/>
    </row>
    <row r="45" ht="15" customHeight="1" spans="1:34">
      <c r="A45" s="62"/>
      <c r="B45" s="63"/>
      <c r="C45" s="64"/>
      <c r="D45" s="64"/>
      <c r="E45" s="38" t="s">
        <v>59</v>
      </c>
      <c r="F45" s="37" t="s">
        <v>59</v>
      </c>
      <c r="G45" s="39" t="s">
        <v>59</v>
      </c>
      <c r="H45" s="40" t="s">
        <v>59</v>
      </c>
      <c r="K45" s="42"/>
      <c r="N45" s="40"/>
      <c r="Q45" s="42"/>
      <c r="T45" s="40"/>
      <c r="W45" s="42"/>
      <c r="Z45" s="40"/>
      <c r="AC45" s="42"/>
      <c r="AF45" s="56"/>
    </row>
    <row r="46" ht="15" customHeight="1" spans="1:34">
      <c r="A46" s="53"/>
      <c r="B46" s="63"/>
      <c r="C46" s="55"/>
      <c r="D46" s="55"/>
      <c r="E46" s="38" t="s">
        <v>59</v>
      </c>
      <c r="F46" s="37" t="s">
        <v>59</v>
      </c>
      <c r="G46" s="39" t="s">
        <v>59</v>
      </c>
      <c r="H46" s="40" t="s">
        <v>59</v>
      </c>
      <c r="K46" s="42"/>
      <c r="N46" s="40"/>
      <c r="Q46" s="42"/>
      <c r="T46" s="40"/>
      <c r="W46" s="42"/>
      <c r="Z46" s="40"/>
      <c r="AC46" s="42"/>
      <c r="AF46" s="56"/>
    </row>
    <row r="47" ht="15" customHeight="1" spans="1:34">
      <c r="A47" s="53"/>
      <c r="B47" s="54"/>
      <c r="C47" s="55"/>
      <c r="D47" s="55"/>
      <c r="E47" s="38" t="s">
        <v>59</v>
      </c>
      <c r="F47" s="37" t="s">
        <v>59</v>
      </c>
      <c r="G47" s="39" t="s">
        <v>59</v>
      </c>
      <c r="H47" s="40" t="s">
        <v>59</v>
      </c>
      <c r="K47" s="42"/>
      <c r="N47" s="40"/>
      <c r="Q47" s="42"/>
      <c r="T47" s="40"/>
      <c r="W47" s="42"/>
      <c r="Z47" s="40"/>
      <c r="AC47" s="42"/>
      <c r="AF47" s="56"/>
    </row>
    <row r="48" ht="15" customHeight="1" spans="1:34">
      <c r="A48" s="58" t="s">
        <v>104</v>
      </c>
      <c r="B48" s="63" t="s">
        <v>220</v>
      </c>
      <c r="C48" s="55"/>
      <c r="D48" s="55"/>
      <c r="E48" s="38" t="s">
        <v>59</v>
      </c>
      <c r="F48" s="37" t="s">
        <v>59</v>
      </c>
      <c r="G48" s="39" t="s">
        <v>59</v>
      </c>
      <c r="H48" s="40" t="s">
        <v>59</v>
      </c>
      <c r="K48" s="42"/>
      <c r="N48" s="40"/>
      <c r="Q48" s="42"/>
      <c r="T48" s="40"/>
      <c r="W48" s="42"/>
      <c r="Z48" s="40"/>
      <c r="AC48" s="42"/>
      <c r="AF48" s="56"/>
    </row>
    <row r="49" ht="15" customHeight="1" spans="1:34">
      <c r="A49" s="59" t="s">
        <v>221</v>
      </c>
      <c r="B49" s="54"/>
      <c r="C49" s="55"/>
      <c r="D49" s="55"/>
      <c r="E49" s="38" t="s">
        <v>59</v>
      </c>
      <c r="F49" s="37" t="s">
        <v>59</v>
      </c>
      <c r="G49" s="39" t="s">
        <v>59</v>
      </c>
      <c r="H49" s="40" t="s">
        <v>59</v>
      </c>
      <c r="K49" s="42"/>
      <c r="N49" s="40"/>
      <c r="Q49" s="42"/>
      <c r="T49" s="40"/>
      <c r="W49" s="42"/>
      <c r="Z49" s="40"/>
      <c r="AC49" s="42"/>
      <c r="AF49" s="56"/>
    </row>
    <row r="50" ht="15" customHeight="1" spans="1:34">
      <c r="A50" s="25" t="s">
        <v>224</v>
      </c>
      <c r="B50" s="60" t="s">
        <v>37</v>
      </c>
      <c r="C50" s="61" t="s">
        <v>38</v>
      </c>
      <c r="D50" s="61" t="s">
        <v>39</v>
      </c>
      <c r="E50" s="28" t="s">
        <v>42</v>
      </c>
      <c r="F50" s="28" t="s">
        <v>41</v>
      </c>
      <c r="G50" s="29" t="s">
        <v>43</v>
      </c>
      <c r="H50" s="30" t="s">
        <v>44</v>
      </c>
      <c r="I50" s="31" t="s">
        <v>45</v>
      </c>
      <c r="J50" s="31" t="s">
        <v>46</v>
      </c>
      <c r="K50" s="30" t="s">
        <v>47</v>
      </c>
      <c r="L50" s="31" t="s">
        <v>45</v>
      </c>
      <c r="M50" s="31" t="s">
        <v>46</v>
      </c>
      <c r="N50" s="30" t="s">
        <v>48</v>
      </c>
      <c r="O50" s="31" t="s">
        <v>45</v>
      </c>
      <c r="P50" s="31" t="s">
        <v>46</v>
      </c>
      <c r="Q50" s="30" t="s">
        <v>49</v>
      </c>
      <c r="R50" s="31" t="s">
        <v>45</v>
      </c>
      <c r="S50" s="31" t="s">
        <v>46</v>
      </c>
      <c r="T50" s="30" t="s">
        <v>50</v>
      </c>
      <c r="U50" s="31" t="s">
        <v>45</v>
      </c>
      <c r="V50" s="31" t="s">
        <v>46</v>
      </c>
      <c r="W50" s="30" t="s">
        <v>51</v>
      </c>
      <c r="X50" s="31" t="s">
        <v>45</v>
      </c>
      <c r="Y50" s="31" t="s">
        <v>46</v>
      </c>
      <c r="Z50" s="30" t="s">
        <v>52</v>
      </c>
      <c r="AA50" s="31" t="s">
        <v>45</v>
      </c>
      <c r="AB50" s="31" t="s">
        <v>46</v>
      </c>
      <c r="AC50" s="30" t="s">
        <v>53</v>
      </c>
      <c r="AD50" s="31" t="s">
        <v>45</v>
      </c>
      <c r="AE50" s="31" t="s">
        <v>46</v>
      </c>
      <c r="AF50" s="32" t="s">
        <v>54</v>
      </c>
      <c r="AG50" s="33" t="s">
        <v>45</v>
      </c>
      <c r="AH50" s="33" t="s">
        <v>46</v>
      </c>
    </row>
    <row r="51" ht="15" customHeight="1" spans="1:34">
      <c r="A51" s="53"/>
      <c r="B51" s="54" t="s">
        <v>179</v>
      </c>
      <c r="C51" s="55">
        <v>0.84</v>
      </c>
      <c r="D51" s="55">
        <v>0.93</v>
      </c>
      <c r="E51" s="38">
        <v>0.82</v>
      </c>
      <c r="F51" s="37">
        <v>0.7812</v>
      </c>
      <c r="G51" s="39">
        <v>5.8</v>
      </c>
      <c r="H51" s="40">
        <v>2989.17885</v>
      </c>
      <c r="I51" s="41">
        <f>H51/5</f>
        <v>597.83577</v>
      </c>
      <c r="J51" s="41">
        <f>I51+253.2977</f>
        <v>851.13347</v>
      </c>
      <c r="K51" s="42">
        <v>3059.65065</v>
      </c>
      <c r="L51" s="43">
        <f>K51/5</f>
        <v>611.93013</v>
      </c>
      <c r="M51" s="43">
        <f>L51+253.2977</f>
        <v>865.22783</v>
      </c>
      <c r="N51" s="40">
        <v>3170.39205</v>
      </c>
      <c r="O51" s="41">
        <f>N51/5</f>
        <v>634.07841</v>
      </c>
      <c r="P51" s="41">
        <f>O51+253.2977</f>
        <v>887.37611</v>
      </c>
      <c r="Q51" s="42">
        <v>3271.06605</v>
      </c>
      <c r="R51" s="43">
        <f>Q51/5</f>
        <v>654.21321</v>
      </c>
      <c r="S51" s="43">
        <f>R51+253.2977</f>
        <v>907.51091</v>
      </c>
      <c r="T51" s="40">
        <v>3381.80745</v>
      </c>
      <c r="U51" s="41">
        <f>T51/5</f>
        <v>676.36149</v>
      </c>
      <c r="V51" s="41">
        <f>U51+253.2977</f>
        <v>929.65919</v>
      </c>
      <c r="W51" s="42">
        <v>3492.54885</v>
      </c>
      <c r="X51" s="43">
        <f>W51/5</f>
        <v>698.50977</v>
      </c>
      <c r="Y51" s="43">
        <f>X51+253.2977</f>
        <v>951.80747</v>
      </c>
      <c r="Z51" s="40">
        <v>3603.29025</v>
      </c>
      <c r="AA51" s="41">
        <f>Z51/5</f>
        <v>720.65805</v>
      </c>
      <c r="AB51" s="41">
        <f>AA51+253.2977</f>
        <v>973.95575</v>
      </c>
      <c r="AC51" s="42">
        <v>3794.57085</v>
      </c>
      <c r="AD51" s="43">
        <f>AC51/5</f>
        <v>758.91417</v>
      </c>
      <c r="AE51" s="43">
        <f>AD51+253.2977</f>
        <v>1012.21187</v>
      </c>
      <c r="AF51" s="56">
        <v>4106.66025</v>
      </c>
      <c r="AG51" s="57">
        <f>AF51/5</f>
        <v>821.33205</v>
      </c>
      <c r="AH51" s="57">
        <f>AG51+253.2977</f>
        <v>1074.62975</v>
      </c>
    </row>
    <row r="52" ht="15" customHeight="1" spans="1:34">
      <c r="A52" s="53"/>
      <c r="B52" s="54"/>
      <c r="C52" s="55"/>
      <c r="D52" s="55"/>
      <c r="E52" s="38" t="s">
        <v>59</v>
      </c>
      <c r="F52" s="37" t="s">
        <v>59</v>
      </c>
      <c r="G52" s="39" t="s">
        <v>59</v>
      </c>
      <c r="H52" s="40" t="s">
        <v>59</v>
      </c>
      <c r="K52" s="42" t="s">
        <v>59</v>
      </c>
      <c r="N52" s="40" t="s">
        <v>59</v>
      </c>
      <c r="Q52" s="42" t="s">
        <v>59</v>
      </c>
      <c r="T52" s="40" t="s">
        <v>59</v>
      </c>
      <c r="W52" s="42" t="s">
        <v>59</v>
      </c>
      <c r="Z52" s="40" t="s">
        <v>59</v>
      </c>
      <c r="AC52" s="42" t="s">
        <v>59</v>
      </c>
      <c r="AF52" s="56" t="s">
        <v>59</v>
      </c>
    </row>
    <row r="53" ht="15" customHeight="1" spans="1:34">
      <c r="A53" s="53"/>
      <c r="B53" s="54"/>
      <c r="C53" s="55"/>
      <c r="D53" s="55"/>
      <c r="E53" s="38" t="s">
        <v>59</v>
      </c>
      <c r="F53" s="37" t="s">
        <v>59</v>
      </c>
      <c r="G53" s="39" t="s">
        <v>59</v>
      </c>
      <c r="H53" s="40" t="s">
        <v>59</v>
      </c>
      <c r="K53" s="42" t="s">
        <v>59</v>
      </c>
      <c r="N53" s="40" t="s">
        <v>59</v>
      </c>
      <c r="Q53" s="42" t="s">
        <v>59</v>
      </c>
      <c r="T53" s="40" t="s">
        <v>59</v>
      </c>
      <c r="W53" s="42" t="s">
        <v>59</v>
      </c>
      <c r="Z53" s="40" t="s">
        <v>59</v>
      </c>
      <c r="AC53" s="42" t="s">
        <v>59</v>
      </c>
      <c r="AF53" s="56" t="s">
        <v>59</v>
      </c>
    </row>
    <row r="54" ht="15" customHeight="1" spans="1:34">
      <c r="A54" s="62"/>
      <c r="B54" s="63"/>
      <c r="C54" s="64"/>
      <c r="D54" s="64"/>
      <c r="E54" s="38" t="s">
        <v>59</v>
      </c>
      <c r="F54" s="37" t="s">
        <v>59</v>
      </c>
      <c r="G54" s="39" t="s">
        <v>59</v>
      </c>
      <c r="H54" s="40" t="s">
        <v>59</v>
      </c>
      <c r="K54" s="42" t="s">
        <v>59</v>
      </c>
      <c r="N54" s="40" t="s">
        <v>59</v>
      </c>
      <c r="Q54" s="42" t="s">
        <v>59</v>
      </c>
      <c r="T54" s="40" t="s">
        <v>59</v>
      </c>
      <c r="W54" s="42" t="s">
        <v>59</v>
      </c>
      <c r="Z54" s="40" t="s">
        <v>59</v>
      </c>
      <c r="AC54" s="42" t="s">
        <v>59</v>
      </c>
      <c r="AF54" s="56" t="s">
        <v>59</v>
      </c>
    </row>
    <row r="55" ht="15" customHeight="1" spans="1:34">
      <c r="A55" s="53"/>
      <c r="B55" s="63"/>
      <c r="C55" s="55"/>
      <c r="D55" s="55"/>
      <c r="E55" s="38" t="s">
        <v>59</v>
      </c>
      <c r="F55" s="37" t="s">
        <v>59</v>
      </c>
      <c r="G55" s="39" t="s">
        <v>59</v>
      </c>
      <c r="H55" s="40" t="s">
        <v>59</v>
      </c>
      <c r="K55" s="42" t="s">
        <v>59</v>
      </c>
      <c r="N55" s="40" t="s">
        <v>59</v>
      </c>
      <c r="Q55" s="42" t="s">
        <v>59</v>
      </c>
      <c r="T55" s="40" t="s">
        <v>59</v>
      </c>
      <c r="W55" s="42" t="s">
        <v>59</v>
      </c>
      <c r="Z55" s="40" t="s">
        <v>59</v>
      </c>
      <c r="AC55" s="42" t="s">
        <v>59</v>
      </c>
      <c r="AF55" s="56" t="s">
        <v>59</v>
      </c>
    </row>
    <row r="56" ht="15" customHeight="1" spans="1:34">
      <c r="A56" s="53"/>
      <c r="B56" s="54"/>
      <c r="C56" s="55"/>
      <c r="D56" s="55"/>
      <c r="E56" s="38" t="s">
        <v>59</v>
      </c>
      <c r="F56" s="37" t="s">
        <v>59</v>
      </c>
      <c r="G56" s="39" t="s">
        <v>59</v>
      </c>
      <c r="H56" s="40" t="s">
        <v>59</v>
      </c>
      <c r="K56" s="42" t="s">
        <v>59</v>
      </c>
      <c r="N56" s="40" t="s">
        <v>59</v>
      </c>
      <c r="Q56" s="42" t="s">
        <v>59</v>
      </c>
      <c r="T56" s="40" t="s">
        <v>59</v>
      </c>
      <c r="W56" s="42" t="s">
        <v>59</v>
      </c>
      <c r="Z56" s="40" t="s">
        <v>59</v>
      </c>
      <c r="AC56" s="42" t="s">
        <v>59</v>
      </c>
      <c r="AF56" s="56" t="s">
        <v>59</v>
      </c>
    </row>
    <row r="57" ht="15" customHeight="1" spans="1:34">
      <c r="A57" s="58" t="s">
        <v>104</v>
      </c>
      <c r="B57" s="65"/>
      <c r="C57" s="55"/>
      <c r="D57" s="55"/>
      <c r="E57" s="38" t="s">
        <v>59</v>
      </c>
      <c r="F57" s="37" t="s">
        <v>59</v>
      </c>
      <c r="G57" s="39" t="s">
        <v>59</v>
      </c>
      <c r="H57" s="40" t="s">
        <v>59</v>
      </c>
      <c r="K57" s="42" t="s">
        <v>59</v>
      </c>
      <c r="N57" s="40" t="s">
        <v>59</v>
      </c>
      <c r="Q57" s="42" t="s">
        <v>59</v>
      </c>
      <c r="T57" s="40" t="s">
        <v>59</v>
      </c>
      <c r="W57" s="42" t="s">
        <v>59</v>
      </c>
      <c r="Z57" s="40" t="s">
        <v>59</v>
      </c>
      <c r="AC57" s="42" t="s">
        <v>59</v>
      </c>
      <c r="AF57" s="56" t="s">
        <v>59</v>
      </c>
    </row>
    <row r="58" ht="15" customHeight="1" spans="1:34">
      <c r="A58" s="59" t="s">
        <v>106</v>
      </c>
      <c r="B58" s="54"/>
      <c r="C58" s="55"/>
      <c r="D58" s="55"/>
      <c r="E58" s="38" t="s">
        <v>59</v>
      </c>
      <c r="F58" s="37" t="s">
        <v>59</v>
      </c>
      <c r="G58" s="39" t="s">
        <v>59</v>
      </c>
      <c r="H58" s="40" t="s">
        <v>59</v>
      </c>
      <c r="K58" s="42" t="s">
        <v>59</v>
      </c>
      <c r="N58" s="40" t="s">
        <v>59</v>
      </c>
      <c r="Q58" s="42" t="s">
        <v>59</v>
      </c>
      <c r="T58" s="40" t="s">
        <v>59</v>
      </c>
      <c r="W58" s="42" t="s">
        <v>59</v>
      </c>
      <c r="Z58" s="40" t="s">
        <v>59</v>
      </c>
      <c r="AC58" s="42" t="s">
        <v>59</v>
      </c>
      <c r="AF58" s="56" t="s">
        <v>59</v>
      </c>
    </row>
  </sheetData>
  <mergeCells count="4">
    <mergeCell ref="A1:P1"/>
    <mergeCell ref="A2:P2"/>
    <mergeCell ref="O3:O4"/>
    <mergeCell ref="P3:P4"/>
  </mergeCells>
  <hyperlinks>
    <hyperlink ref="A13" r:id="rId4" display="JOÃO V. DEMELE"/>
    <hyperlink ref="A22" r:id="rId4" display="JOÃO V. DEMELE"/>
    <hyperlink ref="A31" r:id="rId4" display="JOÃO V. DEMELE"/>
    <hyperlink ref="A40" r:id="rId5" display="ESTUDIO GALHO"/>
    <hyperlink ref="A49" r:id="rId5" display="ESTUDIO GALHO"/>
    <hyperlink ref="A58" r:id="rId4" display="JOÃO V. DEMELE"/>
  </hyperlinks>
  <printOptions gridLines="1"/>
  <pageMargins left="0" right="0" top="0.393700787401575" bottom="0.393700787401575" header="0" footer="0"/>
  <pageSetup paperSize="9" scale="86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13</xdr:col>
                    <xdr:colOff>266700</xdr:colOff>
                    <xdr:row>0</xdr:row>
                    <xdr:rowOff>57150</xdr:rowOff>
                  </from>
                  <to>
                    <xdr:col>15</xdr:col>
                    <xdr:colOff>485775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9">
    <tabColor theme="7" tint="0.599993896298105"/>
    <pageSetUpPr fitToPage="1"/>
  </sheetPr>
  <dimension ref="A1:AH22"/>
  <sheetViews>
    <sheetView workbookViewId="0">
      <selection activeCell="A1" sqref="A1:P1"/>
    </sheetView>
  </sheetViews>
  <sheetFormatPr defaultColWidth="0" defaultRowHeight="15.75" zeroHeight="1"/>
  <cols>
    <col min="1" max="1" width="25.7142857142857" style="1" customWidth="1"/>
    <col min="2" max="2" width="24.2857142857143" style="2" customWidth="1"/>
    <col min="3" max="4" width="6.71428571428571" style="3" customWidth="1"/>
    <col min="5" max="5" width="6.71428571428571" style="4" customWidth="1"/>
    <col min="6" max="6" width="6.71428571428571" style="4" hidden="1" customWidth="1"/>
    <col min="7" max="7" width="6.71428571428571" style="4" customWidth="1"/>
    <col min="8" max="8" width="8.71428571428571" style="5" customWidth="1"/>
    <col min="9" max="10" width="12" style="5" customWidth="1"/>
    <col min="11" max="11" width="8.71428571428571" style="6" customWidth="1"/>
    <col min="12" max="13" width="12" style="6" customWidth="1"/>
    <col min="14" max="14" width="8.71428571428571" style="6" customWidth="1"/>
    <col min="15" max="16" width="12" style="6" customWidth="1"/>
    <col min="17" max="17" width="8.85714285714286" style="7" hidden="1" customWidth="1"/>
    <col min="18" max="19" width="12" style="7" customWidth="1"/>
    <col min="20" max="20" width="8.85714285714286" style="7" hidden="1" customWidth="1"/>
    <col min="21" max="22" width="12" style="7" customWidth="1"/>
    <col min="23" max="23" width="8.85714285714286" style="7" hidden="1" customWidth="1"/>
    <col min="24" max="25" width="12" style="7" customWidth="1"/>
    <col min="26" max="26" width="8.85714285714286" style="7" hidden="1" customWidth="1"/>
    <col min="27" max="28" width="12" style="7" customWidth="1"/>
    <col min="29" max="29" width="8.85714285714286" style="7" hidden="1" customWidth="1"/>
    <col min="30" max="31" width="12" style="7" customWidth="1"/>
    <col min="32" max="32" width="8.85714285714286" style="7" hidden="1" customWidth="1"/>
    <col min="33" max="34" width="12" style="7" customWidth="1"/>
    <col min="35" max="16384" width="8.85714285714286" style="7" hidden="1" customWidth="1"/>
  </cols>
  <sheetData>
    <row r="1" ht="54.75" customHeight="1" spans="1:34">
      <c r="A1" s="8" t="s">
        <v>225</v>
      </c>
      <c r="B1" s="9"/>
      <c r="C1" s="9"/>
      <c r="D1" s="9"/>
      <c r="E1" s="9"/>
      <c r="F1" s="9"/>
      <c r="G1" s="9"/>
      <c r="H1" s="9"/>
      <c r="K1" s="9"/>
      <c r="N1" s="9"/>
      <c r="Q1" s="9"/>
      <c r="T1" s="9"/>
      <c r="W1" s="9"/>
      <c r="Z1" s="9"/>
      <c r="AC1" s="9"/>
      <c r="AF1" s="10"/>
    </row>
    <row r="2" ht="20.1" customHeight="1" spans="1:34">
      <c r="A2" s="11" t="s">
        <v>34</v>
      </c>
      <c r="B2" s="12"/>
      <c r="C2" s="12"/>
      <c r="D2" s="12"/>
      <c r="E2" s="12"/>
      <c r="F2" s="12"/>
      <c r="G2" s="12"/>
      <c r="H2" s="12"/>
      <c r="K2" s="12"/>
      <c r="N2" s="12"/>
      <c r="Q2" s="12"/>
      <c r="T2" s="12"/>
      <c r="W2" s="12"/>
      <c r="Z2" s="12"/>
      <c r="AC2" s="12"/>
      <c r="AF2" s="13"/>
    </row>
    <row r="3" ht="6" customHeight="1" spans="1:34">
      <c r="A3" s="14"/>
      <c r="B3" s="15"/>
      <c r="C3" s="15"/>
      <c r="D3" s="15"/>
      <c r="E3" s="15"/>
      <c r="F3" s="15"/>
      <c r="G3" s="15"/>
      <c r="H3" s="15"/>
      <c r="K3" s="15"/>
      <c r="N3" s="15"/>
      <c r="Q3" s="15"/>
      <c r="T3" s="15"/>
      <c r="W3" s="15"/>
      <c r="Z3" s="15"/>
      <c r="AC3" s="16" t="s">
        <v>35</v>
      </c>
      <c r="AF3" s="17">
        <v>46234</v>
      </c>
    </row>
    <row r="4" ht="6" customHeight="1" spans="1:34">
      <c r="A4" s="18"/>
      <c r="B4" s="19"/>
      <c r="C4" s="20"/>
      <c r="D4" s="20"/>
      <c r="E4" s="21"/>
      <c r="F4" s="21"/>
      <c r="G4" s="21"/>
      <c r="H4" s="22"/>
      <c r="K4" s="22"/>
      <c r="N4" s="23"/>
      <c r="Q4" s="21"/>
      <c r="T4" s="21"/>
      <c r="W4" s="21"/>
      <c r="Z4" s="21"/>
      <c r="AC4" s="24"/>
      <c r="AF4" s="24"/>
    </row>
    <row r="5" ht="15" customHeight="1" spans="1:34">
      <c r="A5" s="48" t="s">
        <v>226</v>
      </c>
      <c r="B5" s="49" t="s">
        <v>37</v>
      </c>
      <c r="C5" s="50" t="s">
        <v>38</v>
      </c>
      <c r="D5" s="50" t="s">
        <v>39</v>
      </c>
      <c r="E5" s="28" t="s">
        <v>42</v>
      </c>
      <c r="F5" s="28" t="s">
        <v>41</v>
      </c>
      <c r="G5" s="29" t="s">
        <v>43</v>
      </c>
      <c r="H5" s="51" t="s">
        <v>44</v>
      </c>
      <c r="I5" s="31" t="s">
        <v>45</v>
      </c>
      <c r="J5" s="31" t="s">
        <v>46</v>
      </c>
      <c r="K5" s="51" t="s">
        <v>47</v>
      </c>
      <c r="L5" s="31" t="s">
        <v>45</v>
      </c>
      <c r="M5" s="31" t="s">
        <v>46</v>
      </c>
      <c r="N5" s="51" t="s">
        <v>48</v>
      </c>
      <c r="O5" s="31" t="s">
        <v>45</v>
      </c>
      <c r="P5" s="31" t="s">
        <v>46</v>
      </c>
      <c r="Q5" s="51" t="s">
        <v>49</v>
      </c>
      <c r="R5" s="31" t="s">
        <v>45</v>
      </c>
      <c r="S5" s="31" t="s">
        <v>46</v>
      </c>
      <c r="T5" s="51" t="s">
        <v>50</v>
      </c>
      <c r="U5" s="31" t="s">
        <v>45</v>
      </c>
      <c r="V5" s="31" t="s">
        <v>46</v>
      </c>
      <c r="W5" s="51" t="s">
        <v>51</v>
      </c>
      <c r="X5" s="31" t="s">
        <v>45</v>
      </c>
      <c r="Y5" s="31" t="s">
        <v>46</v>
      </c>
      <c r="Z5" s="51" t="s">
        <v>52</v>
      </c>
      <c r="AA5" s="31" t="s">
        <v>45</v>
      </c>
      <c r="AB5" s="31" t="s">
        <v>46</v>
      </c>
      <c r="AC5" s="51" t="s">
        <v>53</v>
      </c>
      <c r="AD5" s="31" t="s">
        <v>45</v>
      </c>
      <c r="AE5" s="31" t="s">
        <v>46</v>
      </c>
      <c r="AF5" s="52" t="s">
        <v>54</v>
      </c>
      <c r="AG5" s="33" t="s">
        <v>45</v>
      </c>
      <c r="AH5" s="33" t="s">
        <v>46</v>
      </c>
    </row>
    <row r="6" ht="15" customHeight="1" spans="1:34">
      <c r="A6" s="53"/>
      <c r="B6" s="54" t="s">
        <v>227</v>
      </c>
      <c r="C6" s="55">
        <v>1.6</v>
      </c>
      <c r="D6" s="55">
        <v>0.45</v>
      </c>
      <c r="E6" s="38">
        <v>0.45</v>
      </c>
      <c r="F6" s="37">
        <v>0.72</v>
      </c>
      <c r="G6" s="39">
        <v>4.8</v>
      </c>
      <c r="H6" s="40">
        <v>1154.7879</v>
      </c>
      <c r="I6" s="41">
        <f>H6/5</f>
        <v>230.95758</v>
      </c>
      <c r="J6" s="41">
        <f>I6+51.4511</f>
        <v>282.40868</v>
      </c>
      <c r="K6" s="42">
        <v>1188.0246</v>
      </c>
      <c r="L6" s="43">
        <f>K6/5</f>
        <v>237.60492</v>
      </c>
      <c r="M6" s="43">
        <f>L6+51.4511</f>
        <v>289.05602</v>
      </c>
      <c r="N6" s="40">
        <v>1240.2537</v>
      </c>
      <c r="O6" s="41">
        <f>N6/5</f>
        <v>248.05074</v>
      </c>
      <c r="P6" s="41">
        <f>O6+51.4511</f>
        <v>299.50184</v>
      </c>
      <c r="Q6" s="42">
        <v>1287.7347</v>
      </c>
      <c r="R6" s="43">
        <f>Q6/5</f>
        <v>257.54694</v>
      </c>
      <c r="S6" s="43">
        <f>R6+51.4511</f>
        <v>308.99804</v>
      </c>
      <c r="T6" s="40">
        <v>1339.9638</v>
      </c>
      <c r="U6" s="41">
        <f>T6/5</f>
        <v>267.99276</v>
      </c>
      <c r="V6" s="41">
        <f>U6+51.4511</f>
        <v>319.44386</v>
      </c>
      <c r="W6" s="42">
        <v>1392.1929</v>
      </c>
      <c r="X6" s="43">
        <f>W6/5</f>
        <v>278.43858</v>
      </c>
      <c r="Y6" s="43">
        <f>X6+51.4511</f>
        <v>329.88968</v>
      </c>
      <c r="Z6" s="40">
        <v>1444.422</v>
      </c>
      <c r="AA6" s="41">
        <f>Z6/5</f>
        <v>288.8844</v>
      </c>
      <c r="AB6" s="41">
        <f>AA6+51.4511</f>
        <v>340.3355</v>
      </c>
      <c r="AC6" s="42">
        <v>1534.6359</v>
      </c>
      <c r="AD6" s="43">
        <f>AC6/5</f>
        <v>306.92718</v>
      </c>
      <c r="AE6" s="43">
        <f>AD6+51.4511</f>
        <v>358.37828</v>
      </c>
      <c r="AF6" s="56">
        <v>1681.827</v>
      </c>
      <c r="AG6" s="57">
        <f>AF6/5</f>
        <v>336.3654</v>
      </c>
      <c r="AH6" s="57">
        <f>AG6+51.4511</f>
        <v>387.8165</v>
      </c>
    </row>
    <row r="7" ht="15" customHeight="1" spans="1:34">
      <c r="A7" s="53"/>
      <c r="B7" s="54"/>
      <c r="C7" s="55"/>
      <c r="D7" s="55"/>
      <c r="E7" s="38" t="s">
        <v>59</v>
      </c>
      <c r="F7" s="37" t="s">
        <v>59</v>
      </c>
      <c r="G7" s="39" t="s">
        <v>59</v>
      </c>
      <c r="H7" s="40" t="s">
        <v>59</v>
      </c>
      <c r="K7" s="42" t="s">
        <v>59</v>
      </c>
      <c r="N7" s="40" t="s">
        <v>59</v>
      </c>
      <c r="Q7" s="42" t="s">
        <v>59</v>
      </c>
      <c r="T7" s="40" t="s">
        <v>59</v>
      </c>
      <c r="W7" s="42" t="s">
        <v>59</v>
      </c>
      <c r="Z7" s="40" t="s">
        <v>59</v>
      </c>
      <c r="AC7" s="42" t="s">
        <v>59</v>
      </c>
      <c r="AF7" s="56" t="s">
        <v>59</v>
      </c>
    </row>
    <row r="8" ht="15" customHeight="1" spans="1:34">
      <c r="A8" s="53"/>
      <c r="B8" s="54" t="s">
        <v>228</v>
      </c>
      <c r="C8" s="55">
        <v>0.58</v>
      </c>
      <c r="D8" s="55">
        <v>0.5</v>
      </c>
      <c r="E8" s="38">
        <v>0.45</v>
      </c>
      <c r="F8" s="37">
        <v>0.29</v>
      </c>
      <c r="G8" s="39">
        <v>3.4</v>
      </c>
      <c r="H8" s="40">
        <v>561.7752</v>
      </c>
      <c r="I8" s="41">
        <f>H8/5</f>
        <v>112.35504</v>
      </c>
      <c r="J8" s="41">
        <f>I8+51.4511</f>
        <v>163.80614</v>
      </c>
      <c r="K8" s="42">
        <v>582.7668</v>
      </c>
      <c r="L8" s="43">
        <f>K8/5</f>
        <v>116.55336</v>
      </c>
      <c r="M8" s="43">
        <f>L8+51.4511</f>
        <v>168.00446</v>
      </c>
      <c r="N8" s="40">
        <v>615.7536</v>
      </c>
      <c r="O8" s="41">
        <f>N8/5</f>
        <v>123.15072</v>
      </c>
      <c r="P8" s="41">
        <f>O8+51.4511</f>
        <v>174.60182</v>
      </c>
      <c r="Q8" s="42">
        <v>645.7416</v>
      </c>
      <c r="R8" s="43">
        <f>Q8/5</f>
        <v>129.14832</v>
      </c>
      <c r="S8" s="43">
        <f>R8+51.4511</f>
        <v>180.59942</v>
      </c>
      <c r="T8" s="40">
        <v>678.7284</v>
      </c>
      <c r="U8" s="41">
        <f>T8/5</f>
        <v>135.74568</v>
      </c>
      <c r="V8" s="41">
        <f>U8+51.4511</f>
        <v>187.19678</v>
      </c>
      <c r="W8" s="42">
        <v>711.7152</v>
      </c>
      <c r="X8" s="43">
        <f>W8/5</f>
        <v>142.34304</v>
      </c>
      <c r="Y8" s="43">
        <f>X8+51.4511</f>
        <v>193.79414</v>
      </c>
      <c r="Z8" s="40">
        <v>744.702</v>
      </c>
      <c r="AA8" s="41">
        <f>Z8/5</f>
        <v>148.9404</v>
      </c>
      <c r="AB8" s="41">
        <f>AA8+51.4511</f>
        <v>200.3915</v>
      </c>
      <c r="AC8" s="42">
        <v>801.6792</v>
      </c>
      <c r="AD8" s="43">
        <f>AC8/5</f>
        <v>160.33584</v>
      </c>
      <c r="AE8" s="43">
        <f>AD8+51.4511</f>
        <v>211.78694</v>
      </c>
      <c r="AF8" s="56">
        <v>894.642</v>
      </c>
      <c r="AG8" s="57">
        <f>AF8/5</f>
        <v>178.9284</v>
      </c>
      <c r="AH8" s="57">
        <f>AG8+51.4511</f>
        <v>230.3795</v>
      </c>
    </row>
    <row r="9" ht="15" customHeight="1" spans="1:34">
      <c r="A9" s="53"/>
      <c r="B9" s="54"/>
      <c r="C9" s="55"/>
      <c r="D9" s="55"/>
      <c r="E9" s="38" t="s">
        <v>59</v>
      </c>
      <c r="F9" s="37" t="s">
        <v>59</v>
      </c>
      <c r="G9" s="39" t="s">
        <v>59</v>
      </c>
      <c r="H9" s="40" t="s">
        <v>59</v>
      </c>
      <c r="K9" s="42" t="s">
        <v>59</v>
      </c>
      <c r="N9" s="40" t="s">
        <v>59</v>
      </c>
      <c r="Q9" s="42" t="s">
        <v>59</v>
      </c>
      <c r="T9" s="40" t="s">
        <v>59</v>
      </c>
      <c r="W9" s="42" t="s">
        <v>59</v>
      </c>
      <c r="Z9" s="40" t="s">
        <v>59</v>
      </c>
      <c r="AC9" s="42" t="s">
        <v>59</v>
      </c>
      <c r="AF9" s="56" t="s">
        <v>59</v>
      </c>
    </row>
    <row r="10" ht="15" customHeight="1" spans="1:34">
      <c r="A10" s="53"/>
      <c r="B10" s="54"/>
      <c r="C10" s="55"/>
      <c r="D10" s="55"/>
      <c r="E10" s="38" t="s">
        <v>59</v>
      </c>
      <c r="F10" s="37" t="s">
        <v>59</v>
      </c>
      <c r="G10" s="39" t="s">
        <v>59</v>
      </c>
      <c r="H10" s="40" t="s">
        <v>59</v>
      </c>
      <c r="K10" s="42" t="s">
        <v>59</v>
      </c>
      <c r="N10" s="40" t="s">
        <v>59</v>
      </c>
      <c r="Q10" s="42" t="s">
        <v>59</v>
      </c>
      <c r="T10" s="40" t="s">
        <v>59</v>
      </c>
      <c r="W10" s="42" t="s">
        <v>59</v>
      </c>
      <c r="Z10" s="40" t="s">
        <v>59</v>
      </c>
      <c r="AC10" s="42" t="s">
        <v>59</v>
      </c>
      <c r="AF10" s="56" t="s">
        <v>59</v>
      </c>
    </row>
    <row r="11" ht="15" customHeight="1" spans="1:34">
      <c r="A11" s="53"/>
      <c r="B11" s="54"/>
      <c r="C11" s="55"/>
      <c r="D11" s="55"/>
      <c r="E11" s="38" t="s">
        <v>59</v>
      </c>
      <c r="F11" s="37" t="s">
        <v>59</v>
      </c>
      <c r="G11" s="39" t="s">
        <v>59</v>
      </c>
      <c r="H11" s="40" t="s">
        <v>59</v>
      </c>
      <c r="K11" s="42" t="s">
        <v>59</v>
      </c>
      <c r="N11" s="40" t="s">
        <v>59</v>
      </c>
      <c r="Q11" s="42" t="s">
        <v>59</v>
      </c>
      <c r="T11" s="40" t="s">
        <v>59</v>
      </c>
      <c r="W11" s="42" t="s">
        <v>59</v>
      </c>
      <c r="Z11" s="40" t="s">
        <v>59</v>
      </c>
      <c r="AC11" s="42" t="s">
        <v>59</v>
      </c>
      <c r="AF11" s="56" t="s">
        <v>59</v>
      </c>
    </row>
    <row r="12" ht="15" customHeight="1" spans="1:34">
      <c r="A12" s="58" t="s">
        <v>104</v>
      </c>
      <c r="B12" s="54"/>
      <c r="C12" s="55"/>
      <c r="D12" s="55"/>
      <c r="E12" s="38" t="s">
        <v>59</v>
      </c>
      <c r="F12" s="37" t="s">
        <v>59</v>
      </c>
      <c r="G12" s="39" t="s">
        <v>59</v>
      </c>
      <c r="H12" s="40" t="s">
        <v>59</v>
      </c>
      <c r="K12" s="42" t="s">
        <v>59</v>
      </c>
      <c r="N12" s="40" t="s">
        <v>59</v>
      </c>
      <c r="Q12" s="42" t="s">
        <v>59</v>
      </c>
      <c r="T12" s="40" t="s">
        <v>59</v>
      </c>
      <c r="W12" s="42" t="s">
        <v>59</v>
      </c>
      <c r="Z12" s="40" t="s">
        <v>59</v>
      </c>
      <c r="AC12" s="42" t="s">
        <v>59</v>
      </c>
      <c r="AF12" s="56" t="s">
        <v>59</v>
      </c>
    </row>
    <row r="13" ht="15" customHeight="1" spans="1:34">
      <c r="A13" s="59" t="s">
        <v>106</v>
      </c>
      <c r="B13" s="54"/>
      <c r="C13" s="55"/>
      <c r="D13" s="55"/>
      <c r="E13" s="38" t="s">
        <v>59</v>
      </c>
      <c r="F13" s="37" t="s">
        <v>59</v>
      </c>
      <c r="G13" s="39" t="s">
        <v>59</v>
      </c>
      <c r="H13" s="40" t="s">
        <v>59</v>
      </c>
      <c r="K13" s="42" t="s">
        <v>59</v>
      </c>
      <c r="N13" s="40" t="s">
        <v>59</v>
      </c>
      <c r="Q13" s="42" t="s">
        <v>59</v>
      </c>
      <c r="T13" s="40" t="s">
        <v>59</v>
      </c>
      <c r="W13" s="42" t="s">
        <v>59</v>
      </c>
      <c r="Z13" s="40" t="s">
        <v>59</v>
      </c>
      <c r="AC13" s="42" t="s">
        <v>59</v>
      </c>
      <c r="AF13" s="56" t="s">
        <v>59</v>
      </c>
    </row>
    <row r="14" ht="15" customHeight="1" spans="1:34">
      <c r="A14" s="48" t="s">
        <v>229</v>
      </c>
      <c r="B14" s="49" t="s">
        <v>37</v>
      </c>
      <c r="C14" s="50" t="s">
        <v>38</v>
      </c>
      <c r="D14" s="50" t="s">
        <v>39</v>
      </c>
      <c r="E14" s="28" t="s">
        <v>42</v>
      </c>
      <c r="F14" s="28" t="s">
        <v>41</v>
      </c>
      <c r="G14" s="29" t="s">
        <v>43</v>
      </c>
      <c r="H14" s="51" t="s">
        <v>44</v>
      </c>
      <c r="I14" s="31" t="s">
        <v>45</v>
      </c>
      <c r="J14" s="31" t="s">
        <v>46</v>
      </c>
      <c r="K14" s="51" t="s">
        <v>47</v>
      </c>
      <c r="L14" s="31" t="s">
        <v>45</v>
      </c>
      <c r="M14" s="31" t="s">
        <v>46</v>
      </c>
      <c r="N14" s="51" t="s">
        <v>48</v>
      </c>
      <c r="O14" s="31" t="s">
        <v>45</v>
      </c>
      <c r="P14" s="31" t="s">
        <v>46</v>
      </c>
      <c r="Q14" s="51" t="s">
        <v>49</v>
      </c>
      <c r="R14" s="31" t="s">
        <v>45</v>
      </c>
      <c r="S14" s="31" t="s">
        <v>46</v>
      </c>
      <c r="T14" s="51" t="s">
        <v>50</v>
      </c>
      <c r="U14" s="31" t="s">
        <v>45</v>
      </c>
      <c r="V14" s="31" t="s">
        <v>46</v>
      </c>
      <c r="W14" s="51" t="s">
        <v>51</v>
      </c>
      <c r="X14" s="31" t="s">
        <v>45</v>
      </c>
      <c r="Y14" s="31" t="s">
        <v>46</v>
      </c>
      <c r="Z14" s="51" t="s">
        <v>52</v>
      </c>
      <c r="AA14" s="31" t="s">
        <v>45</v>
      </c>
      <c r="AB14" s="31" t="s">
        <v>46</v>
      </c>
      <c r="AC14" s="51" t="s">
        <v>53</v>
      </c>
      <c r="AD14" s="31" t="s">
        <v>45</v>
      </c>
      <c r="AE14" s="31" t="s">
        <v>46</v>
      </c>
      <c r="AF14" s="52" t="s">
        <v>54</v>
      </c>
      <c r="AG14" s="33" t="s">
        <v>45</v>
      </c>
      <c r="AH14" s="33" t="s">
        <v>46</v>
      </c>
    </row>
    <row r="15" ht="15" customHeight="1" spans="1:34">
      <c r="A15" s="53"/>
      <c r="B15" s="54" t="s">
        <v>227</v>
      </c>
      <c r="C15" s="55">
        <v>1.7</v>
      </c>
      <c r="D15" s="55">
        <v>0.6</v>
      </c>
      <c r="E15" s="38">
        <v>0.46</v>
      </c>
      <c r="F15" s="37">
        <v>1.02</v>
      </c>
      <c r="G15" s="39">
        <v>4.1</v>
      </c>
      <c r="H15" s="40">
        <v>2817.4395375</v>
      </c>
      <c r="I15" s="41">
        <f>H15/5</f>
        <v>563.4879075</v>
      </c>
      <c r="J15" s="41">
        <f>I15+197.8888</f>
        <v>761.3767075</v>
      </c>
      <c r="K15" s="42">
        <v>2857.1424</v>
      </c>
      <c r="L15" s="43">
        <f>K15/5</f>
        <v>571.42848</v>
      </c>
      <c r="M15" s="43">
        <f>L15+197.8888</f>
        <v>769.31728</v>
      </c>
      <c r="N15" s="40">
        <v>2919.5326125</v>
      </c>
      <c r="O15" s="41">
        <f>N15/5</f>
        <v>583.9065225</v>
      </c>
      <c r="P15" s="41">
        <f>O15+197.8888</f>
        <v>781.7953225</v>
      </c>
      <c r="Q15" s="42">
        <v>2976.2509875</v>
      </c>
      <c r="R15" s="43">
        <f>Q15/5</f>
        <v>595.2501975</v>
      </c>
      <c r="S15" s="43">
        <f>R15+197.8888</f>
        <v>793.1389975</v>
      </c>
      <c r="T15" s="40">
        <v>3038.6412</v>
      </c>
      <c r="U15" s="41">
        <f>T15/5</f>
        <v>607.72824</v>
      </c>
      <c r="V15" s="41">
        <f>U15+197.8888</f>
        <v>805.61704</v>
      </c>
      <c r="W15" s="42">
        <v>3101.0314125</v>
      </c>
      <c r="X15" s="43">
        <f>W15/5</f>
        <v>620.2062825</v>
      </c>
      <c r="Y15" s="43">
        <f>X15+197.8888</f>
        <v>818.0950825</v>
      </c>
      <c r="Z15" s="40">
        <v>3163.421625</v>
      </c>
      <c r="AA15" s="41">
        <f>Z15/5</f>
        <v>632.684325</v>
      </c>
      <c r="AB15" s="41">
        <f>AA15+197.8888</f>
        <v>830.573125</v>
      </c>
      <c r="AC15" s="42">
        <v>3271.1865375</v>
      </c>
      <c r="AD15" s="43">
        <f>AC15/5</f>
        <v>654.2373075</v>
      </c>
      <c r="AE15" s="43">
        <f>AD15+197.8888</f>
        <v>852.1261075</v>
      </c>
      <c r="AF15" s="56">
        <v>3447.0135</v>
      </c>
      <c r="AG15" s="57">
        <f>AF15/5</f>
        <v>689.4027</v>
      </c>
      <c r="AH15" s="57">
        <f>AG15+197.8888</f>
        <v>887.2915</v>
      </c>
    </row>
    <row r="16" ht="15" customHeight="1" spans="1:34">
      <c r="A16" s="53"/>
      <c r="B16" s="54" t="s">
        <v>227</v>
      </c>
      <c r="C16" s="55">
        <v>1.8</v>
      </c>
      <c r="D16" s="55">
        <v>0.6</v>
      </c>
      <c r="E16" s="38">
        <v>0.46</v>
      </c>
      <c r="F16" s="37">
        <v>1.08</v>
      </c>
      <c r="G16" s="39">
        <v>4.2</v>
      </c>
      <c r="H16" s="40">
        <v>2873.97495</v>
      </c>
      <c r="I16" s="41">
        <f>H16/5</f>
        <v>574.79499</v>
      </c>
      <c r="J16" s="41">
        <f>I16+197.8888</f>
        <v>772.68379</v>
      </c>
      <c r="K16" s="42">
        <v>2914.95855</v>
      </c>
      <c r="L16" s="43">
        <f>K16/5</f>
        <v>582.99171</v>
      </c>
      <c r="M16" s="43">
        <f>L16+197.8888</f>
        <v>780.88051</v>
      </c>
      <c r="N16" s="40">
        <v>2979.36135</v>
      </c>
      <c r="O16" s="41">
        <f>N16/5</f>
        <v>595.87227</v>
      </c>
      <c r="P16" s="41">
        <f>O16+197.8888</f>
        <v>793.76107</v>
      </c>
      <c r="Q16" s="42">
        <v>3037.90935</v>
      </c>
      <c r="R16" s="43">
        <f>Q16/5</f>
        <v>607.58187</v>
      </c>
      <c r="S16" s="43">
        <f>R16+197.8888</f>
        <v>805.47067</v>
      </c>
      <c r="T16" s="40">
        <v>3102.31215</v>
      </c>
      <c r="U16" s="41">
        <f>T16/5</f>
        <v>620.46243</v>
      </c>
      <c r="V16" s="41">
        <f>U16+197.8888</f>
        <v>818.35123</v>
      </c>
      <c r="W16" s="42">
        <v>3166.71495</v>
      </c>
      <c r="X16" s="43">
        <f>W16/5</f>
        <v>633.34299</v>
      </c>
      <c r="Y16" s="43">
        <f>X16+197.8888</f>
        <v>831.23179</v>
      </c>
      <c r="Z16" s="40">
        <v>3231.11775</v>
      </c>
      <c r="AA16" s="41">
        <f>Z16/5</f>
        <v>646.22355</v>
      </c>
      <c r="AB16" s="41">
        <f>AA16+197.8888</f>
        <v>844.11235</v>
      </c>
      <c r="AC16" s="42">
        <v>3342.35895</v>
      </c>
      <c r="AD16" s="43">
        <f>AC16/5</f>
        <v>668.47179</v>
      </c>
      <c r="AE16" s="43">
        <f>AD16+197.8888</f>
        <v>866.36059</v>
      </c>
      <c r="AF16" s="56">
        <v>3523.85775</v>
      </c>
      <c r="AG16" s="57">
        <f>AF16/5</f>
        <v>704.77155</v>
      </c>
      <c r="AH16" s="57">
        <f>AG16+197.8888</f>
        <v>902.66035</v>
      </c>
    </row>
    <row r="17" ht="15" customHeight="1" spans="1:34">
      <c r="A17" s="53"/>
      <c r="B17" s="54" t="s">
        <v>227</v>
      </c>
      <c r="C17" s="55">
        <v>1.9</v>
      </c>
      <c r="D17" s="55">
        <v>0.6</v>
      </c>
      <c r="E17" s="38">
        <v>0.46</v>
      </c>
      <c r="F17" s="37">
        <v>1.14</v>
      </c>
      <c r="G17" s="39">
        <v>4.3</v>
      </c>
      <c r="H17" s="40">
        <v>2930.5103625</v>
      </c>
      <c r="I17" s="41">
        <f>H17/5</f>
        <v>586.1020725</v>
      </c>
      <c r="J17" s="41">
        <f>I17+197.8888</f>
        <v>783.9908725</v>
      </c>
      <c r="K17" s="42">
        <v>2972.7747</v>
      </c>
      <c r="L17" s="43">
        <f>K17/5</f>
        <v>594.55494</v>
      </c>
      <c r="M17" s="43">
        <f>L17+197.8888</f>
        <v>792.44374</v>
      </c>
      <c r="N17" s="40">
        <v>3039.1900875</v>
      </c>
      <c r="O17" s="41">
        <f>N17/5</f>
        <v>607.8380175</v>
      </c>
      <c r="P17" s="41">
        <f>O17+197.8888</f>
        <v>805.7268175</v>
      </c>
      <c r="Q17" s="42">
        <v>3099.5677125</v>
      </c>
      <c r="R17" s="43">
        <f>Q17/5</f>
        <v>619.9135425</v>
      </c>
      <c r="S17" s="43">
        <f>R17+197.8888</f>
        <v>817.8023425</v>
      </c>
      <c r="T17" s="40">
        <v>3165.9831</v>
      </c>
      <c r="U17" s="41">
        <f>T17/5</f>
        <v>633.19662</v>
      </c>
      <c r="V17" s="41">
        <f>U17+197.8888</f>
        <v>831.08542</v>
      </c>
      <c r="W17" s="42">
        <v>3232.3984875</v>
      </c>
      <c r="X17" s="43">
        <f>W17/5</f>
        <v>646.4796975</v>
      </c>
      <c r="Y17" s="43">
        <f>X17+197.8888</f>
        <v>844.3684975</v>
      </c>
      <c r="Z17" s="40">
        <v>3298.813875</v>
      </c>
      <c r="AA17" s="41">
        <f>Z17/5</f>
        <v>659.762775</v>
      </c>
      <c r="AB17" s="41">
        <f>AA17+197.8888</f>
        <v>857.651575</v>
      </c>
      <c r="AC17" s="42">
        <v>3413.5313625</v>
      </c>
      <c r="AD17" s="43">
        <f>AC17/5</f>
        <v>682.7062725</v>
      </c>
      <c r="AE17" s="43">
        <f>AD17+197.8888</f>
        <v>880.5950725</v>
      </c>
      <c r="AF17" s="56">
        <v>3600.702</v>
      </c>
      <c r="AG17" s="57">
        <f>AF17/5</f>
        <v>720.1404</v>
      </c>
      <c r="AH17" s="57">
        <f>AG17+197.8888</f>
        <v>918.0292</v>
      </c>
    </row>
    <row r="18" ht="15" customHeight="1" spans="1:34">
      <c r="A18" s="53"/>
      <c r="B18" s="54"/>
      <c r="C18" s="55"/>
      <c r="D18" s="55"/>
      <c r="E18" s="38" t="s">
        <v>59</v>
      </c>
      <c r="F18" s="37" t="s">
        <v>59</v>
      </c>
      <c r="G18" s="39" t="s">
        <v>59</v>
      </c>
      <c r="H18" s="40" t="s">
        <v>59</v>
      </c>
      <c r="K18" s="42" t="s">
        <v>59</v>
      </c>
      <c r="N18" s="40" t="s">
        <v>59</v>
      </c>
      <c r="Q18" s="42" t="s">
        <v>59</v>
      </c>
      <c r="T18" s="40" t="s">
        <v>59</v>
      </c>
      <c r="W18" s="42" t="s">
        <v>59</v>
      </c>
      <c r="Z18" s="40" t="s">
        <v>59</v>
      </c>
      <c r="AC18" s="42" t="s">
        <v>59</v>
      </c>
      <c r="AF18" s="56" t="s">
        <v>59</v>
      </c>
    </row>
    <row r="19" ht="15" customHeight="1" spans="1:34">
      <c r="A19" s="53"/>
      <c r="B19" s="54"/>
      <c r="C19" s="55"/>
      <c r="D19" s="55"/>
      <c r="E19" s="38" t="s">
        <v>59</v>
      </c>
      <c r="F19" s="37" t="s">
        <v>59</v>
      </c>
      <c r="G19" s="39" t="s">
        <v>59</v>
      </c>
      <c r="H19" s="40" t="s">
        <v>59</v>
      </c>
      <c r="K19" s="42" t="s">
        <v>59</v>
      </c>
      <c r="N19" s="40" t="s">
        <v>59</v>
      </c>
      <c r="Q19" s="42" t="s">
        <v>59</v>
      </c>
      <c r="T19" s="40" t="s">
        <v>59</v>
      </c>
      <c r="W19" s="42" t="s">
        <v>59</v>
      </c>
      <c r="Z19" s="40" t="s">
        <v>59</v>
      </c>
      <c r="AC19" s="42" t="s">
        <v>59</v>
      </c>
      <c r="AF19" s="56" t="s">
        <v>59</v>
      </c>
    </row>
    <row r="20" ht="15" customHeight="1" spans="1:34">
      <c r="A20" s="53"/>
      <c r="B20" s="54"/>
      <c r="C20" s="55"/>
      <c r="D20" s="55"/>
      <c r="E20" s="38" t="s">
        <v>59</v>
      </c>
      <c r="F20" s="37" t="s">
        <v>59</v>
      </c>
      <c r="G20" s="39" t="s">
        <v>59</v>
      </c>
      <c r="H20" s="40" t="s">
        <v>59</v>
      </c>
      <c r="K20" s="42" t="s">
        <v>59</v>
      </c>
      <c r="N20" s="40" t="s">
        <v>59</v>
      </c>
      <c r="Q20" s="42" t="s">
        <v>59</v>
      </c>
      <c r="T20" s="40" t="s">
        <v>59</v>
      </c>
      <c r="W20" s="42" t="s">
        <v>59</v>
      </c>
      <c r="Z20" s="40" t="s">
        <v>59</v>
      </c>
      <c r="AC20" s="42" t="s">
        <v>59</v>
      </c>
      <c r="AF20" s="56" t="s">
        <v>59</v>
      </c>
    </row>
    <row r="21" ht="15" customHeight="1" spans="1:34">
      <c r="A21" s="58" t="s">
        <v>104</v>
      </c>
      <c r="B21" s="54"/>
      <c r="C21" s="55"/>
      <c r="D21" s="55"/>
      <c r="E21" s="38" t="s">
        <v>59</v>
      </c>
      <c r="F21" s="37" t="s">
        <v>59</v>
      </c>
      <c r="G21" s="39" t="s">
        <v>59</v>
      </c>
      <c r="H21" s="40" t="s">
        <v>59</v>
      </c>
      <c r="K21" s="42" t="s">
        <v>59</v>
      </c>
      <c r="N21" s="40" t="s">
        <v>59</v>
      </c>
      <c r="Q21" s="42" t="s">
        <v>59</v>
      </c>
      <c r="T21" s="40" t="s">
        <v>59</v>
      </c>
      <c r="W21" s="42" t="s">
        <v>59</v>
      </c>
      <c r="Z21" s="40" t="s">
        <v>59</v>
      </c>
      <c r="AC21" s="42" t="s">
        <v>59</v>
      </c>
      <c r="AF21" s="56" t="s">
        <v>59</v>
      </c>
    </row>
    <row r="22" ht="15" customHeight="1" spans="1:34">
      <c r="A22" s="59" t="s">
        <v>154</v>
      </c>
      <c r="B22" s="54"/>
      <c r="C22" s="55"/>
      <c r="D22" s="55"/>
      <c r="E22" s="38" t="s">
        <v>59</v>
      </c>
      <c r="F22" s="37" t="s">
        <v>59</v>
      </c>
      <c r="G22" s="39" t="s">
        <v>59</v>
      </c>
      <c r="H22" s="40" t="s">
        <v>59</v>
      </c>
      <c r="K22" s="42" t="s">
        <v>59</v>
      </c>
      <c r="N22" s="40" t="s">
        <v>59</v>
      </c>
      <c r="Q22" s="42" t="s">
        <v>59</v>
      </c>
      <c r="T22" s="40" t="s">
        <v>59</v>
      </c>
      <c r="W22" s="42" t="s">
        <v>59</v>
      </c>
      <c r="Z22" s="40" t="s">
        <v>59</v>
      </c>
      <c r="AC22" s="42" t="s">
        <v>59</v>
      </c>
      <c r="AF22" s="56" t="s">
        <v>59</v>
      </c>
    </row>
  </sheetData>
  <mergeCells count="4">
    <mergeCell ref="A1:P1"/>
    <mergeCell ref="A2:P2"/>
    <mergeCell ref="O3:O4"/>
    <mergeCell ref="P3:P4"/>
  </mergeCells>
  <hyperlinks>
    <hyperlink ref="A13" r:id="rId4" display="JOÃO V. DEMELE"/>
    <hyperlink ref="A22" r:id="rId5" display="LUCIANO SANTELLI"/>
  </hyperlinks>
  <printOptions gridLines="1"/>
  <pageMargins left="0" right="0" top="0.393700787401575" bottom="0.393700787401575" header="0" footer="0"/>
  <pageSetup paperSize="9" scale="95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 moveWithCells="1" sizeWithCells="1">
                  <from>
                    <xdr:col>13</xdr:col>
                    <xdr:colOff>285750</xdr:colOff>
                    <xdr:row>0</xdr:row>
                    <xdr:rowOff>76200</xdr:rowOff>
                  </from>
                  <to>
                    <xdr:col>15</xdr:col>
                    <xdr:colOff>514350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7">
    <tabColor theme="2" tint="-0.249977111117893"/>
    <pageSetUpPr fitToPage="1"/>
  </sheetPr>
  <dimension ref="A1:AH17"/>
  <sheetViews>
    <sheetView workbookViewId="0">
      <selection activeCell="A1" sqref="A1:P1"/>
    </sheetView>
  </sheetViews>
  <sheetFormatPr defaultColWidth="0" defaultRowHeight="15.75" zeroHeight="1"/>
  <cols>
    <col min="1" max="1" width="39.5714285714286" style="1" customWidth="1"/>
    <col min="2" max="2" width="35.2857142857143" style="2" customWidth="1"/>
    <col min="3" max="4" width="6.71428571428571" style="3" customWidth="1"/>
    <col min="5" max="5" width="6.71428571428571" style="4" hidden="1" customWidth="1"/>
    <col min="6" max="7" width="6.71428571428571" style="4" customWidth="1"/>
    <col min="8" max="8" width="8.71428571428571" style="5" customWidth="1"/>
    <col min="9" max="10" width="12" style="5" customWidth="1"/>
    <col min="11" max="11" width="8.71428571428571" style="6" customWidth="1"/>
    <col min="12" max="13" width="12" style="6" customWidth="1"/>
    <col min="14" max="14" width="8.71428571428571" style="6" customWidth="1"/>
    <col min="15" max="16" width="12" style="6" customWidth="1"/>
    <col min="17" max="17" width="8.85714285714286" style="7" hidden="1" customWidth="1"/>
    <col min="18" max="19" width="12" style="7" customWidth="1"/>
    <col min="20" max="20" width="8.85714285714286" style="7" hidden="1" customWidth="1"/>
    <col min="21" max="22" width="12" style="7" customWidth="1"/>
    <col min="23" max="23" width="8.85714285714286" style="7" hidden="1" customWidth="1"/>
    <col min="24" max="25" width="12" style="7" customWidth="1"/>
    <col min="26" max="26" width="8.85714285714286" style="7" hidden="1" customWidth="1"/>
    <col min="27" max="28" width="12" style="7" customWidth="1"/>
    <col min="29" max="29" width="8.85714285714286" style="7" hidden="1" customWidth="1"/>
    <col min="30" max="31" width="12" style="7" customWidth="1"/>
    <col min="32" max="32" width="8.85714285714286" style="7" hidden="1" customWidth="1"/>
    <col min="33" max="34" width="12" style="7" customWidth="1"/>
    <col min="35" max="16384" width="8.85714285714286" style="7" hidden="1" customWidth="1"/>
  </cols>
  <sheetData>
    <row r="1" ht="54.75" customHeight="1" spans="1:34">
      <c r="A1" s="8" t="s">
        <v>33</v>
      </c>
      <c r="B1" s="9"/>
      <c r="C1" s="9"/>
      <c r="D1" s="9"/>
      <c r="E1" s="9"/>
      <c r="F1" s="9"/>
      <c r="G1" s="9"/>
      <c r="H1" s="9"/>
      <c r="K1" s="9"/>
      <c r="N1" s="9"/>
      <c r="Q1" s="9"/>
      <c r="T1" s="9"/>
      <c r="W1" s="9"/>
      <c r="Z1" s="9"/>
      <c r="AC1" s="9"/>
      <c r="AF1" s="10"/>
    </row>
    <row r="2" ht="20.1" customHeight="1" spans="1:34">
      <c r="A2" s="11" t="s">
        <v>34</v>
      </c>
      <c r="B2" s="12"/>
      <c r="C2" s="12"/>
      <c r="D2" s="12"/>
      <c r="E2" s="12"/>
      <c r="F2" s="12"/>
      <c r="G2" s="12"/>
      <c r="H2" s="12"/>
      <c r="K2" s="12"/>
      <c r="N2" s="12"/>
      <c r="Q2" s="12"/>
      <c r="T2" s="12"/>
      <c r="W2" s="12"/>
      <c r="Z2" s="12"/>
      <c r="AC2" s="12"/>
      <c r="AF2" s="13"/>
    </row>
    <row r="3" ht="6" customHeight="1" spans="1:34">
      <c r="A3" s="14"/>
      <c r="B3" s="15"/>
      <c r="C3" s="15"/>
      <c r="D3" s="15"/>
      <c r="E3" s="15"/>
      <c r="F3" s="15"/>
      <c r="G3" s="15"/>
      <c r="H3" s="15"/>
      <c r="K3" s="15"/>
      <c r="N3" s="15"/>
      <c r="Q3" s="15"/>
      <c r="T3" s="15"/>
      <c r="W3" s="15"/>
      <c r="Z3" s="15"/>
      <c r="AC3" s="104" t="s">
        <v>35</v>
      </c>
      <c r="AF3" s="17">
        <v>46234</v>
      </c>
    </row>
    <row r="4" ht="6" customHeight="1" spans="1:34">
      <c r="A4" s="18"/>
      <c r="B4" s="19"/>
      <c r="C4" s="20"/>
      <c r="D4" s="20"/>
      <c r="E4" s="21"/>
      <c r="F4" s="21"/>
      <c r="G4" s="21"/>
      <c r="H4" s="22"/>
      <c r="K4" s="22"/>
      <c r="N4" s="23"/>
      <c r="Q4" s="21"/>
      <c r="T4" s="21"/>
      <c r="W4" s="21"/>
      <c r="Z4" s="21"/>
      <c r="AC4" s="24"/>
      <c r="AF4" s="24"/>
    </row>
    <row r="5" ht="15" customHeight="1" spans="1:34">
      <c r="A5" s="25" t="s">
        <v>230</v>
      </c>
      <c r="B5" s="26" t="s">
        <v>37</v>
      </c>
      <c r="C5" s="27" t="s">
        <v>38</v>
      </c>
      <c r="D5" s="27" t="s">
        <v>39</v>
      </c>
      <c r="E5" s="28" t="s">
        <v>41</v>
      </c>
      <c r="F5" s="28" t="s">
        <v>42</v>
      </c>
      <c r="G5" s="29" t="s">
        <v>43</v>
      </c>
      <c r="H5" s="30" t="s">
        <v>44</v>
      </c>
      <c r="I5" s="31" t="s">
        <v>45</v>
      </c>
      <c r="J5" s="31" t="s">
        <v>46</v>
      </c>
      <c r="K5" s="30" t="s">
        <v>47</v>
      </c>
      <c r="L5" s="31" t="s">
        <v>45</v>
      </c>
      <c r="M5" s="31" t="s">
        <v>46</v>
      </c>
      <c r="N5" s="30" t="s">
        <v>48</v>
      </c>
      <c r="O5" s="31" t="s">
        <v>45</v>
      </c>
      <c r="P5" s="31" t="s">
        <v>46</v>
      </c>
      <c r="Q5" s="30" t="s">
        <v>49</v>
      </c>
      <c r="R5" s="31" t="s">
        <v>45</v>
      </c>
      <c r="S5" s="31" t="s">
        <v>46</v>
      </c>
      <c r="T5" s="30" t="s">
        <v>50</v>
      </c>
      <c r="U5" s="31" t="s">
        <v>45</v>
      </c>
      <c r="V5" s="31" t="s">
        <v>46</v>
      </c>
      <c r="W5" s="30" t="s">
        <v>51</v>
      </c>
      <c r="X5" s="31" t="s">
        <v>45</v>
      </c>
      <c r="Y5" s="31" t="s">
        <v>46</v>
      </c>
      <c r="Z5" s="30" t="s">
        <v>52</v>
      </c>
      <c r="AA5" s="31" t="s">
        <v>45</v>
      </c>
      <c r="AB5" s="31" t="s">
        <v>46</v>
      </c>
      <c r="AC5" s="30" t="s">
        <v>53</v>
      </c>
      <c r="AD5" s="31" t="s">
        <v>45</v>
      </c>
      <c r="AE5" s="31" t="s">
        <v>46</v>
      </c>
      <c r="AF5" s="32" t="s">
        <v>54</v>
      </c>
      <c r="AG5" s="33" t="s">
        <v>45</v>
      </c>
      <c r="AH5" s="33" t="s">
        <v>46</v>
      </c>
    </row>
    <row r="6" ht="15" customHeight="1" spans="1:34">
      <c r="A6" s="34"/>
      <c r="B6" s="35" t="s">
        <v>231</v>
      </c>
      <c r="C6" s="36">
        <v>2.8</v>
      </c>
      <c r="D6" s="36">
        <v>2.18</v>
      </c>
      <c r="E6" s="37">
        <v>6.104</v>
      </c>
      <c r="F6" s="38">
        <v>1.05</v>
      </c>
      <c r="G6" s="39">
        <v>18.2</v>
      </c>
      <c r="H6" s="40">
        <v>6471.579975</v>
      </c>
      <c r="I6" s="41">
        <f>H6/5</f>
        <v>1294.315995</v>
      </c>
      <c r="J6" s="41">
        <f>I6+2536.935</f>
        <v>3831.250995</v>
      </c>
      <c r="K6" s="42">
        <v>6635.4519</v>
      </c>
      <c r="L6" s="43">
        <f>K6/5</f>
        <v>1327.09038</v>
      </c>
      <c r="M6" s="43">
        <f>L6+2536.935</f>
        <v>3864.02538</v>
      </c>
      <c r="N6" s="40">
        <v>6892.964925</v>
      </c>
      <c r="O6" s="41">
        <f>N6/5</f>
        <v>1378.592985</v>
      </c>
      <c r="P6" s="41">
        <f>O6+2536.935</f>
        <v>3915.527985</v>
      </c>
      <c r="Q6" s="42">
        <v>7127.067675</v>
      </c>
      <c r="R6" s="43">
        <f>Q6/5</f>
        <v>1425.413535</v>
      </c>
      <c r="S6" s="43">
        <f>R6+2536.935</f>
        <v>3962.348535</v>
      </c>
      <c r="T6" s="40">
        <v>7384.5807</v>
      </c>
      <c r="U6" s="41">
        <f>T6/5</f>
        <v>1476.91614</v>
      </c>
      <c r="V6" s="41">
        <f>U6+2536.935</f>
        <v>4013.85114</v>
      </c>
      <c r="W6" s="42">
        <v>7642.093725</v>
      </c>
      <c r="X6" s="43">
        <f>W6/5</f>
        <v>1528.418745</v>
      </c>
      <c r="Y6" s="43">
        <f>X6+2536.935</f>
        <v>4065.353745</v>
      </c>
      <c r="Z6" s="40">
        <v>7899.60675</v>
      </c>
      <c r="AA6" s="41">
        <f>Z6/5</f>
        <v>1579.92135</v>
      </c>
      <c r="AB6" s="41">
        <f>AA6+2536.935</f>
        <v>4116.85635</v>
      </c>
      <c r="AC6" s="42">
        <v>8344.401975</v>
      </c>
      <c r="AD6" s="43">
        <f>AC6/5</f>
        <v>1668.880395</v>
      </c>
      <c r="AE6" s="43">
        <f>AD6+2536.935</f>
        <v>4205.815395</v>
      </c>
      <c r="AF6" s="44">
        <v>9070.1205</v>
      </c>
      <c r="AG6" s="45">
        <f>AF6/5</f>
        <v>1814.0241</v>
      </c>
      <c r="AH6" s="45">
        <f>AG6+2536.935</f>
        <v>4350.9591</v>
      </c>
    </row>
    <row r="7" ht="15" customHeight="1" spans="1:34">
      <c r="A7" s="34"/>
      <c r="B7" s="35"/>
      <c r="C7" s="36"/>
      <c r="D7" s="36"/>
      <c r="E7" s="37" t="s">
        <v>59</v>
      </c>
      <c r="F7" s="38" t="s">
        <v>59</v>
      </c>
      <c r="G7" s="39" t="s">
        <v>59</v>
      </c>
      <c r="H7" s="40" t="s">
        <v>59</v>
      </c>
      <c r="K7" s="42" t="s">
        <v>59</v>
      </c>
      <c r="N7" s="40" t="s">
        <v>59</v>
      </c>
      <c r="Q7" s="42" t="s">
        <v>59</v>
      </c>
      <c r="T7" s="40" t="s">
        <v>59</v>
      </c>
      <c r="W7" s="42" t="s">
        <v>59</v>
      </c>
      <c r="Z7" s="40" t="s">
        <v>59</v>
      </c>
      <c r="AC7" s="42" t="s">
        <v>59</v>
      </c>
      <c r="AF7" s="44" t="s">
        <v>59</v>
      </c>
    </row>
    <row r="8" ht="15" customHeight="1" spans="1:34">
      <c r="A8" s="34"/>
      <c r="B8" s="35"/>
      <c r="C8" s="36"/>
      <c r="D8" s="36"/>
      <c r="E8" s="37" t="s">
        <v>59</v>
      </c>
      <c r="F8" s="38" t="s">
        <v>59</v>
      </c>
      <c r="G8" s="39" t="s">
        <v>59</v>
      </c>
      <c r="H8" s="40" t="s">
        <v>59</v>
      </c>
      <c r="K8" s="42" t="s">
        <v>59</v>
      </c>
      <c r="N8" s="40" t="s">
        <v>59</v>
      </c>
      <c r="Q8" s="42" t="s">
        <v>59</v>
      </c>
      <c r="T8" s="40" t="s">
        <v>59</v>
      </c>
      <c r="W8" s="42" t="s">
        <v>59</v>
      </c>
      <c r="Z8" s="40" t="s">
        <v>59</v>
      </c>
      <c r="AC8" s="42" t="s">
        <v>59</v>
      </c>
      <c r="AF8" s="44" t="s">
        <v>59</v>
      </c>
    </row>
    <row r="9" ht="15" customHeight="1" spans="1:34">
      <c r="A9" s="34"/>
      <c r="B9" s="35" t="s">
        <v>232</v>
      </c>
      <c r="C9" s="36">
        <v>1</v>
      </c>
      <c r="D9" s="36">
        <v>1</v>
      </c>
      <c r="E9" s="37">
        <v>1</v>
      </c>
      <c r="F9" s="38" t="s">
        <v>59</v>
      </c>
      <c r="G9" s="39">
        <v>1</v>
      </c>
      <c r="H9" s="40">
        <v>383.94</v>
      </c>
      <c r="I9" s="41">
        <f>H9/5</f>
        <v>76.788</v>
      </c>
      <c r="J9" s="41">
        <f>I9+0</f>
        <v>76.788</v>
      </c>
      <c r="K9" s="42">
        <v>383.94</v>
      </c>
      <c r="L9" s="43">
        <f>K9/5</f>
        <v>76.788</v>
      </c>
      <c r="M9" s="43">
        <f>L9+0</f>
        <v>76.788</v>
      </c>
      <c r="N9" s="40">
        <v>383.94</v>
      </c>
      <c r="O9" s="41">
        <f>N9/5</f>
        <v>76.788</v>
      </c>
      <c r="P9" s="41">
        <f>O9+0</f>
        <v>76.788</v>
      </c>
      <c r="Q9" s="42">
        <v>383.94</v>
      </c>
      <c r="R9" s="43">
        <f>Q9/5</f>
        <v>76.788</v>
      </c>
      <c r="S9" s="43">
        <f>R9+0</f>
        <v>76.788</v>
      </c>
      <c r="T9" s="40">
        <v>383.94</v>
      </c>
      <c r="U9" s="41">
        <f>T9/5</f>
        <v>76.788</v>
      </c>
      <c r="V9" s="41">
        <f>U9+0</f>
        <v>76.788</v>
      </c>
      <c r="W9" s="42">
        <v>383.94</v>
      </c>
      <c r="X9" s="43">
        <f>W9/5</f>
        <v>76.788</v>
      </c>
      <c r="Y9" s="43">
        <f>X9+0</f>
        <v>76.788</v>
      </c>
      <c r="Z9" s="40">
        <v>383.94</v>
      </c>
      <c r="AA9" s="41">
        <f>Z9/5</f>
        <v>76.788</v>
      </c>
      <c r="AB9" s="41">
        <f>AA9+0</f>
        <v>76.788</v>
      </c>
      <c r="AC9" s="42">
        <v>383.94</v>
      </c>
      <c r="AD9" s="43">
        <f>AC9/5</f>
        <v>76.788</v>
      </c>
      <c r="AE9" s="43">
        <f>AD9+0</f>
        <v>76.788</v>
      </c>
      <c r="AF9" s="44">
        <v>383.94</v>
      </c>
      <c r="AG9" s="45">
        <f>AF9/5</f>
        <v>76.788</v>
      </c>
      <c r="AH9" s="45">
        <f>AG9+0</f>
        <v>76.788</v>
      </c>
    </row>
    <row r="10" ht="15" customHeight="1" spans="1:34">
      <c r="A10" s="34"/>
      <c r="B10" s="35"/>
      <c r="C10" s="36"/>
      <c r="D10" s="36"/>
      <c r="E10" s="37" t="s">
        <v>59</v>
      </c>
      <c r="F10" s="38" t="s">
        <v>59</v>
      </c>
      <c r="G10" s="39" t="s">
        <v>59</v>
      </c>
      <c r="H10" s="40" t="s">
        <v>59</v>
      </c>
      <c r="K10" s="42" t="s">
        <v>59</v>
      </c>
      <c r="N10" s="40" t="s">
        <v>59</v>
      </c>
      <c r="Q10" s="42" t="s">
        <v>59</v>
      </c>
      <c r="T10" s="40" t="s">
        <v>59</v>
      </c>
      <c r="W10" s="42" t="s">
        <v>59</v>
      </c>
      <c r="Z10" s="40" t="s">
        <v>59</v>
      </c>
      <c r="AC10" s="42" t="s">
        <v>59</v>
      </c>
      <c r="AF10" s="44" t="s">
        <v>59</v>
      </c>
    </row>
    <row r="11" ht="15" customHeight="1" spans="1:34">
      <c r="A11" s="34"/>
      <c r="B11" s="35"/>
      <c r="C11" s="36"/>
      <c r="D11" s="36"/>
      <c r="E11" s="37" t="s">
        <v>59</v>
      </c>
      <c r="F11" s="38" t="s">
        <v>59</v>
      </c>
      <c r="G11" s="39" t="s">
        <v>59</v>
      </c>
      <c r="H11" s="40" t="s">
        <v>59</v>
      </c>
      <c r="K11" s="42" t="s">
        <v>59</v>
      </c>
      <c r="N11" s="40" t="s">
        <v>59</v>
      </c>
      <c r="Q11" s="42" t="s">
        <v>59</v>
      </c>
      <c r="T11" s="40" t="s">
        <v>59</v>
      </c>
      <c r="W11" s="42" t="s">
        <v>59</v>
      </c>
      <c r="Z11" s="40" t="s">
        <v>59</v>
      </c>
      <c r="AC11" s="42" t="s">
        <v>59</v>
      </c>
      <c r="AF11" s="44" t="s">
        <v>59</v>
      </c>
    </row>
    <row r="12" ht="15" customHeight="1" spans="1:34">
      <c r="A12" s="34"/>
      <c r="B12" s="35"/>
      <c r="C12" s="36"/>
      <c r="D12" s="36"/>
      <c r="E12" s="37" t="s">
        <v>59</v>
      </c>
      <c r="F12" s="38" t="s">
        <v>59</v>
      </c>
      <c r="G12" s="39" t="s">
        <v>59</v>
      </c>
      <c r="H12" s="40" t="s">
        <v>59</v>
      </c>
      <c r="K12" s="42" t="s">
        <v>59</v>
      </c>
      <c r="N12" s="40" t="s">
        <v>59</v>
      </c>
      <c r="Q12" s="42" t="s">
        <v>59</v>
      </c>
      <c r="T12" s="40" t="s">
        <v>59</v>
      </c>
      <c r="W12" s="42" t="s">
        <v>59</v>
      </c>
      <c r="Z12" s="40" t="s">
        <v>59</v>
      </c>
      <c r="AC12" s="42" t="s">
        <v>59</v>
      </c>
      <c r="AF12" s="44" t="s">
        <v>59</v>
      </c>
    </row>
    <row r="13" ht="15" customHeight="1" spans="1:34">
      <c r="A13" s="34"/>
      <c r="B13" s="35"/>
      <c r="C13" s="36"/>
      <c r="D13" s="36"/>
      <c r="E13" s="37" t="s">
        <v>59</v>
      </c>
      <c r="F13" s="38" t="s">
        <v>59</v>
      </c>
      <c r="G13" s="39" t="s">
        <v>59</v>
      </c>
      <c r="H13" s="40" t="s">
        <v>59</v>
      </c>
      <c r="K13" s="42" t="s">
        <v>59</v>
      </c>
      <c r="N13" s="40" t="s">
        <v>59</v>
      </c>
      <c r="Q13" s="42" t="s">
        <v>59</v>
      </c>
      <c r="T13" s="40" t="s">
        <v>59</v>
      </c>
      <c r="W13" s="42" t="s">
        <v>59</v>
      </c>
      <c r="Z13" s="40" t="s">
        <v>59</v>
      </c>
      <c r="AC13" s="42" t="s">
        <v>59</v>
      </c>
      <c r="AF13" s="44" t="s">
        <v>59</v>
      </c>
    </row>
    <row r="14" ht="15" customHeight="1" spans="1:34">
      <c r="A14" s="46" t="s">
        <v>111</v>
      </c>
      <c r="B14" s="35"/>
      <c r="C14" s="36"/>
      <c r="D14" s="36"/>
      <c r="E14" s="37" t="s">
        <v>59</v>
      </c>
      <c r="F14" s="38" t="s">
        <v>59</v>
      </c>
      <c r="G14" s="39" t="s">
        <v>59</v>
      </c>
      <c r="H14" s="40" t="s">
        <v>59</v>
      </c>
      <c r="K14" s="42" t="s">
        <v>59</v>
      </c>
      <c r="N14" s="40" t="s">
        <v>59</v>
      </c>
      <c r="Q14" s="42" t="s">
        <v>59</v>
      </c>
      <c r="T14" s="40" t="s">
        <v>59</v>
      </c>
      <c r="W14" s="42" t="s">
        <v>59</v>
      </c>
      <c r="Z14" s="40" t="s">
        <v>59</v>
      </c>
      <c r="AC14" s="42" t="s">
        <v>59</v>
      </c>
      <c r="AF14" s="44" t="s">
        <v>59</v>
      </c>
    </row>
    <row r="15" ht="15" customHeight="1" spans="1:34">
      <c r="A15" s="34"/>
      <c r="B15" s="35"/>
      <c r="C15" s="36"/>
      <c r="D15" s="36"/>
      <c r="E15" s="37" t="s">
        <v>59</v>
      </c>
      <c r="F15" s="38" t="s">
        <v>59</v>
      </c>
      <c r="G15" s="39" t="s">
        <v>59</v>
      </c>
      <c r="H15" s="40" t="s">
        <v>59</v>
      </c>
      <c r="K15" s="42" t="s">
        <v>59</v>
      </c>
      <c r="N15" s="40" t="s">
        <v>59</v>
      </c>
      <c r="Q15" s="42" t="s">
        <v>59</v>
      </c>
      <c r="T15" s="40" t="s">
        <v>59</v>
      </c>
      <c r="W15" s="42" t="s">
        <v>59</v>
      </c>
      <c r="Z15" s="40" t="s">
        <v>59</v>
      </c>
      <c r="AC15" s="42" t="s">
        <v>59</v>
      </c>
      <c r="AF15" s="44" t="s">
        <v>59</v>
      </c>
    </row>
    <row r="16" ht="15" customHeight="1" spans="1:34">
      <c r="A16" s="34"/>
      <c r="B16" s="35"/>
      <c r="C16" s="36"/>
      <c r="D16" s="36"/>
      <c r="E16" s="37" t="s">
        <v>59</v>
      </c>
      <c r="F16" s="38" t="s">
        <v>59</v>
      </c>
      <c r="G16" s="39" t="s">
        <v>59</v>
      </c>
      <c r="H16" s="40" t="s">
        <v>59</v>
      </c>
      <c r="K16" s="42" t="s">
        <v>59</v>
      </c>
      <c r="N16" s="40" t="s">
        <v>59</v>
      </c>
      <c r="Q16" s="42" t="s">
        <v>59</v>
      </c>
      <c r="T16" s="40" t="s">
        <v>59</v>
      </c>
      <c r="W16" s="42" t="s">
        <v>59</v>
      </c>
      <c r="Z16" s="40" t="s">
        <v>59</v>
      </c>
      <c r="AC16" s="42" t="s">
        <v>59</v>
      </c>
      <c r="AF16" s="44" t="s">
        <v>59</v>
      </c>
    </row>
    <row r="17" ht="15" customHeight="1" spans="1:32">
      <c r="A17" s="47"/>
      <c r="B17" s="35"/>
      <c r="C17" s="36"/>
      <c r="D17" s="36"/>
      <c r="E17" s="37" t="s">
        <v>59</v>
      </c>
      <c r="F17" s="38" t="s">
        <v>59</v>
      </c>
      <c r="G17" s="39" t="s">
        <v>59</v>
      </c>
      <c r="H17" s="40" t="s">
        <v>59</v>
      </c>
      <c r="K17" s="42" t="s">
        <v>59</v>
      </c>
      <c r="N17" s="40" t="s">
        <v>59</v>
      </c>
      <c r="Q17" s="42" t="s">
        <v>59</v>
      </c>
      <c r="T17" s="40" t="s">
        <v>59</v>
      </c>
      <c r="W17" s="42" t="s">
        <v>59</v>
      </c>
      <c r="Z17" s="40" t="s">
        <v>59</v>
      </c>
      <c r="AC17" s="42" t="s">
        <v>59</v>
      </c>
      <c r="AF17" s="44" t="s">
        <v>59</v>
      </c>
    </row>
  </sheetData>
  <mergeCells count="4">
    <mergeCell ref="A1:P1"/>
    <mergeCell ref="A2:P2"/>
    <mergeCell ref="O3:O4"/>
    <mergeCell ref="P3:P4"/>
  </mergeCells>
  <printOptions gridLines="1"/>
  <pageMargins left="0" right="0" top="0.393700787401575" bottom="0.393700787401575" header="0" footer="0"/>
  <pageSetup paperSize="9" scale="81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025" r:id="rId3">
              <controlPr print="0" defaultSize="0">
                <anchor moveWithCells="1" sizeWithCells="1">
                  <from>
                    <xdr:col>13</xdr:col>
                    <xdr:colOff>285750</xdr:colOff>
                    <xdr:row>0</xdr:row>
                    <xdr:rowOff>66675</xdr:rowOff>
                  </from>
                  <to>
                    <xdr:col>15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Capa</vt:lpstr>
      <vt:lpstr>Informações</vt:lpstr>
      <vt:lpstr>Karam´s Estofados</vt:lpstr>
      <vt:lpstr>Karam´s Poltronas</vt:lpstr>
      <vt:lpstr>Karam´s Puff e Almofadas</vt:lpstr>
      <vt:lpstr>Karam´s Camas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dcterms:created xsi:type="dcterms:W3CDTF">2011-02-11T18:55:00Z</dcterms:created>
  <cp:lastPrinted>2026-02-17T20:20:00Z</cp:lastPrinted>
  <dcterms:modified xsi:type="dcterms:W3CDTF">2026-08-04T19:33:47Z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ACBE79D7772048538F243F40229F6D30_12</vt:lpwstr>
  </property>
  <property fmtid="{D5CDD505-2E9C-101B-9397-08002B2CF9AE}" pid="3" name="KSOProductBuildVer">
    <vt:lpwstr>1046-12.1.0.28032</vt:lpwstr>
  </property>
  <property fmtid="{D5CDD505-2E9C-101B-9397-08002B2CF9AE}" pid="4" name="CalculationRule">
    <vt:i4>0</vt:i4>
  </property>
</Properties>
</file>