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Estofados KARAMS" sheetId="1" r:id="rId1"/>
    <sheet name="POLTRONA KARAMS" sheetId="2" r:id="rId2"/>
    <sheet name="COMPLEMEN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<sst xmlns="http://schemas.openxmlformats.org/spreadsheetml/2006/main" count="192" uniqueCount="64">
  <si>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</si>
  <si>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</si>
  <si>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</si>
  <si>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</si>
  <si>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</si>
  <si>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</si>
  <si>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</si>
  <si>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</si>
  <si>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Módulo (1Ass:110 - 1Me:055)</t>
  </si>
  <si>
    <t>Módulo (2Ass:110 - 1Br:020)</t>
  </si>
  <si>
    <t>Puff 1,10 com mesa 0,55</t>
  </si>
  <si>
    <t>Puff 1,10 x 0,80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</si>
  <si>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</si>
  <si>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</si>
  <si>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</si>
  <si>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</si>
  <si>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</si>
  <si>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</si>
  <si>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</si>
  <si>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</si>
  <si>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</si>
  <si>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</si>
  <si>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(1Ass:235 - 1Me:030)</t>
  </si>
  <si>
    <t>TECIDO: SK1390 / BASE: MEL</t>
  </si>
  <si>
    <t>MEDIDA TOTAL: 480 X 175</t>
  </si>
  <si>
    <t>PÉS: -</t>
  </si>
  <si>
    <t>ESTOFADO MIWA</t>
  </si>
  <si>
    <t>G1</t>
  </si>
  <si>
    <t>Tapeçado - Bipartido (1Ass:246 - 2Br:20) - 8 Almofadas</t>
  </si>
  <si>
    <t>TECIDO: SK1397 /  ACAB:CARVALHO</t>
  </si>
  <si>
    <t>MEDIDA TOTAL: 3,00</t>
  </si>
  <si>
    <t>CAPA: SK3195</t>
  </si>
  <si>
    <t>ESTOFADO MOA</t>
  </si>
  <si>
    <t>Bipartido (2Ass:130 - 2Br:015)</t>
  </si>
  <si>
    <t>TECIDO: SK4184 / ACAB: MEL</t>
  </si>
  <si>
    <t>MEDIDA TOTAL: 2,90</t>
  </si>
  <si>
    <t>ESTOFADO NINHO</t>
  </si>
  <si>
    <t>Modulo (1Ass:137 - 1Br:023)</t>
  </si>
  <si>
    <t>Poltrona</t>
  </si>
  <si>
    <t>TECIDO: SK5111 / ACAB: IMBUIA</t>
  </si>
  <si>
    <t>MEDIDA TOTAL: 3,20</t>
  </si>
  <si>
    <t>ESTOFADO TIBAGI</t>
  </si>
  <si>
    <t>Modulo (1Ass:095 - 1Br:25)</t>
  </si>
  <si>
    <t>Modulo Curvo</t>
  </si>
  <si>
    <t>TECIDO: SK5134 / ACAB: IMBUIA</t>
  </si>
  <si>
    <t>MEDIDA TOTAL: 450</t>
  </si>
  <si>
    <t>ESTOFADO ZENITH</t>
  </si>
  <si>
    <t>MECANISMO 3 ASS</t>
  </si>
  <si>
    <t>Módulo (1Ass:110 - S/br)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</si>
  <si>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</si>
  <si>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</si>
  <si>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</si>
  <si>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</si>
  <si>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</si>
  <si>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</si>
  <si>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</si>
  <si>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SEMENTE</t>
  </si>
  <si>
    <t>BANCO TOAD</t>
  </si>
  <si>
    <t>Puff</t>
  </si>
  <si>
    <t>BANCO TORUS</t>
  </si>
  <si>
    <t>Banco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</si>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</sst>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 &quot;#,##0.00"/>
  </numFmts>
  <fonts count="26">
    <font>
      <sz val="11"/>
      <name val="Aptos Narrow"/>
      <charset val="134"/>
    </font>
    <font>
      <sz val="9"/>
      <name val="Calibri"/>
      <charset val="134"/>
    </font>
    <font>
      <b/>
      <sz val="10"/>
      <name val="Calibri"/>
      <charset val="134"/>
    </font>
    <font>
      <b/>
      <sz val="11"/>
      <name val="Calibri"/>
      <charset val="134"/>
    </font>
    <font>
      <sz val="10"/>
      <name val="Calibri"/>
      <charset val="134"/>
    </font>
    <font>
      <b/>
      <sz val="14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80" fontId="3" fillId="2" borderId="3" xfId="0" applyNumberFormat="1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4" fillId="0" borderId="5" xfId="0" applyFont="1" applyBorder="1" applyAlignment="1">
      <alignment vertical="center"/>
    </xf>
    <xf numFmtId="4" fontId="4" fillId="0" borderId="6" xfId="0" applyNumberFormat="1" applyFont="1" applyBorder="1" applyAlignment="1">
      <alignment horizontal="center" vertical="center"/>
    </xf>
    <xf numFmtId="180" fontId="4" fillId="0" borderId="6" xfId="0" applyNumberFormat="1" applyFont="1" applyBorder="1" applyAlignment="1">
      <alignment horizontal="center" vertical="center"/>
    </xf>
    <xf numFmtId="180" fontId="4" fillId="0" borderId="4" xfId="0" applyNumberFormat="1" applyFont="1" applyBorder="1" applyAlignment="1">
      <alignment horizontal="center" vertical="center"/>
    </xf>
    <xf numFmtId="4" fontId="1" fillId="0" borderId="0" xfId="0" applyNumberFormat="1" applyFont="1"/>
    <xf numFmtId="180" fontId="1" fillId="0" borderId="0" xfId="0" applyNumberFormat="1" applyFont="1"/>
    <xf numFmtId="0" fontId="1" fillId="0" borderId="1" xfId="0" applyFont="1" applyBorder="1"/>
    <xf numFmtId="0" fontId="4" fillId="0" borderId="2" xfId="0" applyFont="1" applyBorder="1" applyAlignment="1">
      <alignment vertical="center"/>
    </xf>
    <xf numFmtId="4" fontId="4" fillId="0" borderId="3" xfId="0" applyNumberFormat="1" applyFont="1" applyBorder="1" applyAlignment="1">
      <alignment horizontal="center" vertical="center"/>
    </xf>
    <xf numFmtId="180" fontId="4" fillId="0" borderId="3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/>
    <xf numFmtId="4" fontId="1" fillId="0" borderId="1" xfId="0" applyNumberFormat="1" applyFont="1" applyBorder="1"/>
    <xf numFmtId="4" fontId="5" fillId="0" borderId="1" xfId="0" applyNumberFormat="1" applyFont="1" applyBorder="1" applyAlignment="1">
      <alignment horizontal="center" vertical="center"/>
    </xf>
    <xf numFmtId="180" fontId="5" fillId="0" borderId="3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1" fillId="0" borderId="5" xfId="0" applyFont="1" applyBorder="1"/>
    <xf numFmtId="4" fontId="1" fillId="0" borderId="4" xfId="0" applyNumberFormat="1" applyFont="1" applyBorder="1"/>
    <xf numFmtId="180" fontId="1" fillId="0" borderId="6" xfId="0" applyNumberFormat="1" applyFont="1" applyBorder="1"/>
    <xf numFmtId="180" fontId="1" fillId="0" borderId="4" xfId="0" applyNumberFormat="1" applyFont="1" applyBorder="1"/>
    <xf numFmtId="0" fontId="2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57150</xdr:colOff>
      <xdr:row>1</xdr:row>
      <xdr:rowOff>1000125</xdr:rowOff>
    </xdr:from>
    <xdr:ext cx="2381250" cy="981075"/>
    <xdr:pic>
      <xdr:nvPicPr>
        <xdr:cNvPr id="3" name="PicC_394_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57150" y="596900"/>
          <a:ext cx="2381250" cy="9810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428625</xdr:rowOff>
    </xdr:from>
    <xdr:ext cx="2381250" cy="1019175"/>
    <xdr:pic>
      <xdr:nvPicPr>
        <xdr:cNvPr id="4" name="PicC_440_18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57150" y="4387850"/>
          <a:ext cx="2381250" cy="1019175"/>
        </a:xfrm>
        <a:prstGeom prst="rect">
          <a:avLst/>
        </a:prstGeom>
      </xdr:spPr>
    </xdr:pic>
    <xdr:clientData/>
  </xdr:oneCellAnchor>
  <xdr:oneCellAnchor>
    <xdr:from>
      <xdr:col>0</xdr:col>
      <xdr:colOff>819150</xdr:colOff>
      <xdr:row>29</xdr:row>
      <xdr:rowOff>19050</xdr:rowOff>
    </xdr:from>
    <xdr:ext cx="847725" cy="1162050"/>
    <xdr:pic>
      <xdr:nvPicPr>
        <xdr:cNvPr id="5" name="PicC_733_29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819150" y="6477000"/>
          <a:ext cx="847725" cy="11620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</xdr:row>
      <xdr:rowOff>76200</xdr:rowOff>
    </xdr:from>
    <xdr:ext cx="2381250" cy="762000"/>
    <xdr:pic>
      <xdr:nvPicPr>
        <xdr:cNvPr id="6" name="PicC_548_38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57150" y="8324850"/>
          <a:ext cx="2381250" cy="76200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46</xdr:row>
      <xdr:rowOff>19050</xdr:rowOff>
    </xdr:from>
    <xdr:ext cx="1381125" cy="1438275"/>
    <xdr:pic>
      <xdr:nvPicPr>
        <xdr:cNvPr id="7" name="PicC_734_46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552450" y="9779000"/>
          <a:ext cx="1381125" cy="14382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56</xdr:row>
      <xdr:rowOff>57150</xdr:rowOff>
    </xdr:from>
    <xdr:ext cx="2381250" cy="1352550"/>
    <xdr:pic>
      <xdr:nvPicPr>
        <xdr:cNvPr id="8" name="PicC_735_5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57150" y="11887200"/>
          <a:ext cx="2381250" cy="13525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66</xdr:row>
      <xdr:rowOff>400050</xdr:rowOff>
    </xdr:from>
    <xdr:ext cx="2381250" cy="1028700"/>
    <xdr:pic>
      <xdr:nvPicPr>
        <xdr:cNvPr id="9" name="PicC_550_66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57150" y="14179550"/>
          <a:ext cx="2381250" cy="1028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name="PicC_551_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19125" y="336550"/>
          <a:ext cx="1247775" cy="904875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name="PicC_736_4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609600" y="1949450"/>
          <a:ext cx="1266825" cy="904875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name="PicC_737_7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685800" y="3562350"/>
          <a:ext cx="1123950" cy="904875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10</xdr:row>
      <xdr:rowOff>19050</xdr:rowOff>
    </xdr:from>
    <xdr:ext cx="1162050" cy="904875"/>
    <xdr:pic>
      <xdr:nvPicPr>
        <xdr:cNvPr id="6" name="PicC_739_10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666750" y="5175250"/>
          <a:ext cx="1162050" cy="9048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447675</xdr:colOff>
      <xdr:row>1</xdr:row>
      <xdr:rowOff>19050</xdr:rowOff>
    </xdr:from>
    <xdr:ext cx="1600200" cy="904875"/>
    <xdr:pic>
      <xdr:nvPicPr>
        <xdr:cNvPr id="3" name="PicC_530_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47675" y="336550"/>
          <a:ext cx="1600200" cy="904875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4</xdr:row>
      <xdr:rowOff>19050</xdr:rowOff>
    </xdr:from>
    <xdr:ext cx="1428750" cy="904875"/>
    <xdr:pic>
      <xdr:nvPicPr>
        <xdr:cNvPr id="4" name="PicC_731_4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533400" y="1949450"/>
          <a:ext cx="1428750" cy="9048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990600</xdr:rowOff>
    </xdr:from>
    <xdr:ext cx="2381250" cy="1247775"/>
    <xdr:pic>
      <xdr:nvPicPr>
        <xdr:cNvPr id="5" name="PicC_732_7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57150" y="4533900"/>
          <a:ext cx="238125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abSelected="1" workbookViewId="0">
      <selection activeCell="A1" sqref="A1"/>
    </sheetView>
  </sheetViews>
  <sheetFormatPr defaultColWidth="9" defaultRowHeight="12"/>
  <cols>
    <col min="1" max="1" width="35" style="1" customWidth="1"/>
    <col min="2" max="2" width="45" style="1" customWidth="1"/>
    <col min="3" max="5" width="10" style="1" customWidth="1"/>
    <col min="6" max="6" width="15.25" style="1" customWidth="1"/>
    <col min="7" max="7" width="16" style="1" customWidth="1"/>
    <col min="8" max="8" width="15.25" style="1" customWidth="1"/>
    <col min="9" max="9" width="16" style="1" customWidth="1"/>
    <col min="10" max="16384" width="9.14166666666667" style="1" customWidth="1"/>
  </cols>
  <sheetData>
    <row r="1" ht="25" customHeight="1" spans="1:9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5</v>
      </c>
      <c r="I1" s="6" t="s">
        <v>6</v>
      </c>
    </row>
    <row r="2" ht="22" customHeight="1" spans="1:9">
      <c r="A2" s="14"/>
      <c r="B2" s="15" t="s">
        <v>7</v>
      </c>
      <c r="C2" s="16">
        <v>0.8</v>
      </c>
      <c r="D2" s="16">
        <v>0.2</v>
      </c>
      <c r="E2" s="16">
        <v>0.45</v>
      </c>
      <c r="F2" s="17">
        <v>252.94</v>
      </c>
      <c r="G2" s="17">
        <v>169</v>
      </c>
      <c r="H2" s="17">
        <f t="shared" ref="H2:H9" si="0">F2*0.85</f>
        <v>214.999</v>
      </c>
      <c r="I2" s="18">
        <f t="shared" ref="I2:I9" si="1">G2*0.85</f>
        <v>143.65</v>
      </c>
    </row>
    <row r="3" ht="22" customHeight="1" spans="1:9">
      <c r="A3" s="14"/>
      <c r="B3" s="15" t="s">
        <v>7</v>
      </c>
      <c r="C3" s="16">
        <v>0.8</v>
      </c>
      <c r="D3" s="16">
        <v>0.2</v>
      </c>
      <c r="E3" s="16">
        <v>0.45</v>
      </c>
      <c r="F3" s="17">
        <v>252.94</v>
      </c>
      <c r="G3" s="17">
        <v>169</v>
      </c>
      <c r="H3" s="17">
        <f t="shared" si="0"/>
        <v>214.999</v>
      </c>
      <c r="I3" s="18">
        <f t="shared" si="1"/>
        <v>143.65</v>
      </c>
    </row>
    <row r="4" ht="22" customHeight="1" spans="1:9">
      <c r="A4" s="14"/>
      <c r="B4" s="15" t="s">
        <v>7</v>
      </c>
      <c r="C4" s="16">
        <v>0.8</v>
      </c>
      <c r="D4" s="16">
        <v>0.2</v>
      </c>
      <c r="E4" s="16">
        <v>0.45</v>
      </c>
      <c r="F4" s="17">
        <v>252.94</v>
      </c>
      <c r="G4" s="17">
        <v>169</v>
      </c>
      <c r="H4" s="17">
        <f t="shared" si="0"/>
        <v>214.999</v>
      </c>
      <c r="I4" s="18">
        <f t="shared" si="1"/>
        <v>143.65</v>
      </c>
    </row>
    <row r="5" ht="22" customHeight="1" spans="1:9">
      <c r="A5" s="14"/>
      <c r="B5" s="15" t="s">
        <v>8</v>
      </c>
      <c r="C5" s="16">
        <v>1.65</v>
      </c>
      <c r="D5" s="16">
        <v>1.08</v>
      </c>
      <c r="E5" s="16">
        <v>0.86</v>
      </c>
      <c r="F5" s="17">
        <v>2893.13</v>
      </c>
      <c r="G5" s="17">
        <v>2473.92</v>
      </c>
      <c r="H5" s="17">
        <f t="shared" si="0"/>
        <v>2459.1605</v>
      </c>
      <c r="I5" s="18">
        <f t="shared" si="1"/>
        <v>2102.832</v>
      </c>
    </row>
    <row r="6" ht="22" customHeight="1" spans="1:9">
      <c r="A6" s="14"/>
      <c r="B6" s="15" t="s">
        <v>9</v>
      </c>
      <c r="C6" s="16">
        <v>2.4</v>
      </c>
      <c r="D6" s="16">
        <v>1.08</v>
      </c>
      <c r="E6" s="16">
        <v>0.86</v>
      </c>
      <c r="F6" s="17">
        <v>4607.01</v>
      </c>
      <c r="G6" s="17">
        <v>3869.66</v>
      </c>
      <c r="H6" s="17">
        <f t="shared" si="0"/>
        <v>3915.9585</v>
      </c>
      <c r="I6" s="18">
        <f t="shared" si="1"/>
        <v>3289.211</v>
      </c>
    </row>
    <row r="7" ht="22" customHeight="1" spans="1:9">
      <c r="A7" s="14"/>
      <c r="B7" s="15" t="s">
        <v>10</v>
      </c>
      <c r="C7" s="16">
        <v>1.65</v>
      </c>
      <c r="D7" s="16">
        <v>0.8</v>
      </c>
      <c r="E7" s="16">
        <v>0.45</v>
      </c>
      <c r="F7" s="17">
        <v>1850.66</v>
      </c>
      <c r="G7" s="17">
        <v>1700.27</v>
      </c>
      <c r="H7" s="17">
        <f t="shared" si="0"/>
        <v>1573.061</v>
      </c>
      <c r="I7" s="18">
        <f t="shared" si="1"/>
        <v>1445.2295</v>
      </c>
    </row>
    <row r="8" ht="22" customHeight="1" spans="1:9">
      <c r="A8" s="14"/>
      <c r="B8" s="15" t="s">
        <v>11</v>
      </c>
      <c r="C8" s="16">
        <v>1.1</v>
      </c>
      <c r="D8" s="16">
        <v>0.8</v>
      </c>
      <c r="E8" s="16">
        <v>0.45</v>
      </c>
      <c r="F8" s="17">
        <v>1577.09</v>
      </c>
      <c r="G8" s="17">
        <v>1388.22</v>
      </c>
      <c r="H8" s="17">
        <f t="shared" si="0"/>
        <v>1340.5265</v>
      </c>
      <c r="I8" s="18">
        <f t="shared" si="1"/>
        <v>1179.987</v>
      </c>
    </row>
    <row r="9" ht="22" customHeight="1" spans="1:9">
      <c r="A9" s="14"/>
      <c r="B9" s="8" t="s">
        <v>11</v>
      </c>
      <c r="C9" s="9">
        <v>1.1</v>
      </c>
      <c r="D9" s="9">
        <v>0.8</v>
      </c>
      <c r="E9" s="9">
        <v>0.45</v>
      </c>
      <c r="F9" s="10">
        <v>1577.09</v>
      </c>
      <c r="G9" s="10">
        <v>1388.22</v>
      </c>
      <c r="H9" s="10">
        <f t="shared" si="0"/>
        <v>1340.5265</v>
      </c>
      <c r="I9" s="11">
        <f t="shared" si="1"/>
        <v>1179.987</v>
      </c>
    </row>
    <row r="10" spans="1:9">
      <c r="A10" s="14"/>
      <c r="C10" s="12"/>
      <c r="D10" s="12"/>
      <c r="E10" s="12"/>
      <c r="F10" s="13"/>
      <c r="G10" s="13"/>
      <c r="H10" s="13"/>
      <c r="I10" s="13"/>
    </row>
    <row r="11" spans="1:9">
      <c r="A11" s="14"/>
      <c r="B11" s="19" t="s">
        <v>12</v>
      </c>
      <c r="C11" s="20" t="s">
        <v>13</v>
      </c>
      <c r="D11" s="12"/>
      <c r="E11" s="12"/>
      <c r="F11" s="13"/>
      <c r="G11" s="13"/>
      <c r="H11" s="13"/>
      <c r="I11" s="13"/>
    </row>
    <row r="12" spans="1:9">
      <c r="A12" s="14"/>
      <c r="B12" s="21"/>
      <c r="C12" s="22"/>
      <c r="D12" s="12"/>
      <c r="E12" s="12"/>
      <c r="F12" s="13"/>
      <c r="G12" s="13"/>
      <c r="H12" s="13"/>
      <c r="I12" s="13"/>
    </row>
    <row r="13" spans="1:9">
      <c r="A13" s="14"/>
      <c r="B13" s="19" t="s">
        <v>14</v>
      </c>
      <c r="C13" s="23" t="s">
        <v>15</v>
      </c>
      <c r="D13" s="12"/>
      <c r="E13" s="12"/>
      <c r="F13" s="24">
        <f>SUM(F2:F9)</f>
        <v>13263.8</v>
      </c>
      <c r="G13" s="24">
        <f>SUM(G2:G9)</f>
        <v>11327.29</v>
      </c>
      <c r="H13" s="24">
        <f>SUM(H2:H9)</f>
        <v>11274.23</v>
      </c>
      <c r="I13" s="25">
        <f>SUM(I2:I9)</f>
        <v>9628.1965</v>
      </c>
    </row>
    <row r="14" spans="1:9">
      <c r="A14" s="7"/>
      <c r="B14" s="26"/>
      <c r="C14" s="27"/>
      <c r="D14" s="12"/>
      <c r="E14" s="12"/>
      <c r="F14" s="28"/>
      <c r="G14" s="28"/>
      <c r="H14" s="28"/>
      <c r="I14" s="29"/>
    </row>
    <row r="15" ht="12.75" spans="1:9">
      <c r="A15" s="30" t="s">
        <v>16</v>
      </c>
      <c r="C15" s="12"/>
      <c r="D15" s="12"/>
      <c r="E15" s="12"/>
      <c r="F15" s="13"/>
      <c r="G15" s="13"/>
      <c r="H15" s="13"/>
      <c r="I15" s="13"/>
    </row>
    <row r="16" ht="12.75" spans="1:9">
      <c r="A16" s="30" t="s">
        <v>17</v>
      </c>
      <c r="C16" s="12"/>
      <c r="D16" s="12"/>
      <c r="E16" s="12"/>
      <c r="F16" s="13"/>
      <c r="G16" s="13"/>
      <c r="H16" s="13"/>
      <c r="I16" s="13"/>
    </row>
    <row r="17" spans="1:9">
      <c r="C17" s="12"/>
      <c r="D17" s="12"/>
      <c r="E17" s="12"/>
      <c r="F17" s="13"/>
      <c r="G17" s="13"/>
      <c r="H17" s="13"/>
      <c r="I17" s="13"/>
    </row>
    <row r="18" ht="25" customHeight="1" spans="1:9">
      <c r="A18" s="2" t="s">
        <v>18</v>
      </c>
      <c r="B18" s="3" t="s">
        <v>1</v>
      </c>
      <c r="C18" s="4" t="s">
        <v>2</v>
      </c>
      <c r="D18" s="4" t="s">
        <v>3</v>
      </c>
      <c r="E18" s="4" t="s">
        <v>4</v>
      </c>
      <c r="F18" s="5" t="s">
        <v>5</v>
      </c>
      <c r="G18" s="5" t="s">
        <v>6</v>
      </c>
      <c r="H18" s="5" t="s">
        <v>5</v>
      </c>
      <c r="I18" s="6" t="s">
        <v>6</v>
      </c>
    </row>
    <row r="19" ht="22" customHeight="1" spans="1:9">
      <c r="A19" s="14"/>
      <c r="B19" s="15" t="s">
        <v>19</v>
      </c>
      <c r="C19" s="16">
        <v>0.3</v>
      </c>
      <c r="D19" s="16">
        <v>0.6</v>
      </c>
      <c r="E19" s="16">
        <v>0.3</v>
      </c>
      <c r="F19" s="17">
        <v>1034.3</v>
      </c>
      <c r="G19" s="17">
        <v>765.72</v>
      </c>
      <c r="H19" s="17">
        <f>F19*0.85</f>
        <v>879.155</v>
      </c>
      <c r="I19" s="18">
        <f>G19*0.85</f>
        <v>650.862</v>
      </c>
    </row>
    <row r="20" ht="22" customHeight="1" spans="1:9">
      <c r="A20" s="14"/>
      <c r="B20" s="15" t="s">
        <v>20</v>
      </c>
      <c r="C20" s="16">
        <v>1.15</v>
      </c>
      <c r="D20" s="16">
        <v>1.75</v>
      </c>
      <c r="E20" s="16">
        <v>0.78</v>
      </c>
      <c r="F20" s="17">
        <v>4994.07</v>
      </c>
      <c r="G20" s="17">
        <v>4309.62</v>
      </c>
      <c r="H20" s="17">
        <f>F20*0.85</f>
        <v>4244.9595</v>
      </c>
      <c r="I20" s="18">
        <f>G20*0.85</f>
        <v>3663.177</v>
      </c>
    </row>
    <row r="21" ht="22" customHeight="1" spans="1:9">
      <c r="A21" s="14"/>
      <c r="B21" s="15" t="s">
        <v>21</v>
      </c>
      <c r="C21" s="16">
        <v>1.15</v>
      </c>
      <c r="D21" s="16">
        <v>0.94</v>
      </c>
      <c r="E21" s="16">
        <v>0.78</v>
      </c>
      <c r="F21" s="17">
        <v>4094.93</v>
      </c>
      <c r="G21" s="17">
        <v>3679.06</v>
      </c>
      <c r="H21" s="17">
        <f>F21*0.85</f>
        <v>3480.6905</v>
      </c>
      <c r="I21" s="18">
        <f>G21*0.85</f>
        <v>3127.201</v>
      </c>
    </row>
    <row r="22" ht="22" customHeight="1" spans="1:9">
      <c r="A22" s="14"/>
      <c r="B22" s="8" t="s">
        <v>22</v>
      </c>
      <c r="C22" s="9">
        <v>2.65</v>
      </c>
      <c r="D22" s="9">
        <v>0.94</v>
      </c>
      <c r="E22" s="9">
        <v>0.78</v>
      </c>
      <c r="F22" s="10">
        <v>6669.5</v>
      </c>
      <c r="G22" s="10">
        <v>5889.75</v>
      </c>
      <c r="H22" s="10">
        <f>F22*0.85</f>
        <v>5669.075</v>
      </c>
      <c r="I22" s="11">
        <f>G22*0.85</f>
        <v>5006.2875</v>
      </c>
    </row>
    <row r="23" spans="1:9">
      <c r="A23" s="14"/>
      <c r="C23" s="12"/>
      <c r="D23" s="12"/>
      <c r="E23" s="12"/>
      <c r="F23" s="13"/>
      <c r="G23" s="13"/>
      <c r="H23" s="13"/>
      <c r="I23" s="13"/>
    </row>
    <row r="24" spans="1:9">
      <c r="A24" s="14"/>
      <c r="B24" s="19" t="s">
        <v>23</v>
      </c>
      <c r="C24" s="20" t="s">
        <v>24</v>
      </c>
      <c r="D24" s="12"/>
      <c r="E24" s="12"/>
      <c r="F24" s="13"/>
      <c r="G24" s="13"/>
      <c r="H24" s="13"/>
      <c r="I24" s="13"/>
    </row>
    <row r="25" spans="1:9">
      <c r="A25" s="14"/>
      <c r="B25" s="21"/>
      <c r="C25" s="22"/>
      <c r="D25" s="12"/>
      <c r="E25" s="12"/>
      <c r="F25" s="13"/>
      <c r="G25" s="13"/>
      <c r="H25" s="13"/>
      <c r="I25" s="13"/>
    </row>
    <row r="26" spans="1:9">
      <c r="A26" s="14"/>
      <c r="B26" s="19" t="s">
        <v>25</v>
      </c>
      <c r="C26" s="23" t="s">
        <v>15</v>
      </c>
      <c r="D26" s="12"/>
      <c r="E26" s="12"/>
      <c r="F26" s="24">
        <f>SUM(F19:F22)</f>
        <v>16792.8</v>
      </c>
      <c r="G26" s="24">
        <f>SUM(G19:G22)</f>
        <v>14644.15</v>
      </c>
      <c r="H26" s="24">
        <f>SUM(H19:H22)</f>
        <v>14273.88</v>
      </c>
      <c r="I26" s="25">
        <f>SUM(I19:I22)</f>
        <v>12447.5275</v>
      </c>
    </row>
    <row r="27" spans="1:9">
      <c r="A27" s="7"/>
      <c r="B27" s="26"/>
      <c r="C27" s="27"/>
      <c r="D27" s="12"/>
      <c r="E27" s="12"/>
      <c r="F27" s="28"/>
      <c r="G27" s="28"/>
      <c r="H27" s="28"/>
      <c r="I27" s="29"/>
    </row>
    <row r="28" spans="1:9">
      <c r="C28" s="12"/>
      <c r="D28" s="12"/>
      <c r="E28" s="12"/>
      <c r="F28" s="13"/>
      <c r="G28" s="13"/>
      <c r="H28" s="13"/>
      <c r="I28" s="13"/>
    </row>
    <row r="29" ht="25" customHeight="1" spans="1:9">
      <c r="A29" s="2" t="s">
        <v>26</v>
      </c>
      <c r="B29" s="3" t="s">
        <v>1</v>
      </c>
      <c r="C29" s="4" t="s">
        <v>2</v>
      </c>
      <c r="D29" s="4" t="s">
        <v>3</v>
      </c>
      <c r="E29" s="4" t="s">
        <v>4</v>
      </c>
      <c r="F29" s="5" t="s">
        <v>27</v>
      </c>
      <c r="G29" s="5" t="s">
        <v>6</v>
      </c>
      <c r="H29" s="5" t="s">
        <v>27</v>
      </c>
      <c r="I29" s="6" t="s">
        <v>6</v>
      </c>
    </row>
    <row r="30" ht="22" customHeight="1" spans="1:9">
      <c r="A30" s="14"/>
      <c r="B30" s="15" t="s">
        <v>28</v>
      </c>
      <c r="C30" s="16">
        <v>2.86</v>
      </c>
      <c r="D30" s="16">
        <v>0.98</v>
      </c>
      <c r="E30" s="16">
        <v>0.87</v>
      </c>
      <c r="F30" s="17">
        <v>8247.96</v>
      </c>
      <c r="G30" s="17">
        <v>8052.24</v>
      </c>
      <c r="H30" s="17">
        <f>F30*0.85</f>
        <v>7010.766</v>
      </c>
      <c r="I30" s="18">
        <f>G30*0.85</f>
        <v>6844.404</v>
      </c>
    </row>
    <row r="31" ht="22" customHeight="1" spans="1:9">
      <c r="A31" s="14"/>
      <c r="B31" s="8" t="s">
        <v>28</v>
      </c>
      <c r="C31" s="9">
        <v>2.86</v>
      </c>
      <c r="D31" s="9">
        <v>0.98</v>
      </c>
      <c r="E31" s="9">
        <v>0.87</v>
      </c>
      <c r="F31" s="10">
        <v>8247.96</v>
      </c>
      <c r="G31" s="10">
        <v>8052.24</v>
      </c>
      <c r="H31" s="10">
        <f>F31*0.85</f>
        <v>7010.766</v>
      </c>
      <c r="I31" s="11">
        <f>G31*0.85</f>
        <v>6844.404</v>
      </c>
    </row>
    <row r="32" spans="1:9">
      <c r="A32" s="14"/>
      <c r="C32" s="12"/>
      <c r="D32" s="12"/>
      <c r="E32" s="12"/>
      <c r="F32" s="13"/>
      <c r="G32" s="13"/>
      <c r="H32" s="13"/>
      <c r="I32" s="13"/>
    </row>
    <row r="33" spans="1:9">
      <c r="A33" s="14"/>
      <c r="B33" s="19" t="s">
        <v>29</v>
      </c>
      <c r="C33" s="20" t="s">
        <v>30</v>
      </c>
      <c r="D33" s="12"/>
      <c r="E33" s="12"/>
      <c r="F33" s="13"/>
      <c r="G33" s="13"/>
      <c r="H33" s="13"/>
      <c r="I33" s="13"/>
    </row>
    <row r="34" spans="1:9">
      <c r="A34" s="14"/>
      <c r="B34" s="21"/>
      <c r="C34" s="22"/>
      <c r="D34" s="12"/>
      <c r="E34" s="12"/>
      <c r="F34" s="13"/>
      <c r="G34" s="13"/>
      <c r="H34" s="13"/>
      <c r="I34" s="13"/>
    </row>
    <row r="35" spans="1:9">
      <c r="A35" s="14"/>
      <c r="B35" s="19" t="s">
        <v>31</v>
      </c>
      <c r="C35" s="23" t="s">
        <v>15</v>
      </c>
      <c r="D35" s="12"/>
      <c r="E35" s="12"/>
      <c r="F35" s="24">
        <f>SUM(F30:F31)</f>
        <v>16495.92</v>
      </c>
      <c r="G35" s="24">
        <f>SUM(G30:G31)</f>
        <v>16104.48</v>
      </c>
      <c r="H35" s="24">
        <f>SUM(H30:H31)</f>
        <v>14021.532</v>
      </c>
      <c r="I35" s="25">
        <f>SUM(I30:I31)</f>
        <v>13688.808</v>
      </c>
    </row>
    <row r="36" spans="1:9">
      <c r="A36" s="7"/>
      <c r="B36" s="26"/>
      <c r="C36" s="27"/>
      <c r="D36" s="12"/>
      <c r="E36" s="12"/>
      <c r="F36" s="28"/>
      <c r="G36" s="28"/>
      <c r="H36" s="28"/>
      <c r="I36" s="29"/>
    </row>
    <row r="37" spans="1:9">
      <c r="C37" s="12"/>
      <c r="D37" s="12"/>
      <c r="E37" s="12"/>
      <c r="F37" s="13"/>
      <c r="G37" s="13"/>
      <c r="H37" s="13"/>
      <c r="I37" s="13"/>
    </row>
    <row r="38" ht="25" customHeight="1" spans="1:9">
      <c r="A38" s="2" t="s">
        <v>32</v>
      </c>
      <c r="B38" s="3" t="s">
        <v>1</v>
      </c>
      <c r="C38" s="4" t="s">
        <v>2</v>
      </c>
      <c r="D38" s="4" t="s">
        <v>3</v>
      </c>
      <c r="E38" s="4" t="s">
        <v>4</v>
      </c>
      <c r="F38" s="5" t="s">
        <v>27</v>
      </c>
      <c r="G38" s="5" t="s">
        <v>6</v>
      </c>
      <c r="H38" s="5" t="s">
        <v>27</v>
      </c>
      <c r="I38" s="6" t="s">
        <v>6</v>
      </c>
    </row>
    <row r="39" ht="22" customHeight="1" spans="1:9">
      <c r="A39" s="14"/>
      <c r="B39" s="8" t="s">
        <v>33</v>
      </c>
      <c r="C39" s="9">
        <v>2.9</v>
      </c>
      <c r="D39" s="9">
        <v>1.05</v>
      </c>
      <c r="E39" s="9">
        <v>1</v>
      </c>
      <c r="F39" s="10">
        <v>6977.4</v>
      </c>
      <c r="G39" s="10">
        <v>6847.85</v>
      </c>
      <c r="H39" s="10">
        <f>F39*0.85</f>
        <v>5930.79</v>
      </c>
      <c r="I39" s="11">
        <f>G39*0.85</f>
        <v>5820.6725</v>
      </c>
    </row>
    <row r="40" spans="1:9">
      <c r="A40" s="14"/>
      <c r="C40" s="12"/>
      <c r="D40" s="12"/>
      <c r="E40" s="12"/>
      <c r="F40" s="13"/>
      <c r="G40" s="13"/>
      <c r="H40" s="13"/>
      <c r="I40" s="13"/>
    </row>
    <row r="41" spans="1:9">
      <c r="A41" s="14"/>
      <c r="B41" s="19" t="s">
        <v>34</v>
      </c>
      <c r="C41" s="20" t="s">
        <v>35</v>
      </c>
      <c r="D41" s="12"/>
      <c r="E41" s="12"/>
      <c r="F41" s="13"/>
      <c r="G41" s="13"/>
      <c r="H41" s="13"/>
      <c r="I41" s="13"/>
    </row>
    <row r="42" spans="1:9">
      <c r="A42" s="14"/>
      <c r="B42" s="21"/>
      <c r="C42" s="22"/>
      <c r="D42" s="12"/>
      <c r="E42" s="12"/>
      <c r="F42" s="13"/>
      <c r="G42" s="13"/>
      <c r="H42" s="13"/>
      <c r="I42" s="13"/>
    </row>
    <row r="43" spans="1:9">
      <c r="A43" s="14"/>
      <c r="B43" s="19" t="s">
        <v>25</v>
      </c>
      <c r="C43" s="23" t="s">
        <v>15</v>
      </c>
      <c r="D43" s="12"/>
      <c r="E43" s="12"/>
      <c r="F43" s="24">
        <f>SUM(F39:F39)</f>
        <v>6977.4</v>
      </c>
      <c r="G43" s="24">
        <f>SUM(G39:G39)</f>
        <v>6847.85</v>
      </c>
      <c r="H43" s="24">
        <f>SUM(H39:H39)</f>
        <v>5930.79</v>
      </c>
      <c r="I43" s="25">
        <f>SUM(I39:I39)</f>
        <v>5820.6725</v>
      </c>
    </row>
    <row r="44" spans="1:9">
      <c r="A44" s="7"/>
      <c r="B44" s="26"/>
      <c r="C44" s="27"/>
      <c r="D44" s="12"/>
      <c r="E44" s="12"/>
      <c r="F44" s="28"/>
      <c r="G44" s="28"/>
      <c r="H44" s="28"/>
      <c r="I44" s="29"/>
    </row>
    <row r="45" spans="1:9">
      <c r="C45" s="12"/>
      <c r="D45" s="12"/>
      <c r="E45" s="12"/>
      <c r="F45" s="13"/>
      <c r="G45" s="13"/>
      <c r="H45" s="13"/>
      <c r="I45" s="13"/>
    </row>
    <row r="46" ht="25" customHeight="1" spans="1:9">
      <c r="A46" s="2" t="s">
        <v>36</v>
      </c>
      <c r="B46" s="3" t="s">
        <v>1</v>
      </c>
      <c r="C46" s="4" t="s">
        <v>2</v>
      </c>
      <c r="D46" s="4" t="s">
        <v>3</v>
      </c>
      <c r="E46" s="4" t="s">
        <v>4</v>
      </c>
      <c r="F46" s="5" t="s">
        <v>27</v>
      </c>
      <c r="G46" s="5" t="s">
        <v>6</v>
      </c>
      <c r="H46" s="5" t="s">
        <v>27</v>
      </c>
      <c r="I46" s="6" t="s">
        <v>6</v>
      </c>
    </row>
    <row r="47" ht="22" customHeight="1" spans="1:9">
      <c r="A47" s="14"/>
      <c r="B47" s="15" t="s">
        <v>37</v>
      </c>
      <c r="C47" s="16">
        <v>1.6</v>
      </c>
      <c r="D47" s="16">
        <v>1.02</v>
      </c>
      <c r="E47" s="16">
        <v>0.8</v>
      </c>
      <c r="F47" s="17">
        <v>5863.38</v>
      </c>
      <c r="G47" s="17">
        <v>5775.9</v>
      </c>
      <c r="H47" s="17">
        <f>F47*0.85</f>
        <v>4983.873</v>
      </c>
      <c r="I47" s="18">
        <f>G47*0.85</f>
        <v>4909.515</v>
      </c>
    </row>
    <row r="48" ht="22" customHeight="1" spans="1:9">
      <c r="A48" s="14"/>
      <c r="B48" s="15" t="s">
        <v>37</v>
      </c>
      <c r="C48" s="16">
        <v>1.6</v>
      </c>
      <c r="D48" s="16">
        <v>1.02</v>
      </c>
      <c r="E48" s="16">
        <v>0.8</v>
      </c>
      <c r="F48" s="17">
        <v>5863.38</v>
      </c>
      <c r="G48" s="17">
        <v>5775.9</v>
      </c>
      <c r="H48" s="17">
        <f>F48*0.85</f>
        <v>4983.873</v>
      </c>
      <c r="I48" s="18">
        <f>G48*0.85</f>
        <v>4909.515</v>
      </c>
    </row>
    <row r="49" ht="22" customHeight="1" spans="1:9">
      <c r="A49" s="14"/>
      <c r="B49" s="8" t="s">
        <v>38</v>
      </c>
      <c r="C49" s="9">
        <v>1.14</v>
      </c>
      <c r="D49" s="9">
        <v>1.02</v>
      </c>
      <c r="E49" s="9">
        <v>0.8</v>
      </c>
      <c r="F49" s="10">
        <v>4982.63</v>
      </c>
      <c r="G49" s="10">
        <v>4925.07</v>
      </c>
      <c r="H49" s="10">
        <f>F49*0.85</f>
        <v>4235.2355</v>
      </c>
      <c r="I49" s="11">
        <f>G49*0.85</f>
        <v>4186.3095</v>
      </c>
    </row>
    <row r="50" spans="1:9">
      <c r="A50" s="14"/>
      <c r="C50" s="12"/>
      <c r="D50" s="12"/>
      <c r="E50" s="12"/>
      <c r="F50" s="13"/>
      <c r="G50" s="13"/>
      <c r="H50" s="13"/>
      <c r="I50" s="13"/>
    </row>
    <row r="51" spans="1:9">
      <c r="A51" s="14"/>
      <c r="B51" s="19" t="s">
        <v>39</v>
      </c>
      <c r="C51" s="20" t="s">
        <v>40</v>
      </c>
      <c r="D51" s="12"/>
      <c r="E51" s="12"/>
      <c r="F51" s="13"/>
      <c r="G51" s="13"/>
      <c r="H51" s="13"/>
      <c r="I51" s="13"/>
    </row>
    <row r="52" spans="1:9">
      <c r="A52" s="14"/>
      <c r="B52" s="21"/>
      <c r="C52" s="22"/>
      <c r="D52" s="12"/>
      <c r="E52" s="12"/>
      <c r="F52" s="13"/>
      <c r="G52" s="13"/>
      <c r="H52" s="13"/>
      <c r="I52" s="13"/>
    </row>
    <row r="53" spans="1:9">
      <c r="A53" s="14"/>
      <c r="B53" s="19" t="s">
        <v>25</v>
      </c>
      <c r="C53" s="23" t="s">
        <v>15</v>
      </c>
      <c r="D53" s="12"/>
      <c r="E53" s="12"/>
      <c r="F53" s="24">
        <f>SUM(F47:F49)</f>
        <v>16709.39</v>
      </c>
      <c r="G53" s="24">
        <f>SUM(G47:G49)</f>
        <v>16476.87</v>
      </c>
      <c r="H53" s="24">
        <f>SUM(H47:H49)</f>
        <v>14202.9815</v>
      </c>
      <c r="I53" s="25">
        <f>SUM(I47:I49)</f>
        <v>14005.3395</v>
      </c>
    </row>
    <row r="54" spans="1:9">
      <c r="A54" s="7"/>
      <c r="B54" s="26"/>
      <c r="C54" s="27"/>
      <c r="D54" s="12"/>
      <c r="E54" s="12"/>
      <c r="F54" s="28"/>
      <c r="G54" s="28"/>
      <c r="H54" s="28"/>
      <c r="I54" s="29"/>
    </row>
    <row r="55" spans="1:9">
      <c r="C55" s="12"/>
      <c r="D55" s="12"/>
      <c r="E55" s="12"/>
      <c r="F55" s="13"/>
      <c r="G55" s="13"/>
      <c r="H55" s="13"/>
      <c r="I55" s="13"/>
    </row>
    <row r="56" ht="25" customHeight="1" spans="1:9">
      <c r="A56" s="2" t="s">
        <v>41</v>
      </c>
      <c r="B56" s="3" t="s">
        <v>1</v>
      </c>
      <c r="C56" s="4" t="s">
        <v>2</v>
      </c>
      <c r="D56" s="4" t="s">
        <v>3</v>
      </c>
      <c r="E56" s="4" t="s">
        <v>4</v>
      </c>
      <c r="F56" s="5" t="s">
        <v>27</v>
      </c>
      <c r="G56" s="5" t="s">
        <v>6</v>
      </c>
      <c r="H56" s="5" t="s">
        <v>27</v>
      </c>
      <c r="I56" s="6" t="s">
        <v>6</v>
      </c>
    </row>
    <row r="57" ht="22" customHeight="1" spans="1:9">
      <c r="A57" s="14"/>
      <c r="B57" s="15" t="s">
        <v>42</v>
      </c>
      <c r="C57" s="16">
        <v>1.2</v>
      </c>
      <c r="D57" s="16">
        <v>0.95</v>
      </c>
      <c r="E57" s="16">
        <v>0.93</v>
      </c>
      <c r="F57" s="17">
        <v>3367.62</v>
      </c>
      <c r="G57" s="17">
        <v>3293.24</v>
      </c>
      <c r="H57" s="17">
        <f>F57*0.85</f>
        <v>2862.477</v>
      </c>
      <c r="I57" s="18">
        <f>G57*0.85</f>
        <v>2799.254</v>
      </c>
    </row>
    <row r="58" ht="22" customHeight="1" spans="1:9">
      <c r="A58" s="14"/>
      <c r="B58" s="15" t="s">
        <v>42</v>
      </c>
      <c r="C58" s="16">
        <v>1.2</v>
      </c>
      <c r="D58" s="16">
        <v>0.95</v>
      </c>
      <c r="E58" s="16">
        <v>0.93</v>
      </c>
      <c r="F58" s="17">
        <v>3367.62</v>
      </c>
      <c r="G58" s="17">
        <v>3293.24</v>
      </c>
      <c r="H58" s="17">
        <f>F58*0.85</f>
        <v>2862.477</v>
      </c>
      <c r="I58" s="18">
        <f>G58*0.85</f>
        <v>2799.254</v>
      </c>
    </row>
    <row r="59" ht="22" customHeight="1" spans="1:9">
      <c r="A59" s="14"/>
      <c r="B59" s="8" t="s">
        <v>43</v>
      </c>
      <c r="C59" s="9">
        <v>2.1</v>
      </c>
      <c r="D59" s="9">
        <v>1.14</v>
      </c>
      <c r="E59" s="9">
        <v>0.93</v>
      </c>
      <c r="F59" s="10">
        <v>5281.67</v>
      </c>
      <c r="G59" s="10">
        <v>5158.83</v>
      </c>
      <c r="H59" s="10">
        <f>F59*0.85</f>
        <v>4489.4195</v>
      </c>
      <c r="I59" s="11">
        <f>G59*0.85</f>
        <v>4385.0055</v>
      </c>
    </row>
    <row r="60" spans="1:9">
      <c r="A60" s="14"/>
      <c r="C60" s="12"/>
      <c r="D60" s="12"/>
      <c r="E60" s="12"/>
      <c r="F60" s="13"/>
      <c r="G60" s="13"/>
      <c r="H60" s="13"/>
      <c r="I60" s="13"/>
    </row>
    <row r="61" spans="1:9">
      <c r="A61" s="14"/>
      <c r="B61" s="19" t="s">
        <v>44</v>
      </c>
      <c r="C61" s="20" t="s">
        <v>45</v>
      </c>
      <c r="D61" s="12"/>
      <c r="E61" s="12"/>
      <c r="F61" s="13"/>
      <c r="G61" s="13"/>
      <c r="H61" s="13"/>
      <c r="I61" s="13"/>
    </row>
    <row r="62" spans="1:9">
      <c r="A62" s="14"/>
      <c r="B62" s="21"/>
      <c r="C62" s="22"/>
      <c r="D62" s="12"/>
      <c r="E62" s="12"/>
      <c r="F62" s="13"/>
      <c r="G62" s="13"/>
      <c r="H62" s="13"/>
      <c r="I62" s="13"/>
    </row>
    <row r="63" spans="1:9">
      <c r="A63" s="14"/>
      <c r="B63" s="19" t="s">
        <v>25</v>
      </c>
      <c r="C63" s="23" t="s">
        <v>15</v>
      </c>
      <c r="D63" s="12"/>
      <c r="E63" s="12"/>
      <c r="F63" s="24">
        <f>SUM(F57:F59)</f>
        <v>12016.91</v>
      </c>
      <c r="G63" s="24">
        <f>SUM(G57:G59)</f>
        <v>11745.31</v>
      </c>
      <c r="H63" s="24">
        <f>SUM(H57:H59)</f>
        <v>10214.3735</v>
      </c>
      <c r="I63" s="25">
        <f>SUM(I57:I59)</f>
        <v>9983.5135</v>
      </c>
    </row>
    <row r="64" spans="1:9">
      <c r="A64" s="7"/>
      <c r="B64" s="26"/>
      <c r="C64" s="27"/>
      <c r="D64" s="12"/>
      <c r="E64" s="12"/>
      <c r="F64" s="28"/>
      <c r="G64" s="28"/>
      <c r="H64" s="28"/>
      <c r="I64" s="29"/>
    </row>
    <row r="65" spans="1:9">
      <c r="C65" s="12"/>
      <c r="D65" s="12"/>
      <c r="E65" s="12"/>
      <c r="F65" s="13"/>
      <c r="G65" s="13"/>
      <c r="H65" s="13"/>
      <c r="I65" s="13"/>
    </row>
    <row r="66" ht="25" customHeight="1" spans="1:9">
      <c r="A66" s="2" t="s">
        <v>46</v>
      </c>
      <c r="B66" s="3" t="s">
        <v>1</v>
      </c>
      <c r="C66" s="4" t="s">
        <v>2</v>
      </c>
      <c r="D66" s="4" t="s">
        <v>3</v>
      </c>
      <c r="E66" s="4" t="s">
        <v>4</v>
      </c>
      <c r="F66" s="5" t="s">
        <v>5</v>
      </c>
      <c r="G66" s="5" t="s">
        <v>6</v>
      </c>
      <c r="H66" s="5" t="s">
        <v>5</v>
      </c>
      <c r="I66" s="6" t="s">
        <v>6</v>
      </c>
    </row>
    <row r="67" ht="22" customHeight="1" spans="1:9">
      <c r="A67" s="14"/>
      <c r="B67" s="15" t="s">
        <v>47</v>
      </c>
      <c r="C67" s="16">
        <v>1</v>
      </c>
      <c r="D67" s="16">
        <v>1</v>
      </c>
      <c r="E67" s="16">
        <v>0</v>
      </c>
      <c r="F67" s="17">
        <v>5281.85</v>
      </c>
      <c r="G67" s="17">
        <v>5281.85</v>
      </c>
      <c r="H67" s="17">
        <f>F67*0.85</f>
        <v>4489.5725</v>
      </c>
      <c r="I67" s="18">
        <f>G67*0.85</f>
        <v>4489.5725</v>
      </c>
    </row>
    <row r="68" ht="22" customHeight="1" spans="1:9">
      <c r="A68" s="14"/>
      <c r="B68" s="15" t="s">
        <v>48</v>
      </c>
      <c r="C68" s="16">
        <v>1.1</v>
      </c>
      <c r="D68" s="16">
        <v>1.04</v>
      </c>
      <c r="E68" s="16">
        <v>1</v>
      </c>
      <c r="F68" s="17">
        <v>3310.76</v>
      </c>
      <c r="G68" s="17">
        <v>2736.43</v>
      </c>
      <c r="H68" s="17">
        <f>F68*0.85</f>
        <v>2814.146</v>
      </c>
      <c r="I68" s="18">
        <f>G68*0.85</f>
        <v>2325.9655</v>
      </c>
    </row>
    <row r="69" ht="22" customHeight="1" spans="1:9">
      <c r="A69" s="14"/>
      <c r="B69" s="15" t="s">
        <v>48</v>
      </c>
      <c r="C69" s="16">
        <v>1.1</v>
      </c>
      <c r="D69" s="16">
        <v>1.04</v>
      </c>
      <c r="E69" s="16">
        <v>1</v>
      </c>
      <c r="F69" s="17">
        <v>3310.76</v>
      </c>
      <c r="G69" s="17">
        <v>2736.43</v>
      </c>
      <c r="H69" s="17">
        <f>F69*0.85</f>
        <v>2814.146</v>
      </c>
      <c r="I69" s="18">
        <f>G69*0.85</f>
        <v>2325.9655</v>
      </c>
    </row>
    <row r="70" ht="22" customHeight="1" spans="1:9">
      <c r="A70" s="14"/>
      <c r="B70" s="8" t="s">
        <v>48</v>
      </c>
      <c r="C70" s="9">
        <v>1.1</v>
      </c>
      <c r="D70" s="9">
        <v>1.04</v>
      </c>
      <c r="E70" s="9">
        <v>1</v>
      </c>
      <c r="F70" s="10">
        <v>3310.76</v>
      </c>
      <c r="G70" s="10">
        <v>2736.43</v>
      </c>
      <c r="H70" s="10">
        <f>F70*0.85</f>
        <v>2814.146</v>
      </c>
      <c r="I70" s="11">
        <f>G70*0.85</f>
        <v>2325.9655</v>
      </c>
    </row>
    <row r="71" spans="1:9">
      <c r="A71" s="14"/>
      <c r="C71" s="12"/>
      <c r="D71" s="12"/>
      <c r="E71" s="12"/>
      <c r="F71" s="13"/>
      <c r="G71" s="13"/>
      <c r="H71" s="13"/>
      <c r="I71" s="13"/>
    </row>
    <row r="72" spans="1:9">
      <c r="A72" s="14"/>
      <c r="B72" s="19" t="s">
        <v>49</v>
      </c>
      <c r="C72" s="20" t="s">
        <v>50</v>
      </c>
      <c r="D72" s="12"/>
      <c r="E72" s="12"/>
      <c r="F72" s="13"/>
      <c r="G72" s="13"/>
      <c r="H72" s="13"/>
      <c r="I72" s="13"/>
    </row>
    <row r="73" spans="1:9">
      <c r="A73" s="14"/>
      <c r="B73" s="21"/>
      <c r="C73" s="22"/>
      <c r="D73" s="12"/>
      <c r="E73" s="12"/>
      <c r="F73" s="13"/>
      <c r="G73" s="13"/>
      <c r="H73" s="13"/>
      <c r="I73" s="13"/>
    </row>
    <row r="74" spans="1:9">
      <c r="A74" s="14"/>
      <c r="B74" s="19" t="s">
        <v>25</v>
      </c>
      <c r="C74" s="23" t="s">
        <v>15</v>
      </c>
      <c r="D74" s="12"/>
      <c r="E74" s="12"/>
      <c r="F74" s="24">
        <f>SUM(F67:F70)</f>
        <v>15214.13</v>
      </c>
      <c r="G74" s="24">
        <f>SUM(G67:G70)</f>
        <v>13491.14</v>
      </c>
      <c r="H74" s="24">
        <f>SUM(H67:H70)</f>
        <v>12932.0105</v>
      </c>
      <c r="I74" s="25">
        <f>SUM(I67:I70)</f>
        <v>11467.469</v>
      </c>
    </row>
    <row r="75" spans="1:9">
      <c r="A75" s="7"/>
      <c r="B75" s="26"/>
      <c r="C75" s="27"/>
      <c r="D75" s="12"/>
      <c r="E75" s="12"/>
      <c r="F75" s="28"/>
      <c r="G75" s="28"/>
      <c r="H75" s="28"/>
      <c r="I75" s="29"/>
    </row>
    <row r="76" ht="12.75" spans="1:9">
      <c r="A76" s="30" t="s">
        <v>51</v>
      </c>
      <c r="C76" s="12"/>
      <c r="D76" s="12"/>
      <c r="E76" s="12"/>
      <c r="F76" s="13"/>
      <c r="G76" s="13"/>
      <c r="H76" s="13"/>
      <c r="I76" s="13"/>
    </row>
    <row r="77" ht="12.75" spans="1:9">
      <c r="A77" s="30" t="s">
        <v>52</v>
      </c>
      <c r="C77" s="12"/>
      <c r="D77" s="12"/>
      <c r="E77" s="12"/>
      <c r="F77" s="13"/>
      <c r="G77" s="13"/>
      <c r="H77" s="13"/>
      <c r="I77" s="13"/>
    </row>
    <row r="78" spans="1:9">
      <c r="C78" s="12"/>
      <c r="D78" s="12"/>
      <c r="E78" s="12"/>
      <c r="F78" s="13"/>
      <c r="G78" s="13"/>
      <c r="H78" s="13"/>
      <c r="I78" s="13"/>
    </row>
    <row r="79" spans="1:9">
      <c r="C79" s="12"/>
      <c r="D79" s="12"/>
      <c r="E79" s="12"/>
      <c r="F79" s="13"/>
      <c r="G79" s="13"/>
      <c r="H79" s="13"/>
      <c r="I79" s="13"/>
    </row>
  </sheetData>
  <mergeCells count="63">
    <mergeCell ref="A2:A14"/>
    <mergeCell ref="A19:A27"/>
    <mergeCell ref="A30:A36"/>
    <mergeCell ref="A39:A44"/>
    <mergeCell ref="A47:A54"/>
    <mergeCell ref="A57:A64"/>
    <mergeCell ref="A67:A75"/>
    <mergeCell ref="B11:B12"/>
    <mergeCell ref="B13:B14"/>
    <mergeCell ref="B24:B25"/>
    <mergeCell ref="B26:B27"/>
    <mergeCell ref="B33:B34"/>
    <mergeCell ref="B35:B36"/>
    <mergeCell ref="B41:B42"/>
    <mergeCell ref="B43:B44"/>
    <mergeCell ref="B51:B52"/>
    <mergeCell ref="B53:B54"/>
    <mergeCell ref="B61:B62"/>
    <mergeCell ref="B63:B64"/>
    <mergeCell ref="B72:B73"/>
    <mergeCell ref="B74:B75"/>
    <mergeCell ref="F13:F14"/>
    <mergeCell ref="F26:F27"/>
    <mergeCell ref="F35:F36"/>
    <mergeCell ref="F43:F44"/>
    <mergeCell ref="F53:F54"/>
    <mergeCell ref="F63:F64"/>
    <mergeCell ref="F74:F75"/>
    <mergeCell ref="G13:G14"/>
    <mergeCell ref="G26:G27"/>
    <mergeCell ref="G35:G36"/>
    <mergeCell ref="G43:G44"/>
    <mergeCell ref="G53:G54"/>
    <mergeCell ref="G63:G64"/>
    <mergeCell ref="G74:G75"/>
    <mergeCell ref="H13:H14"/>
    <mergeCell ref="H26:H27"/>
    <mergeCell ref="H35:H36"/>
    <mergeCell ref="H43:H44"/>
    <mergeCell ref="H53:H54"/>
    <mergeCell ref="H63:H64"/>
    <mergeCell ref="H74:H75"/>
    <mergeCell ref="I13:I14"/>
    <mergeCell ref="I26:I27"/>
    <mergeCell ref="I35:I36"/>
    <mergeCell ref="I43:I44"/>
    <mergeCell ref="I53:I54"/>
    <mergeCell ref="I63:I64"/>
    <mergeCell ref="I74:I75"/>
    <mergeCell ref="C11:E12"/>
    <mergeCell ref="C13:E14"/>
    <mergeCell ref="C24:E25"/>
    <mergeCell ref="C26:E27"/>
    <mergeCell ref="C33:E34"/>
    <mergeCell ref="C35:E36"/>
    <mergeCell ref="C41:E42"/>
    <mergeCell ref="C43:E44"/>
    <mergeCell ref="C51:E52"/>
    <mergeCell ref="C53:E54"/>
    <mergeCell ref="C61:E62"/>
    <mergeCell ref="C63:E64"/>
    <mergeCell ref="C72:E73"/>
    <mergeCell ref="C74:E7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2"/>
  <cols>
    <col min="1" max="1" width="35" style="1" customWidth="1"/>
    <col min="2" max="2" width="45" style="1" customWidth="1"/>
    <col min="3" max="5" width="10" style="1" customWidth="1"/>
    <col min="6" max="6" width="12" style="1" customWidth="1"/>
    <col min="7" max="7" width="16" style="1" customWidth="1"/>
    <col min="8" max="8" width="12" style="1" customWidth="1"/>
    <col min="9" max="9" width="16" style="1" customWidth="1"/>
    <col min="10" max="16384" width="9.14166666666667" style="1" customWidth="1"/>
  </cols>
  <sheetData>
    <row r="1" ht="25" customHeight="1" spans="1:9">
      <c r="A1" s="2" t="s">
        <v>53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5</v>
      </c>
      <c r="I1" s="6" t="s">
        <v>6</v>
      </c>
    </row>
    <row r="2" ht="90" customHeight="1" spans="1:9">
      <c r="A2" s="7"/>
      <c r="B2" s="8" t="s">
        <v>38</v>
      </c>
      <c r="C2" s="9">
        <v>0.9</v>
      </c>
      <c r="D2" s="9">
        <v>0.93</v>
      </c>
      <c r="E2" s="9">
        <v>0.77</v>
      </c>
      <c r="F2" s="10">
        <v>2339.09</v>
      </c>
      <c r="G2" s="10">
        <v>2035.98</v>
      </c>
      <c r="H2" s="10">
        <f>F2*0.85</f>
        <v>1988.2265</v>
      </c>
      <c r="I2" s="11">
        <f>G2*0.85</f>
        <v>1730.583</v>
      </c>
    </row>
    <row r="3" spans="1:9">
      <c r="C3" s="12"/>
      <c r="D3" s="12"/>
      <c r="E3" s="12"/>
      <c r="F3" s="13"/>
      <c r="G3" s="13"/>
      <c r="H3" s="13"/>
      <c r="I3" s="13"/>
    </row>
    <row r="4" ht="25" customHeight="1" spans="1:9">
      <c r="A4" s="2" t="s">
        <v>54</v>
      </c>
      <c r="B4" s="3" t="s">
        <v>1</v>
      </c>
      <c r="C4" s="4" t="s">
        <v>2</v>
      </c>
      <c r="D4" s="4" t="s">
        <v>3</v>
      </c>
      <c r="E4" s="4" t="s">
        <v>4</v>
      </c>
      <c r="F4" s="5" t="s">
        <v>27</v>
      </c>
      <c r="G4" s="5" t="s">
        <v>6</v>
      </c>
      <c r="H4" s="5" t="s">
        <v>27</v>
      </c>
      <c r="I4" s="6" t="s">
        <v>6</v>
      </c>
    </row>
    <row r="5" ht="90" customHeight="1" spans="1:9">
      <c r="A5" s="7"/>
      <c r="B5" s="8" t="s">
        <v>38</v>
      </c>
      <c r="C5" s="9">
        <v>1.16</v>
      </c>
      <c r="D5" s="9">
        <v>1.05</v>
      </c>
      <c r="E5" s="9">
        <v>0.78</v>
      </c>
      <c r="F5" s="10">
        <v>3764.23</v>
      </c>
      <c r="G5" s="10">
        <v>3679.35</v>
      </c>
      <c r="H5" s="10">
        <f>F5*0.85</f>
        <v>3199.5955</v>
      </c>
      <c r="I5" s="11">
        <f>G5*0.85</f>
        <v>3127.4475</v>
      </c>
    </row>
    <row r="6" spans="1:9">
      <c r="C6" s="12"/>
      <c r="D6" s="12"/>
      <c r="E6" s="12"/>
      <c r="F6" s="13"/>
      <c r="G6" s="13"/>
      <c r="H6" s="13"/>
      <c r="I6" s="13"/>
    </row>
    <row r="7" ht="25" customHeight="1" spans="1:9">
      <c r="A7" s="2" t="s">
        <v>55</v>
      </c>
      <c r="B7" s="3" t="s">
        <v>1</v>
      </c>
      <c r="C7" s="4" t="s">
        <v>2</v>
      </c>
      <c r="D7" s="4" t="s">
        <v>3</v>
      </c>
      <c r="E7" s="4" t="s">
        <v>4</v>
      </c>
      <c r="F7" s="5" t="s">
        <v>27</v>
      </c>
      <c r="G7" s="5" t="s">
        <v>6</v>
      </c>
      <c r="H7" s="5" t="s">
        <v>27</v>
      </c>
      <c r="I7" s="6" t="s">
        <v>6</v>
      </c>
    </row>
    <row r="8" ht="90" customHeight="1" spans="1:9">
      <c r="A8" s="7"/>
      <c r="B8" s="8" t="s">
        <v>38</v>
      </c>
      <c r="C8" s="9">
        <v>0.94</v>
      </c>
      <c r="D8" s="9">
        <v>0.87</v>
      </c>
      <c r="E8" s="9">
        <v>0.81</v>
      </c>
      <c r="F8" s="10">
        <v>2488.72</v>
      </c>
      <c r="G8" s="10">
        <v>2431.13</v>
      </c>
      <c r="H8" s="10">
        <f>F8*0.85</f>
        <v>2115.412</v>
      </c>
      <c r="I8" s="11">
        <f>G8*0.85</f>
        <v>2066.4605</v>
      </c>
    </row>
    <row r="9" spans="1:9">
      <c r="C9" s="12"/>
      <c r="D9" s="12"/>
      <c r="E9" s="12"/>
      <c r="F9" s="13"/>
      <c r="G9" s="13"/>
      <c r="H9" s="13"/>
      <c r="I9" s="13"/>
    </row>
    <row r="10" ht="25" customHeight="1" spans="1:9">
      <c r="A10" s="2" t="s">
        <v>56</v>
      </c>
      <c r="B10" s="3" t="s">
        <v>1</v>
      </c>
      <c r="C10" s="4" t="s">
        <v>2</v>
      </c>
      <c r="D10" s="4" t="s">
        <v>3</v>
      </c>
      <c r="E10" s="4" t="s">
        <v>4</v>
      </c>
      <c r="F10" s="5" t="s">
        <v>27</v>
      </c>
      <c r="G10" s="5" t="s">
        <v>6</v>
      </c>
      <c r="H10" s="5" t="s">
        <v>27</v>
      </c>
      <c r="I10" s="6" t="s">
        <v>6</v>
      </c>
    </row>
    <row r="11" ht="90" customHeight="1" spans="1:9">
      <c r="A11" s="7"/>
      <c r="B11" s="8" t="s">
        <v>38</v>
      </c>
      <c r="C11" s="9">
        <v>0.84</v>
      </c>
      <c r="D11" s="9">
        <v>0.93</v>
      </c>
      <c r="E11" s="9">
        <v>0.82</v>
      </c>
      <c r="F11" s="10">
        <v>3365.62</v>
      </c>
      <c r="G11" s="10">
        <v>3288.1</v>
      </c>
      <c r="H11" s="10">
        <f>F11*0.85</f>
        <v>2860.777</v>
      </c>
      <c r="I11" s="11">
        <f>G11*0.85</f>
        <v>2794.885</v>
      </c>
    </row>
    <row r="12" spans="1:9">
      <c r="C12" s="12"/>
      <c r="D12" s="12"/>
      <c r="E12" s="12"/>
      <c r="F12" s="13"/>
      <c r="G12" s="13"/>
      <c r="H12" s="13"/>
      <c r="I12" s="13"/>
    </row>
    <row r="13" spans="1:9">
      <c r="C13" s="12"/>
      <c r="D13" s="12"/>
      <c r="E13" s="12"/>
      <c r="F13" s="13"/>
      <c r="G13" s="13"/>
      <c r="H13" s="13"/>
      <c r="I13" s="13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"/>
    </sheetView>
  </sheetViews>
  <sheetFormatPr defaultColWidth="9" defaultRowHeight="12"/>
  <cols>
    <col min="1" max="1" width="35" style="1" customWidth="1"/>
    <col min="2" max="2" width="45" style="1" customWidth="1"/>
    <col min="3" max="5" width="10" style="1" customWidth="1"/>
    <col min="6" max="6" width="12" style="1" customWidth="1"/>
    <col min="7" max="7" width="16" style="1" customWidth="1"/>
    <col min="8" max="8" width="12" style="1" customWidth="1"/>
    <col min="9" max="9" width="16" style="1" customWidth="1"/>
    <col min="10" max="16384" width="9.14166666666667" style="1" customWidth="1"/>
  </cols>
  <sheetData>
    <row r="1" ht="25" customHeight="1" spans="1:9">
      <c r="A1" s="2" t="s">
        <v>57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27</v>
      </c>
      <c r="G1" s="5" t="s">
        <v>6</v>
      </c>
      <c r="H1" s="5" t="s">
        <v>27</v>
      </c>
      <c r="I1" s="6" t="s">
        <v>6</v>
      </c>
    </row>
    <row r="2" ht="90" customHeight="1" spans="1:9">
      <c r="A2" s="7"/>
      <c r="B2" s="8" t="s">
        <v>58</v>
      </c>
      <c r="C2" s="9">
        <v>0.58</v>
      </c>
      <c r="D2" s="9">
        <v>0.5</v>
      </c>
      <c r="E2" s="9">
        <v>0.45</v>
      </c>
      <c r="F2" s="10">
        <v>641.04</v>
      </c>
      <c r="G2" s="10">
        <v>617.95</v>
      </c>
      <c r="H2" s="10">
        <f>F2*0.85</f>
        <v>544.884</v>
      </c>
      <c r="I2" s="11">
        <f>G2*0.85</f>
        <v>525.2575</v>
      </c>
    </row>
    <row r="3" spans="1:9">
      <c r="C3" s="12"/>
      <c r="D3" s="12"/>
      <c r="E3" s="12"/>
      <c r="F3" s="13"/>
      <c r="G3" s="13"/>
      <c r="H3" s="13"/>
      <c r="I3" s="13"/>
    </row>
    <row r="4" ht="25" customHeight="1" spans="1:9">
      <c r="A4" s="2" t="s">
        <v>59</v>
      </c>
      <c r="B4" s="3" t="s">
        <v>1</v>
      </c>
      <c r="C4" s="4" t="s">
        <v>2</v>
      </c>
      <c r="D4" s="4" t="s">
        <v>3</v>
      </c>
      <c r="E4" s="4" t="s">
        <v>4</v>
      </c>
      <c r="F4" s="5" t="s">
        <v>27</v>
      </c>
      <c r="G4" s="5" t="s">
        <v>6</v>
      </c>
      <c r="H4" s="5" t="s">
        <v>27</v>
      </c>
      <c r="I4" s="6" t="s">
        <v>6</v>
      </c>
    </row>
    <row r="5" ht="90" customHeight="1" spans="1:9">
      <c r="A5" s="7"/>
      <c r="B5" s="8" t="s">
        <v>60</v>
      </c>
      <c r="C5" s="9">
        <v>1.8</v>
      </c>
      <c r="D5" s="9">
        <v>0.6</v>
      </c>
      <c r="E5" s="9">
        <v>0.46</v>
      </c>
      <c r="F5" s="10">
        <v>3206.45</v>
      </c>
      <c r="G5" s="10">
        <v>3161.37</v>
      </c>
      <c r="H5" s="10">
        <f>F5*0.85</f>
        <v>2725.4825</v>
      </c>
      <c r="I5" s="11">
        <f>G5*0.85</f>
        <v>2687.1645</v>
      </c>
    </row>
    <row r="6" spans="1:9">
      <c r="C6" s="12"/>
      <c r="D6" s="12"/>
      <c r="E6" s="12"/>
      <c r="F6" s="13"/>
      <c r="G6" s="13"/>
      <c r="H6" s="13"/>
      <c r="I6" s="13"/>
    </row>
    <row r="7" ht="25" customHeight="1" spans="1:9">
      <c r="A7" s="2" t="s">
        <v>61</v>
      </c>
      <c r="B7" s="3" t="s">
        <v>1</v>
      </c>
      <c r="C7" s="4" t="s">
        <v>2</v>
      </c>
      <c r="D7" s="4" t="s">
        <v>3</v>
      </c>
      <c r="E7" s="4" t="s">
        <v>4</v>
      </c>
      <c r="F7" s="5" t="s">
        <v>5</v>
      </c>
      <c r="G7" s="5" t="s">
        <v>6</v>
      </c>
      <c r="H7" s="5" t="s">
        <v>5</v>
      </c>
      <c r="I7" s="6" t="s">
        <v>6</v>
      </c>
    </row>
    <row r="8" ht="90" customHeight="1" spans="1:9">
      <c r="A8" s="14"/>
      <c r="B8" s="15" t="s">
        <v>62</v>
      </c>
      <c r="C8" s="16">
        <v>2.8</v>
      </c>
      <c r="D8" s="16">
        <v>2.18</v>
      </c>
      <c r="E8" s="16">
        <v>1.05</v>
      </c>
      <c r="F8" s="17">
        <v>8406.3</v>
      </c>
      <c r="G8" s="17">
        <v>7118.74</v>
      </c>
      <c r="H8" s="17">
        <f>F8*0.85</f>
        <v>7145.355</v>
      </c>
      <c r="I8" s="18">
        <f>G8*0.85</f>
        <v>6050.929</v>
      </c>
    </row>
    <row r="9" ht="90" customHeight="1" spans="1:9">
      <c r="A9" s="14"/>
      <c r="B9" s="15" t="s">
        <v>63</v>
      </c>
      <c r="C9" s="16">
        <v>1</v>
      </c>
      <c r="D9" s="16">
        <v>1</v>
      </c>
      <c r="E9" s="16">
        <v>0</v>
      </c>
      <c r="F9" s="17">
        <v>422.33</v>
      </c>
      <c r="G9" s="17">
        <v>422.33</v>
      </c>
      <c r="H9" s="17">
        <f>F9*0.85</f>
        <v>358.9805</v>
      </c>
      <c r="I9" s="18">
        <f>G9*0.85</f>
        <v>358.9805</v>
      </c>
    </row>
    <row r="10" ht="90" customHeight="1" spans="1:9">
      <c r="A10" s="7"/>
      <c r="B10" s="8" t="s">
        <v>63</v>
      </c>
      <c r="C10" s="9">
        <v>1</v>
      </c>
      <c r="D10" s="9">
        <v>1</v>
      </c>
      <c r="E10" s="9">
        <v>0</v>
      </c>
      <c r="F10" s="10">
        <v>422.33</v>
      </c>
      <c r="G10" s="10">
        <v>422.33</v>
      </c>
      <c r="H10" s="10">
        <f>F10*0.85</f>
        <v>358.9805</v>
      </c>
      <c r="I10" s="11">
        <f>G10*0.85</f>
        <v>358.9805</v>
      </c>
    </row>
    <row r="11" spans="1:9">
      <c r="C11" s="12"/>
      <c r="D11" s="12"/>
      <c r="E11" s="12"/>
      <c r="F11" s="13"/>
      <c r="G11" s="13"/>
      <c r="H11" s="13"/>
      <c r="I11" s="13"/>
    </row>
    <row r="12" spans="1:9">
      <c r="C12" s="12"/>
      <c r="D12" s="12"/>
      <c r="E12" s="12"/>
      <c r="F12" s="13"/>
      <c r="G12" s="13"/>
      <c r="H12" s="13"/>
      <c r="I12" s="13"/>
    </row>
  </sheetData>
  <mergeCells count="1">
    <mergeCell ref="A8:A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Estofados KARAMS</vt:lpstr>
      <vt:lpstr>POLTRONA KARAMS</vt:lpstr>
      <vt:lpstr>COMPLEMENTOS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Web User</dc:creator>
  <cp:keywords>EPPlus noncommercial use</cp:keywords>
  <dc:description>This workbook has been created with EPPlus licensed to PI Web User under The Polyform Noncommercial License: See https://polyformproject.org/licenses/noncommercial/1.0.0</dc:description>
  <cp:lastModifiedBy>takeda</cp:lastModifiedBy>
  <dcterms:created xsi:type="dcterms:W3CDTF">2026-08-03T14:28:38Z</dcterms:created>
  <dcterms:modified xsi:type="dcterms:W3CDTF">2026-08-03T14:28:55Z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CC2EC84E8C6642E08034487FC566F517_12</vt:lpwstr>
  </property>
  <property fmtid="{D5CDD505-2E9C-101B-9397-08002B2CF9AE}" pid="3" name="KSOProductBuildVer">
    <vt:lpwstr>1046-12.1.0.28032</vt:lpwstr>
  </property>
  <property fmtid="{D5CDD505-2E9C-101B-9397-08002B2CF9AE}" pid="4" name="CalculationRule">
    <vt:i4>0</vt:i4>
  </property>
</Properties>
</file>