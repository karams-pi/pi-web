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<sst xmlns="http://schemas.openxmlformats.org/spreadsheetml/2006/main" count="173" uniqueCount="173">
  <si>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</si>
  <si>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</si>
  <si>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</si>
  <si>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</si>
  <si>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</si>
  <si>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</si>
  <si>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</si>
  <si>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</si>
  <si>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Canto 1,04x1,04</t>
  </si>
  <si>
    <t>Chaise (1Ass:090 - 1Br:020)</t>
  </si>
  <si>
    <t>Chaise (1Ass:100 - 1Br:020)</t>
  </si>
  <si>
    <t>Chaise (1Ass:110 - 1Br:020)</t>
  </si>
  <si>
    <t>Módulo (1Ass:080 - 1Br:020)</t>
  </si>
  <si>
    <t>Módulo (1Ass:080 - 1Me:055)</t>
  </si>
  <si>
    <t>Módulo (1Ass:080 - S/br)</t>
  </si>
  <si>
    <t>Módulo (1Ass:090 - 1Br:020)</t>
  </si>
  <si>
    <t>Módulo (1Ass:090 - 1Me:055)</t>
  </si>
  <si>
    <t>Módulo (1Ass:090 - S/br)</t>
  </si>
  <si>
    <t>Módulo (1Ass:100 - 1Br:020)</t>
  </si>
  <si>
    <t>Módulo (1Ass:100 - 1Me:055)</t>
  </si>
  <si>
    <t>Módulo (1Ass:100 - S/br)</t>
  </si>
  <si>
    <t>Módulo (1Ass:110 - 1Me:055)</t>
  </si>
  <si>
    <t>Módulo (1Ass:110 - S/br)</t>
  </si>
  <si>
    <t>Módulo (1Ass:120 - 1Me:055)</t>
  </si>
  <si>
    <t>Módulo (1Ass:130 - 1Me:055)</t>
  </si>
  <si>
    <t>Módulo (1Ass:140 - 1Me:055)</t>
  </si>
  <si>
    <t>Módulo (2Ass:080 - 1Br:020)</t>
  </si>
  <si>
    <t>Módulo (2Ass:080 - 1Me:055)</t>
  </si>
  <si>
    <t>Módulo (2Ass:090 - 1Br:020)</t>
  </si>
  <si>
    <t>Módulo (2Ass:090 - 1Me:055)</t>
  </si>
  <si>
    <t>Módulo (2Ass:100 - 1Br:020)</t>
  </si>
  <si>
    <t>Módulo (2Ass:100 - 1Me:055)</t>
  </si>
  <si>
    <t>Módulo (2Ass:110 - 1Br:020)</t>
  </si>
  <si>
    <t>Módulo (2Ass:110 - 1Me:055)</t>
  </si>
  <si>
    <t>Puff 0,80 x 0,80</t>
  </si>
  <si>
    <t>Puff 0,90 x 0,80</t>
  </si>
  <si>
    <t>Puff 1,00 com mesa 0,55</t>
  </si>
  <si>
    <t>Puff 1,00 x 0,80</t>
  </si>
  <si>
    <t>Puff 1,10 com mesa 0,55</t>
  </si>
  <si>
    <t>Puff 1,10 x 0,80</t>
  </si>
  <si>
    <t>Puff 104x104</t>
  </si>
  <si>
    <t>Sumie Sem Canto 200</t>
  </si>
  <si>
    <t>Sumie Sem Canto 220</t>
  </si>
  <si>
    <t>Sumie Sem Canto 240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</si>
  <si>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</si>
  <si>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</si>
  <si>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</si>
  <si>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</si>
  <si>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</si>
  <si>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</si>
  <si>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</si>
  <si>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</si>
  <si>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</si>
  <si>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</si>
  <si>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(1Ass:135 - S/br)</t>
  </si>
  <si>
    <t>Módulo (1Ass:155 - 1Me:030)</t>
  </si>
  <si>
    <t>Módulo (1Ass:155 - S/br)</t>
  </si>
  <si>
    <t>Módulo (1Ass:175 - S/br)</t>
  </si>
  <si>
    <t>Módulo (1Ass:195 - S/br)</t>
  </si>
  <si>
    <t>Módulo (1Ass:215 - 1Me:030)</t>
  </si>
  <si>
    <t>Módulo (1Ass:215 - S/br)</t>
  </si>
  <si>
    <t>Módulo (1Ass:235 - 1Me:030)</t>
  </si>
  <si>
    <t>Módulo (1Ass:235 - S/br)</t>
  </si>
  <si>
    <t>Módulo Curvo 250</t>
  </si>
  <si>
    <t>Módulo Reto (1Ass:115 - S/br)</t>
  </si>
  <si>
    <t>Módulo Reto (1Ass:135 - S/br)</t>
  </si>
  <si>
    <t>Módulo Reto (1Ass:155 - S/br)</t>
  </si>
  <si>
    <t>Módulo Reto (1Ass:175 - S/br)</t>
  </si>
  <si>
    <t>Módulo Reto (1Ass:195 - S/br)</t>
  </si>
  <si>
    <t>Módulo Reto (1Ass:215 - S/br)</t>
  </si>
  <si>
    <t>Módulo Reto (1Ass:235 - S/br)</t>
  </si>
  <si>
    <t>Puff 09x090</t>
  </si>
  <si>
    <t>TECIDO: SK1390 / BASE: MEL</t>
  </si>
  <si>
    <t>MEDIDA TOTAL: 480 X 175</t>
  </si>
  <si>
    <t>PÉS: -</t>
  </si>
  <si>
    <t>ESTOFADO MIWA</t>
  </si>
  <si>
    <t>G1</t>
  </si>
  <si>
    <t>Algodão - Bipartido (1Ass:166 - 2Br:20) - 6 Almofadas</t>
  </si>
  <si>
    <t>Algodão - Bipartido (1Ass:206 - 2Br:20) - 6 Almofadas</t>
  </si>
  <si>
    <t>Algodão - Bipartido (1Ass:226 - 2Br:20) - 8 Almofadas</t>
  </si>
  <si>
    <t>Algodão - Bipartido (1Ass:246 - 2Br:20) - 8 Almofadas</t>
  </si>
  <si>
    <t>Algodão - Bipartido (1Ass:266 - 2Br:20) - 8 Almofadas</t>
  </si>
  <si>
    <t>Capa Inteira (1Ass:166 - 2Br:20) - 6 Almofadas</t>
  </si>
  <si>
    <t>Capa Inteira (1Ass:186 - 2Br:20) - 6 Almofadas</t>
  </si>
  <si>
    <t>Capa Inteira (1Ass:206 - 2Br:20) - 6 Almofadas</t>
  </si>
  <si>
    <t>Capa Inteira (1Ass:226 - 2Br:20) - 8 Almofadas</t>
  </si>
  <si>
    <t>Capa Inteira (1Ass:246 - 2Br:20) - 8 Almofadas</t>
  </si>
  <si>
    <t>Tapeçado - Bipartido (1Ass:166 - 2Br:20) - 6 Almofadas</t>
  </si>
  <si>
    <t>Tapeçado - Bipartido (1Ass:186 - 2Br:20) - 6 Almofadas</t>
  </si>
  <si>
    <t>Tapeçado - Bipartido (1Ass:206 - 2Br:20) - 6 Almofadas</t>
  </si>
  <si>
    <t>Tapeçado - Bipartido (1Ass:226 - 2Br:20) - 8 Almofadas</t>
  </si>
  <si>
    <t>Tapeçado - Bipartido (1Ass:246 - 2Br:20) - 8 Almofadas</t>
  </si>
  <si>
    <t>Tapeçado - Bipartido (1Ass:266 - 2Br:20) - 8 Almofadas</t>
  </si>
  <si>
    <t xml:space="preserve">TECIDO: SK1397 /  ACAB:CARVALHO</t>
  </si>
  <si>
    <t>MEDIDA TOTAL: 3,00</t>
  </si>
  <si>
    <t>CAPA: SK3195</t>
  </si>
  <si>
    <t>ESTOFADO MOA</t>
  </si>
  <si>
    <t>Bipartido (1Ass:090 - 1Puff:090 - 1Br:015)</t>
  </si>
  <si>
    <t>Bipartido (1Ass:100 - 1Puff:100 - 1Br:015)</t>
  </si>
  <si>
    <t>Bipartido (1Ass:110 - 1Puff:110 - 1Br:015)</t>
  </si>
  <si>
    <t>Bipartido (1Ass:120 - 1Puff:120 - 1Br:015)</t>
  </si>
  <si>
    <t>Bipartido (1Ass:130 - 1Puff:130 - 1Br:015)</t>
  </si>
  <si>
    <t>Bipartido (1Ass:140 - 1Puff:140 - 1Br:015)</t>
  </si>
  <si>
    <t>Bipartido (2Ass:090 - 1Br:015)</t>
  </si>
  <si>
    <t>Bipartido (2Ass:090 - 2Br:015)</t>
  </si>
  <si>
    <t>Bipartido (2Ass:100 - 1Br:015)</t>
  </si>
  <si>
    <t>Bipartido (2Ass:110 - 1Br:015)</t>
  </si>
  <si>
    <t>Bipartido (2Ass:120 - 1Br:015)</t>
  </si>
  <si>
    <t>Bipartido (2Ass:130 - 1Br:015)</t>
  </si>
  <si>
    <t>Bipartido (2Ass:130 - 2Br:015)</t>
  </si>
  <si>
    <t>Bipartido (2Ass:140 - 1Br:015)</t>
  </si>
  <si>
    <t>Bipartido (2Ass:140 - 2Br:015)</t>
  </si>
  <si>
    <t>Canto 120x120</t>
  </si>
  <si>
    <t>Chaise (1Ass:100 - 1Br:015)</t>
  </si>
  <si>
    <t>Chaise (1Ass:110 - 1Br:015)</t>
  </si>
  <si>
    <t>Puff 095x095</t>
  </si>
  <si>
    <t>Puff 105x095</t>
  </si>
  <si>
    <t>Puff 115x095</t>
  </si>
  <si>
    <t>TECIDO: SK4184 / ACAB: MEL</t>
  </si>
  <si>
    <t>MEDIDA TOTAL: 2,90</t>
  </si>
  <si>
    <t>ESTOFADO NINHO</t>
  </si>
  <si>
    <t>Modulo (1Ass:087 - 1Br:023)</t>
  </si>
  <si>
    <t>Modulo (1Ass:097 - 1Br:023)</t>
  </si>
  <si>
    <t>Modulo (1Ass:107 - 1Br:023)</t>
  </si>
  <si>
    <t>Modulo (1Ass:117 - 1Br:023)</t>
  </si>
  <si>
    <t>Modulo (1Ass:127 - 1Br:023)</t>
  </si>
  <si>
    <t>Modulo (1Ass:137 - 1Br:023)</t>
  </si>
  <si>
    <t>Poltrona</t>
  </si>
  <si>
    <t>TECIDO: SK5111 / ACAB: IMBUIA</t>
  </si>
  <si>
    <t>MEDIDA TOTAL: 3,20</t>
  </si>
  <si>
    <t>ESTOFADO TIBAGI</t>
  </si>
  <si>
    <t>Modulo (1Ass:085 - 1Br:25)</t>
  </si>
  <si>
    <t>Modulo (1Ass:085 - S/Br)</t>
  </si>
  <si>
    <t>Modulo (1Ass:095 - 1Br:25)</t>
  </si>
  <si>
    <t>Modulo (1Ass:095 - S/Br)</t>
  </si>
  <si>
    <t>Modulo (1Ass:105 - S/Br)</t>
  </si>
  <si>
    <t>Modulo (1Ass:115 - S/Br)</t>
  </si>
  <si>
    <t>Modulo (1Ass:125 - S/Br)</t>
  </si>
  <si>
    <t>Modulo (2Ass:085 - 1Br:025)</t>
  </si>
  <si>
    <t>Modulo (2Ass:085 - S/Br)</t>
  </si>
  <si>
    <t>Modulo (2Ass:095 - 1Br:025)</t>
  </si>
  <si>
    <t>Modulo (2Ass:095 - S/Br)</t>
  </si>
  <si>
    <t>Modulo (2Ass:105 - 1Br:025)</t>
  </si>
  <si>
    <t>Modulo (2Ass:105 - S/Br)</t>
  </si>
  <si>
    <t>Modulo (2Ass:115 - 1Br:025)</t>
  </si>
  <si>
    <t>Modulo (2Ass:115 - S/Br)</t>
  </si>
  <si>
    <t>Modulo (2Ass:125 - 1Br:025)</t>
  </si>
  <si>
    <t>Modulo (2Ass:125 - S/Br)</t>
  </si>
  <si>
    <t>Modulo Curvo</t>
  </si>
  <si>
    <t>TECIDO: SK5134 / ACAB: IMBUIA</t>
  </si>
  <si>
    <t>MEDIDA TOTAL: 450</t>
  </si>
  <si>
    <t>ESTOFADO ZENITH</t>
  </si>
  <si>
    <t>Braço 012</t>
  </si>
  <si>
    <t>MECANISMO 1 ASS</t>
  </si>
  <si>
    <t>MECANISMO 2 ASS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</si>
  <si>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</si>
  <si>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</si>
  <si>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</si>
  <si>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</si>
  <si>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</si>
  <si>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</si>
  <si>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</si>
  <si>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MUSH</t>
  </si>
  <si>
    <t>Poltrona Giratória</t>
  </si>
  <si>
    <t>POLTRONA MUSH (MALHA)</t>
  </si>
  <si>
    <t>POLTRONA SEMENTE</t>
  </si>
  <si>
    <t>BANCO TOAD</t>
  </si>
  <si>
    <t>Banco</t>
  </si>
  <si>
    <t>Puff</t>
  </si>
  <si>
    <t>BANCO TORUS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</si>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</sst>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1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5476875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50</xdr:row>
      <xdr:rowOff>2943225</xdr:rowOff>
    </xdr:from>
    <xdr:ext cx="2381250" cy="1019175"/>
    <xdr:pic>
      <xdr:nvPicPr>
        <xdr:cNvPr id="4" descr="" name="PicC_440_5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79</xdr:row>
      <xdr:rowOff>819150</xdr:rowOff>
    </xdr:from>
    <xdr:ext cx="2381250" cy="3581400"/>
    <xdr:pic>
      <xdr:nvPicPr>
        <xdr:cNvPr id="5" descr="" name="PicC_733_7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102</xdr:row>
      <xdr:rowOff>2867025</xdr:rowOff>
    </xdr:from>
    <xdr:ext cx="2381250" cy="876300"/>
    <xdr:pic>
      <xdr:nvPicPr>
        <xdr:cNvPr id="6" descr="" name="PicC_548_102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130</xdr:row>
      <xdr:rowOff>19050</xdr:rowOff>
    </xdr:from>
    <xdr:ext cx="2381250" cy="2676525"/>
    <xdr:pic>
      <xdr:nvPicPr>
        <xdr:cNvPr id="7" descr="" name="PicC_734_130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144</xdr:row>
      <xdr:rowOff>2438400</xdr:rowOff>
    </xdr:from>
    <xdr:ext cx="2381250" cy="1466850"/>
    <xdr:pic>
      <xdr:nvPicPr>
        <xdr:cNvPr id="8" descr="" name="PicC_735_144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171</xdr:row>
      <xdr:rowOff>676275</xdr:rowOff>
    </xdr:from>
    <xdr:ext cx="2381250" cy="1066800"/>
    <xdr:pic>
      <xdr:nvPicPr>
        <xdr:cNvPr id="9" descr="" name="PicC_550_17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723900</xdr:colOff>
      <xdr:row>10</xdr:row>
      <xdr:rowOff>19050</xdr:rowOff>
    </xdr:from>
    <xdr:ext cx="1047750" cy="904875"/>
    <xdr:pic>
      <xdr:nvPicPr>
        <xdr:cNvPr id="6" descr="" name="PicC_50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723900</xdr:colOff>
      <xdr:row>13</xdr:row>
      <xdr:rowOff>19050</xdr:rowOff>
    </xdr:from>
    <xdr:ext cx="1047750" cy="904875"/>
    <xdr:pic>
      <xdr:nvPicPr>
        <xdr:cNvPr id="7" descr="" name="PicC_738_13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16</xdr:row>
      <xdr:rowOff>19050</xdr:rowOff>
    </xdr:from>
    <xdr:ext cx="1162050" cy="904875"/>
    <xdr:pic>
      <xdr:nvPicPr>
        <xdr:cNvPr id="8" descr="" name="PicC_739_1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361950</xdr:rowOff>
    </xdr:from>
    <xdr:ext cx="2381250" cy="1352550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</xdr:row>
      <xdr:rowOff>857250</xdr:rowOff>
    </xdr:from>
    <xdr:ext cx="2381250" cy="1514475"/>
    <xdr:pic>
      <xdr:nvPicPr>
        <xdr:cNvPr id="4" descr="" name="PicC_731_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</xdr:row>
      <xdr:rowOff>419100</xdr:rowOff>
    </xdr:from>
    <xdr:ext cx="2381250" cy="1247775"/>
    <xdr:pic>
      <xdr:nvPicPr>
        <xdr:cNvPr id="5" descr="" name="PicC_732_1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86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0.8</v>
      </c>
      <c r="D2" s="27">
        <v>0.2</v>
      </c>
      <c r="E2" s="27">
        <v>0.45</v>
      </c>
      <c r="F2" s="16">
        <v>80.40443805218821</v>
      </c>
      <c r="G2" s="16">
        <v>62.91443805218821</v>
      </c>
      <c r="H2" s="16">
        <f>F2*0.85</f>
        <v>68.34377234435998</v>
      </c>
      <c r="I2" s="17">
        <f>G2*0.85</f>
        <v>53.477272344359974</v>
      </c>
      <c r="J2" s="2"/>
    </row>
    <row r="3" ht="22" customHeight="1">
      <c r="A3" s="10"/>
      <c r="B3" s="4" t="s">
        <v>7</v>
      </c>
      <c r="C3" s="27">
        <v>0.8</v>
      </c>
      <c r="D3" s="27">
        <v>0.2</v>
      </c>
      <c r="E3" s="27">
        <v>0.45</v>
      </c>
      <c r="F3" s="16">
        <v>80.40443805218821</v>
      </c>
      <c r="G3" s="16">
        <v>62.91443805218821</v>
      </c>
      <c r="H3" s="16">
        <f>F3*0.85</f>
        <v>68.34377234435998</v>
      </c>
      <c r="I3" s="17">
        <f>G3*0.85</f>
        <v>53.477272344359974</v>
      </c>
      <c r="J3" s="2"/>
    </row>
    <row r="4" ht="22" customHeight="1">
      <c r="A4" s="10"/>
      <c r="B4" s="4" t="s">
        <v>7</v>
      </c>
      <c r="C4" s="27">
        <v>0.8</v>
      </c>
      <c r="D4" s="27">
        <v>0.2</v>
      </c>
      <c r="E4" s="27">
        <v>0.45</v>
      </c>
      <c r="F4" s="16">
        <v>80.40443805218821</v>
      </c>
      <c r="G4" s="16">
        <v>62.91443805218821</v>
      </c>
      <c r="H4" s="16">
        <f>F4*0.85</f>
        <v>68.34377234435998</v>
      </c>
      <c r="I4" s="17">
        <f>G4*0.85</f>
        <v>53.477272344359974</v>
      </c>
      <c r="J4" s="2"/>
    </row>
    <row r="5" ht="22" customHeight="1">
      <c r="A5" s="10"/>
      <c r="B5" s="4" t="s">
        <v>7</v>
      </c>
      <c r="C5" s="27">
        <v>0.8</v>
      </c>
      <c r="D5" s="27">
        <v>0.2</v>
      </c>
      <c r="E5" s="27">
        <v>0.45</v>
      </c>
      <c r="F5" s="16">
        <v>80.40443805218821</v>
      </c>
      <c r="G5" s="16">
        <v>62.91443805218821</v>
      </c>
      <c r="H5" s="16">
        <f>F5*0.85</f>
        <v>68.34377234435998</v>
      </c>
      <c r="I5" s="17">
        <f>G5*0.85</f>
        <v>53.477272344359974</v>
      </c>
      <c r="J5" s="2"/>
    </row>
    <row r="6" ht="22" customHeight="1">
      <c r="A6" s="10"/>
      <c r="B6" s="4" t="s">
        <v>8</v>
      </c>
      <c r="C6" s="27">
        <v>1.04</v>
      </c>
      <c r="D6" s="27">
        <v>1.04</v>
      </c>
      <c r="E6" s="27">
        <v>0.86</v>
      </c>
      <c r="F6" s="16">
        <v>878.5532484076433</v>
      </c>
      <c r="G6" s="16">
        <v>784.9832484076433</v>
      </c>
      <c r="H6" s="16">
        <f>F6*0.85</f>
        <v>746.7702611464968</v>
      </c>
      <c r="I6" s="17">
        <f>G6*0.85</f>
        <v>667.2357611464968</v>
      </c>
      <c r="J6" s="2"/>
    </row>
    <row r="7" ht="22" customHeight="1">
      <c r="A7" s="10"/>
      <c r="B7" s="4" t="s">
        <v>9</v>
      </c>
      <c r="C7" s="27">
        <v>1.1</v>
      </c>
      <c r="D7" s="27">
        <v>1.8</v>
      </c>
      <c r="E7" s="27">
        <v>0.86</v>
      </c>
      <c r="F7" s="16">
        <v>1317.9920669817136</v>
      </c>
      <c r="G7" s="16">
        <v>1224.7220669817136</v>
      </c>
      <c r="H7" s="16">
        <f>F7*0.85</f>
        <v>1120.2932569344566</v>
      </c>
      <c r="I7" s="17">
        <f>G7*0.85</f>
        <v>1041.0137569344565</v>
      </c>
      <c r="J7" s="2"/>
    </row>
    <row r="8" ht="22" customHeight="1">
      <c r="A8" s="10"/>
      <c r="B8" s="4" t="s">
        <v>10</v>
      </c>
      <c r="C8" s="27">
        <v>1.2</v>
      </c>
      <c r="D8" s="27">
        <v>1.8</v>
      </c>
      <c r="E8" s="27">
        <v>0.86</v>
      </c>
      <c r="F8" s="16">
        <v>1423.1964968152865</v>
      </c>
      <c r="G8" s="16">
        <v>1325.5564968152867</v>
      </c>
      <c r="H8" s="16">
        <f>F8*0.85</f>
        <v>1209.7170222929935</v>
      </c>
      <c r="I8" s="17">
        <f>G8*0.85</f>
        <v>1126.7230222929936</v>
      </c>
      <c r="J8" s="2"/>
    </row>
    <row r="9" ht="22" customHeight="1">
      <c r="A9" s="10"/>
      <c r="B9" s="4" t="s">
        <v>11</v>
      </c>
      <c r="C9" s="27">
        <v>1.3</v>
      </c>
      <c r="D9" s="27">
        <v>1.8</v>
      </c>
      <c r="E9" s="27">
        <v>0.86</v>
      </c>
      <c r="F9" s="16">
        <v>1525.0331497842612</v>
      </c>
      <c r="G9" s="16">
        <v>1423.0231497842612</v>
      </c>
      <c r="H9" s="16">
        <f>F9*0.85</f>
        <v>1296.278177316622</v>
      </c>
      <c r="I9" s="17">
        <f>G9*0.85</f>
        <v>1209.5696773166221</v>
      </c>
      <c r="J9" s="2"/>
    </row>
    <row r="10" ht="22" customHeight="1">
      <c r="A10" s="10"/>
      <c r="B10" s="4" t="s">
        <v>12</v>
      </c>
      <c r="C10" s="27">
        <v>1</v>
      </c>
      <c r="D10" s="27">
        <v>1.08</v>
      </c>
      <c r="E10" s="27">
        <v>0.86</v>
      </c>
      <c r="F10" s="16">
        <v>866.6532484076433</v>
      </c>
      <c r="G10" s="16">
        <v>782.6432484076433</v>
      </c>
      <c r="H10" s="16">
        <f>F10*0.85</f>
        <v>736.6552611464969</v>
      </c>
      <c r="I10" s="17">
        <f>G10*0.85</f>
        <v>665.2467611464969</v>
      </c>
      <c r="J10" s="2"/>
    </row>
    <row r="11" ht="22" customHeight="1">
      <c r="A11" s="10"/>
      <c r="B11" s="4" t="s">
        <v>13</v>
      </c>
      <c r="C11" s="27">
        <v>1.35</v>
      </c>
      <c r="D11" s="27">
        <v>1.08</v>
      </c>
      <c r="E11" s="27">
        <v>0.86</v>
      </c>
      <c r="F11" s="16">
        <v>997.9221080747894</v>
      </c>
      <c r="G11" s="16">
        <v>924.6321080747894</v>
      </c>
      <c r="H11" s="16">
        <f>F11*0.85</f>
        <v>848.233791863571</v>
      </c>
      <c r="I11" s="17">
        <f>G11*0.85</f>
        <v>785.937291863571</v>
      </c>
      <c r="J11" s="2"/>
    </row>
    <row r="12" ht="22" customHeight="1">
      <c r="A12" s="10"/>
      <c r="B12" s="4" t="s">
        <v>14</v>
      </c>
      <c r="C12" s="27">
        <v>0.8</v>
      </c>
      <c r="D12" s="27">
        <v>1.08</v>
      </c>
      <c r="E12" s="27">
        <v>0.86</v>
      </c>
      <c r="F12" s="16">
        <v>723.2154879802753</v>
      </c>
      <c r="G12" s="16">
        <v>657.1754879802753</v>
      </c>
      <c r="H12" s="16">
        <f>F12*0.85</f>
        <v>614.733164783234</v>
      </c>
      <c r="I12" s="17">
        <f>G12*0.85</f>
        <v>558.599164783234</v>
      </c>
      <c r="J12" s="2"/>
    </row>
    <row r="13" ht="22" customHeight="1">
      <c r="A13" s="10"/>
      <c r="B13" s="4" t="s">
        <v>15</v>
      </c>
      <c r="C13" s="27">
        <v>1.1</v>
      </c>
      <c r="D13" s="27">
        <v>1.08</v>
      </c>
      <c r="E13" s="27">
        <v>0.86</v>
      </c>
      <c r="F13" s="16">
        <v>939.5932401890282</v>
      </c>
      <c r="G13" s="16">
        <v>850.8232401890282</v>
      </c>
      <c r="H13" s="16">
        <f>F13*0.85</f>
        <v>798.6542541606739</v>
      </c>
      <c r="I13" s="17">
        <f>G13*0.85</f>
        <v>723.1997541606739</v>
      </c>
      <c r="J13" s="2"/>
    </row>
    <row r="14" ht="22" customHeight="1">
      <c r="A14" s="10"/>
      <c r="B14" s="4" t="s">
        <v>16</v>
      </c>
      <c r="C14" s="27">
        <v>1.45</v>
      </c>
      <c r="D14" s="27">
        <v>1.08</v>
      </c>
      <c r="E14" s="27">
        <v>0.86</v>
      </c>
      <c r="F14" s="16">
        <v>1067.3498767207725</v>
      </c>
      <c r="G14" s="16">
        <v>989.3798767207724</v>
      </c>
      <c r="H14" s="16">
        <f>F14*0.85</f>
        <v>907.2473952126566</v>
      </c>
      <c r="I14" s="17">
        <f>G14*0.85</f>
        <v>840.9728952126565</v>
      </c>
      <c r="J14" s="2"/>
    </row>
    <row r="15" ht="22" customHeight="1">
      <c r="A15" s="10"/>
      <c r="B15" s="4" t="s">
        <v>17</v>
      </c>
      <c r="C15" s="27">
        <v>0.9</v>
      </c>
      <c r="D15" s="27">
        <v>1.08</v>
      </c>
      <c r="E15" s="27">
        <v>0.86</v>
      </c>
      <c r="F15" s="16">
        <v>793.6232566262584</v>
      </c>
      <c r="G15" s="16">
        <v>722.7532566262583</v>
      </c>
      <c r="H15" s="16">
        <f>F15*0.85</f>
        <v>674.5797681323196</v>
      </c>
      <c r="I15" s="17">
        <f>G15*0.85</f>
        <v>614.3402681323196</v>
      </c>
      <c r="J15" s="2"/>
    </row>
    <row r="16" ht="22" customHeight="1">
      <c r="A16" s="10"/>
      <c r="B16" s="4" t="s">
        <v>18</v>
      </c>
      <c r="C16" s="27">
        <v>1.2</v>
      </c>
      <c r="D16" s="27">
        <v>1.08</v>
      </c>
      <c r="E16" s="27">
        <v>0.86</v>
      </c>
      <c r="F16" s="16">
        <v>1006.813231970413</v>
      </c>
      <c r="G16" s="16">
        <v>913.293231970413</v>
      </c>
      <c r="H16" s="16">
        <f>F16*0.85</f>
        <v>855.791247174851</v>
      </c>
      <c r="I16" s="17">
        <f>G16*0.85</f>
        <v>776.2992471748511</v>
      </c>
      <c r="J16" s="2"/>
    </row>
    <row r="17" ht="22" customHeight="1">
      <c r="A17" s="10"/>
      <c r="B17" s="4" t="s">
        <v>19</v>
      </c>
      <c r="C17" s="27">
        <v>1.55</v>
      </c>
      <c r="D17" s="27">
        <v>1.08</v>
      </c>
      <c r="E17" s="27">
        <v>0.86</v>
      </c>
      <c r="F17" s="16">
        <v>1142.809868502157</v>
      </c>
      <c r="G17" s="16">
        <v>1060.1498685021572</v>
      </c>
      <c r="H17" s="16">
        <f>F17*0.85</f>
        <v>971.3883882268335</v>
      </c>
      <c r="I17" s="17">
        <f>G17*0.85</f>
        <v>901.1273882268337</v>
      </c>
      <c r="J17" s="2"/>
    </row>
    <row r="18" ht="22" customHeight="1">
      <c r="A18" s="10"/>
      <c r="B18" s="4" t="s">
        <v>20</v>
      </c>
      <c r="C18" s="27">
        <v>1</v>
      </c>
      <c r="D18" s="27">
        <v>1.08</v>
      </c>
      <c r="E18" s="27">
        <v>0.86</v>
      </c>
      <c r="F18" s="16">
        <v>860.7132484076433</v>
      </c>
      <c r="G18" s="16">
        <v>785.0132484076433</v>
      </c>
      <c r="H18" s="16">
        <f>F18*0.85</f>
        <v>731.6062611464968</v>
      </c>
      <c r="I18" s="17">
        <f>G18*0.85</f>
        <v>667.2612611464968</v>
      </c>
      <c r="J18" s="2"/>
    </row>
    <row r="19" ht="22" customHeight="1">
      <c r="A19" s="10"/>
      <c r="B19" s="4" t="s">
        <v>21</v>
      </c>
      <c r="C19" s="27">
        <v>1.65</v>
      </c>
      <c r="D19" s="27">
        <v>1.08</v>
      </c>
      <c r="E19" s="27">
        <v>0.86</v>
      </c>
      <c r="F19" s="16">
        <v>1208.2798602835421</v>
      </c>
      <c r="G19" s="16">
        <v>1120.9398602835422</v>
      </c>
      <c r="H19" s="16">
        <f>F19*0.85</f>
        <v>1027.0378812410108</v>
      </c>
      <c r="I19" s="17">
        <f>G19*0.85</f>
        <v>952.7988812410108</v>
      </c>
      <c r="J19" s="2"/>
    </row>
    <row r="20" ht="22" customHeight="1">
      <c r="A20" s="10"/>
      <c r="B20" s="4" t="s">
        <v>22</v>
      </c>
      <c r="C20" s="27">
        <v>1.1</v>
      </c>
      <c r="D20" s="27">
        <v>1.08</v>
      </c>
      <c r="E20" s="27">
        <v>0.86</v>
      </c>
      <c r="F20" s="16">
        <v>934.2532401890281</v>
      </c>
      <c r="G20" s="16">
        <v>853.7132401890282</v>
      </c>
      <c r="H20" s="16">
        <f>F20*0.85</f>
        <v>794.1152541606739</v>
      </c>
      <c r="I20" s="17">
        <f>G20*0.85</f>
        <v>725.6562541606739</v>
      </c>
      <c r="J20" s="2"/>
    </row>
    <row r="21" ht="22" customHeight="1">
      <c r="A21" s="10"/>
      <c r="B21" s="4" t="s">
        <v>23</v>
      </c>
      <c r="C21" s="27">
        <v>1.75</v>
      </c>
      <c r="D21" s="27">
        <v>1.08</v>
      </c>
      <c r="E21" s="27">
        <v>0.86</v>
      </c>
      <c r="F21" s="16">
        <v>1277.7076289295253</v>
      </c>
      <c r="G21" s="16">
        <v>1185.687628929525</v>
      </c>
      <c r="H21" s="16">
        <f>F21*0.85</f>
        <v>1086.0514845900964</v>
      </c>
      <c r="I21" s="17">
        <f>G21*0.85</f>
        <v>1007.8344845900963</v>
      </c>
      <c r="J21" s="2"/>
    </row>
    <row r="22" ht="22" customHeight="1">
      <c r="A22" s="10"/>
      <c r="B22" s="4" t="s">
        <v>24</v>
      </c>
      <c r="C22" s="27">
        <v>1.85</v>
      </c>
      <c r="D22" s="27">
        <v>1.08</v>
      </c>
      <c r="E22" s="27">
        <v>0.86</v>
      </c>
      <c r="F22" s="16">
        <v>1343.1676207109101</v>
      </c>
      <c r="G22" s="16">
        <v>1246.4776207109103</v>
      </c>
      <c r="H22" s="16">
        <f>F22*0.85</f>
        <v>1141.6924776042736</v>
      </c>
      <c r="I22" s="17">
        <f>G22*0.85</f>
        <v>1059.5059776042738</v>
      </c>
      <c r="J22" s="2"/>
    </row>
    <row r="23" ht="22" customHeight="1">
      <c r="A23" s="10"/>
      <c r="B23" s="4" t="s">
        <v>25</v>
      </c>
      <c r="C23" s="27">
        <v>1.95</v>
      </c>
      <c r="D23" s="27">
        <v>1.08</v>
      </c>
      <c r="E23" s="27">
        <v>0.86</v>
      </c>
      <c r="F23" s="16">
        <v>1408.6376124922951</v>
      </c>
      <c r="G23" s="16">
        <v>1307.2676124922953</v>
      </c>
      <c r="H23" s="16">
        <f>F23*0.85</f>
        <v>1197.341970618451</v>
      </c>
      <c r="I23" s="17">
        <f>G23*0.85</f>
        <v>1111.177470618451</v>
      </c>
      <c r="J23" s="2"/>
    </row>
    <row r="24" ht="22" customHeight="1">
      <c r="A24" s="10"/>
      <c r="B24" s="4" t="s">
        <v>26</v>
      </c>
      <c r="C24" s="27">
        <v>1.8</v>
      </c>
      <c r="D24" s="27">
        <v>1.08</v>
      </c>
      <c r="E24" s="27">
        <v>0.86</v>
      </c>
      <c r="F24" s="16">
        <v>1433.5387363879183</v>
      </c>
      <c r="G24" s="16">
        <v>1307.9887363879184</v>
      </c>
      <c r="H24" s="16">
        <f>F24*0.85</f>
        <v>1218.5079259297306</v>
      </c>
      <c r="I24" s="17">
        <f>G24*0.85</f>
        <v>1111.7904259297306</v>
      </c>
      <c r="J24" s="2"/>
    </row>
    <row r="25" ht="22" customHeight="1">
      <c r="A25" s="10"/>
      <c r="B25" s="4" t="s">
        <v>27</v>
      </c>
      <c r="C25" s="27">
        <v>2.15</v>
      </c>
      <c r="D25" s="27">
        <v>1.08</v>
      </c>
      <c r="E25" s="27">
        <v>0.86</v>
      </c>
      <c r="F25" s="16">
        <v>1591.195372919663</v>
      </c>
      <c r="G25" s="16">
        <v>1461.755372919663</v>
      </c>
      <c r="H25" s="16">
        <f>F25*0.85</f>
        <v>1352.5160669817135</v>
      </c>
      <c r="I25" s="17">
        <f>G25*0.85</f>
        <v>1242.4920669817134</v>
      </c>
      <c r="J25" s="2"/>
    </row>
    <row r="26" ht="22" customHeight="1">
      <c r="A26" s="10"/>
      <c r="B26" s="4" t="s">
        <v>28</v>
      </c>
      <c r="C26" s="27">
        <v>2</v>
      </c>
      <c r="D26" s="27">
        <v>1.08</v>
      </c>
      <c r="E26" s="27">
        <v>0.86</v>
      </c>
      <c r="F26" s="16">
        <v>1569.0564968152867</v>
      </c>
      <c r="G26" s="16">
        <v>1434.1564968152866</v>
      </c>
      <c r="H26" s="16">
        <f>F26*0.85</f>
        <v>1333.6980222929935</v>
      </c>
      <c r="I26" s="17">
        <f>G26*0.85</f>
        <v>1219.0330222929936</v>
      </c>
      <c r="J26" s="2"/>
    </row>
    <row r="27" ht="22" customHeight="1">
      <c r="A27" s="10"/>
      <c r="B27" s="4" t="s">
        <v>29</v>
      </c>
      <c r="C27" s="27">
        <v>2.35</v>
      </c>
      <c r="D27" s="27">
        <v>1.08</v>
      </c>
      <c r="E27" s="27">
        <v>0.86</v>
      </c>
      <c r="F27" s="16">
        <v>1719.055356482433</v>
      </c>
      <c r="G27" s="16">
        <v>1581.815356482433</v>
      </c>
      <c r="H27" s="16">
        <f>F27*0.85</f>
        <v>1461.197053010068</v>
      </c>
      <c r="I27" s="17">
        <f>G27*0.85</f>
        <v>1344.543053010068</v>
      </c>
      <c r="J27" s="2"/>
    </row>
    <row r="28" ht="22" customHeight="1">
      <c r="A28" s="10"/>
      <c r="B28" s="4" t="s">
        <v>30</v>
      </c>
      <c r="C28" s="27">
        <v>2.2</v>
      </c>
      <c r="D28" s="27">
        <v>1.08</v>
      </c>
      <c r="E28" s="27">
        <v>0.86</v>
      </c>
      <c r="F28" s="16">
        <v>1707.4764803780563</v>
      </c>
      <c r="G28" s="16">
        <v>1563.2264803780563</v>
      </c>
      <c r="H28" s="16">
        <f>F28*0.85</f>
        <v>1451.355008321348</v>
      </c>
      <c r="I28" s="17">
        <f>G28*0.85</f>
        <v>1328.7425083213477</v>
      </c>
      <c r="J28" s="2"/>
    </row>
    <row r="29" ht="22" customHeight="1">
      <c r="A29" s="10"/>
      <c r="B29" s="4" t="s">
        <v>31</v>
      </c>
      <c r="C29" s="27">
        <v>2.55</v>
      </c>
      <c r="D29" s="27">
        <v>1.08</v>
      </c>
      <c r="E29" s="27">
        <v>0.86</v>
      </c>
      <c r="F29" s="16">
        <v>1859.5931169098008</v>
      </c>
      <c r="G29" s="16">
        <v>1714.5531169098008</v>
      </c>
      <c r="H29" s="16">
        <f>F29*0.85</f>
        <v>1580.6541493733307</v>
      </c>
      <c r="I29" s="17">
        <f>G29*0.85</f>
        <v>1457.3701493733306</v>
      </c>
      <c r="J29" s="2"/>
    </row>
    <row r="30" ht="22" customHeight="1">
      <c r="A30" s="10"/>
      <c r="B30" s="4" t="s">
        <v>32</v>
      </c>
      <c r="C30" s="27">
        <v>2.4</v>
      </c>
      <c r="D30" s="27">
        <v>1.08</v>
      </c>
      <c r="E30" s="27">
        <v>0.86</v>
      </c>
      <c r="F30" s="16">
        <v>1842.374240805424</v>
      </c>
      <c r="G30" s="16">
        <v>1688.7642408054242</v>
      </c>
      <c r="H30" s="16">
        <f>F30*0.85</f>
        <v>1566.0181046846103</v>
      </c>
      <c r="I30" s="17">
        <f>G30*0.85</f>
        <v>1435.4496046846104</v>
      </c>
      <c r="J30" s="2"/>
    </row>
    <row r="31" ht="22" customHeight="1">
      <c r="A31" s="10"/>
      <c r="B31" s="4" t="s">
        <v>33</v>
      </c>
      <c r="C31" s="27">
        <v>2.75</v>
      </c>
      <c r="D31" s="27">
        <v>1.08</v>
      </c>
      <c r="E31" s="27">
        <v>0.86</v>
      </c>
      <c r="F31" s="16">
        <v>1988.0731004725703</v>
      </c>
      <c r="G31" s="16">
        <v>1835.2331004725704</v>
      </c>
      <c r="H31" s="16">
        <f>F31*0.85</f>
        <v>1689.8621354016848</v>
      </c>
      <c r="I31" s="17">
        <f>G31*0.85</f>
        <v>1559.9481354016848</v>
      </c>
      <c r="J31" s="2"/>
    </row>
    <row r="32" ht="22" customHeight="1">
      <c r="A32" s="10"/>
      <c r="B32" s="4" t="s">
        <v>34</v>
      </c>
      <c r="C32" s="27">
        <v>0.8</v>
      </c>
      <c r="D32" s="27">
        <v>0.8</v>
      </c>
      <c r="E32" s="27">
        <v>0.45</v>
      </c>
      <c r="F32" s="16">
        <v>387.54552907335113</v>
      </c>
      <c r="G32" s="16">
        <v>356.9455290733511</v>
      </c>
      <c r="H32" s="16">
        <f>F32*0.85</f>
        <v>329.41369971234843</v>
      </c>
      <c r="I32" s="17">
        <f>G32*0.85</f>
        <v>303.40369971234844</v>
      </c>
      <c r="J32" s="2"/>
    </row>
    <row r="33" ht="22" customHeight="1">
      <c r="A33" s="10"/>
      <c r="B33" s="4" t="s">
        <v>35</v>
      </c>
      <c r="C33" s="27">
        <v>0.9</v>
      </c>
      <c r="D33" s="27">
        <v>0.8</v>
      </c>
      <c r="E33" s="27">
        <v>0.45</v>
      </c>
      <c r="F33" s="16">
        <v>418.0188596671461</v>
      </c>
      <c r="G33" s="16">
        <v>384.49885966714606</v>
      </c>
      <c r="H33" s="16">
        <f>F33*0.85</f>
        <v>355.31603071707417</v>
      </c>
      <c r="I33" s="17">
        <f>G33*0.85</f>
        <v>326.82403071707415</v>
      </c>
      <c r="J33" s="2"/>
    </row>
    <row r="34" ht="22" customHeight="1">
      <c r="A34" s="10"/>
      <c r="B34" s="4" t="s">
        <v>36</v>
      </c>
      <c r="C34" s="27">
        <v>1.55</v>
      </c>
      <c r="D34" s="27">
        <v>0.8</v>
      </c>
      <c r="E34" s="27">
        <v>0.45</v>
      </c>
      <c r="F34" s="16">
        <v>591.4755044175057</v>
      </c>
      <c r="G34" s="16">
        <v>561.6055044175057</v>
      </c>
      <c r="H34" s="16">
        <f>F34*0.85</f>
        <v>502.75417875487983</v>
      </c>
      <c r="I34" s="17">
        <f>G34*0.85</f>
        <v>477.36467875487983</v>
      </c>
      <c r="J34" s="2"/>
    </row>
    <row r="35" ht="22" customHeight="1">
      <c r="A35" s="10"/>
      <c r="B35" s="4" t="s">
        <v>37</v>
      </c>
      <c r="C35" s="27">
        <v>1</v>
      </c>
      <c r="D35" s="27">
        <v>0.8</v>
      </c>
      <c r="E35" s="27">
        <v>0.45</v>
      </c>
      <c r="F35" s="16">
        <v>452.43996712553934</v>
      </c>
      <c r="G35" s="16">
        <v>416.00996712553933</v>
      </c>
      <c r="H35" s="16">
        <f>F35*0.85</f>
        <v>384.57397205670844</v>
      </c>
      <c r="I35" s="17">
        <f>G35*0.85</f>
        <v>353.6084720567084</v>
      </c>
      <c r="J35" s="2"/>
    </row>
    <row r="36" ht="22" customHeight="1">
      <c r="A36" s="10"/>
      <c r="B36" s="4" t="s">
        <v>38</v>
      </c>
      <c r="C36" s="27">
        <v>1.65</v>
      </c>
      <c r="D36" s="27">
        <v>0.8</v>
      </c>
      <c r="E36" s="27">
        <v>0.45</v>
      </c>
      <c r="F36" s="16">
        <v>619.0588350113005</v>
      </c>
      <c r="G36" s="16">
        <v>587.7288350113006</v>
      </c>
      <c r="H36" s="16">
        <f>F36*0.85</f>
        <v>526.2000097596055</v>
      </c>
      <c r="I36" s="17">
        <f>G36*0.85</f>
        <v>499.56950975960547</v>
      </c>
      <c r="J36" s="2"/>
    </row>
    <row r="37" ht="22" customHeight="1">
      <c r="A37" s="10"/>
      <c r="B37" s="4" t="s">
        <v>39</v>
      </c>
      <c r="C37" s="27">
        <v>1.1</v>
      </c>
      <c r="D37" s="27">
        <v>0.8</v>
      </c>
      <c r="E37" s="27">
        <v>0.45</v>
      </c>
      <c r="F37" s="16">
        <v>486.8710745839326</v>
      </c>
      <c r="G37" s="16">
        <v>447.52107458393266</v>
      </c>
      <c r="H37" s="16">
        <f>F37*0.85</f>
        <v>413.84041339634274</v>
      </c>
      <c r="I37" s="17">
        <f>G37*0.85</f>
        <v>380.39291339634275</v>
      </c>
      <c r="J37" s="2"/>
    </row>
    <row r="38" ht="22" customHeight="1">
      <c r="A38" s="10"/>
      <c r="B38" s="4" t="s">
        <v>40</v>
      </c>
      <c r="C38" s="27">
        <v>1.04</v>
      </c>
      <c r="D38" s="27">
        <v>1.04</v>
      </c>
      <c r="E38" s="27">
        <v>0.45</v>
      </c>
      <c r="F38" s="16">
        <v>575.5810663653174</v>
      </c>
      <c r="G38" s="16">
        <v>523.8410663653175</v>
      </c>
      <c r="H38" s="16">
        <f>F38*0.85</f>
        <v>489.24390641051974</v>
      </c>
      <c r="I38" s="17">
        <f>G38*0.85</f>
        <v>445.26490641051987</v>
      </c>
      <c r="J38" s="2"/>
    </row>
    <row r="39" ht="22" customHeight="1">
      <c r="A39" s="10"/>
      <c r="B39" s="4" t="s">
        <v>41</v>
      </c>
      <c r="C39" s="27">
        <v>2</v>
      </c>
      <c r="D39" s="27">
        <v>1.08</v>
      </c>
      <c r="E39" s="27">
        <v>0.86</v>
      </c>
      <c r="F39" s="16">
        <v>1488.8364968152866</v>
      </c>
      <c r="G39" s="16">
        <v>1379.5364968152867</v>
      </c>
      <c r="H39" s="16">
        <f>F39*0.85</f>
        <v>1265.5110222929936</v>
      </c>
      <c r="I39" s="17">
        <f>G39*0.85</f>
        <v>1172.6060222929937</v>
      </c>
      <c r="J39" s="2"/>
    </row>
    <row r="40" ht="22" customHeight="1">
      <c r="A40" s="10"/>
      <c r="B40" s="4" t="s">
        <v>42</v>
      </c>
      <c r="C40" s="27">
        <v>2.2</v>
      </c>
      <c r="D40" s="27">
        <v>1.08</v>
      </c>
      <c r="E40" s="27">
        <v>0.86</v>
      </c>
      <c r="F40" s="16">
        <v>1625.7064803780563</v>
      </c>
      <c r="G40" s="16">
        <v>1504.7564803780565</v>
      </c>
      <c r="H40" s="16">
        <f>F40*0.85</f>
        <v>1381.850508321348</v>
      </c>
      <c r="I40" s="17">
        <f>G40*0.85</f>
        <v>1279.043008321348</v>
      </c>
      <c r="J40" s="2"/>
    </row>
    <row r="41" ht="22" customHeight="1">
      <c r="A41" s="10"/>
      <c r="B41" s="5" t="s">
        <v>43</v>
      </c>
      <c r="C41" s="28">
        <v>2.4</v>
      </c>
      <c r="D41" s="28">
        <v>1.08</v>
      </c>
      <c r="E41" s="28">
        <v>0.86</v>
      </c>
      <c r="F41" s="18">
        <v>1763.0442408054241</v>
      </c>
      <c r="G41" s="18">
        <v>1630.4342408054242</v>
      </c>
      <c r="H41" s="18">
        <f>F41*0.85</f>
        <v>1498.5876046846104</v>
      </c>
      <c r="I41" s="19">
        <f>G41*0.85</f>
        <v>1385.8691046846106</v>
      </c>
      <c r="J41" s="2"/>
    </row>
    <row r="42">
      <c r="A42" s="10"/>
      <c r="B42" s="2"/>
      <c r="C42" s="29"/>
      <c r="D42" s="29"/>
      <c r="E42" s="29"/>
      <c r="F42" s="20"/>
      <c r="G42" s="20"/>
      <c r="H42" s="20"/>
      <c r="I42" s="20"/>
    </row>
    <row r="43">
      <c r="A43" s="10"/>
      <c r="B43" s="6" t="s">
        <v>44</v>
      </c>
      <c r="C43" s="30" t="s">
        <v>45</v>
      </c>
      <c r="D43" s="29"/>
      <c r="E43" s="31"/>
      <c r="F43" s="21"/>
      <c r="G43" s="21"/>
      <c r="H43" s="21"/>
      <c r="I43" s="21"/>
    </row>
    <row r="44">
      <c r="A44" s="10"/>
      <c r="B44" s="7"/>
      <c r="C44" s="32"/>
      <c r="D44" s="29"/>
      <c r="E44" s="31"/>
      <c r="F44" s="20"/>
      <c r="G44" s="20"/>
      <c r="H44" s="20"/>
      <c r="I44" s="20"/>
    </row>
    <row r="45">
      <c r="A45" s="10"/>
      <c r="B45" s="6" t="s">
        <v>46</v>
      </c>
      <c r="C45" s="33" t="s">
        <v>47</v>
      </c>
      <c r="D45" s="29"/>
      <c r="E45" s="29"/>
      <c r="F45" s="22">
        <f>SUM(F2:F41)</f>
        <v>42156.073199095954</v>
      </c>
      <c r="G45" s="22">
        <f>SUM(G2:G41)</f>
        <v>38790.26319909595</v>
      </c>
      <c r="H45" s="22">
        <f>SUM(H2:H41)</f>
        <v>35832.662219231555</v>
      </c>
      <c r="I45" s="23">
        <f>SUM(I2:I41)</f>
        <v>32971.72371923156</v>
      </c>
      <c r="J45" s="2"/>
    </row>
    <row r="46">
      <c r="A46" s="9"/>
      <c r="B46" s="8"/>
      <c r="C46" s="34"/>
      <c r="D46" s="29"/>
      <c r="E46" s="29"/>
      <c r="F46" s="24"/>
      <c r="G46" s="24"/>
      <c r="H46" s="24"/>
      <c r="I46" s="25"/>
      <c r="J46" s="2"/>
    </row>
    <row r="47">
      <c r="A47" s="12" t="s">
        <v>48</v>
      </c>
      <c r="B47" s="2"/>
      <c r="C47" s="29"/>
      <c r="D47" s="31"/>
      <c r="E47" s="31"/>
      <c r="F47" s="20"/>
      <c r="G47" s="20"/>
      <c r="H47" s="20"/>
      <c r="I47" s="20"/>
    </row>
    <row r="48">
      <c r="A48" s="13" t="s">
        <v>49</v>
      </c>
      <c r="C48" s="31"/>
      <c r="D48" s="31"/>
      <c r="E48" s="31"/>
      <c r="F48" s="21"/>
      <c r="G48" s="21"/>
      <c r="H48" s="21"/>
      <c r="I48" s="21"/>
    </row>
    <row r="49">
      <c r="A49" s="2"/>
      <c r="B49" s="2"/>
      <c r="C49" s="29"/>
      <c r="D49" s="29"/>
      <c r="E49" s="29"/>
      <c r="F49" s="20"/>
      <c r="G49" s="20"/>
      <c r="H49" s="20"/>
      <c r="I49" s="20"/>
    </row>
    <row r="50" ht="25" customHeight="1">
      <c r="A50" s="11" t="s">
        <v>50</v>
      </c>
      <c r="B50" s="3" t="s">
        <v>1</v>
      </c>
      <c r="C50" s="26" t="s">
        <v>2</v>
      </c>
      <c r="D50" s="26" t="s">
        <v>3</v>
      </c>
      <c r="E50" s="26" t="s">
        <v>4</v>
      </c>
      <c r="F50" s="14" t="s">
        <v>5</v>
      </c>
      <c r="G50" s="14" t="s">
        <v>6</v>
      </c>
      <c r="H50" s="14" t="s">
        <v>5</v>
      </c>
      <c r="I50" s="15" t="s">
        <v>6</v>
      </c>
      <c r="J50" s="2"/>
    </row>
    <row r="51" ht="22" customHeight="1">
      <c r="A51" s="10"/>
      <c r="B51" s="4" t="s">
        <v>51</v>
      </c>
      <c r="C51" s="27">
        <v>0.3</v>
      </c>
      <c r="D51" s="27">
        <v>0.6</v>
      </c>
      <c r="E51" s="27">
        <v>0.3</v>
      </c>
      <c r="F51" s="16">
        <v>235.2688843229916</v>
      </c>
      <c r="G51" s="16">
        <v>179.3088843229916</v>
      </c>
      <c r="H51" s="16">
        <f>F51*0.85</f>
        <v>199.97855167454284</v>
      </c>
      <c r="I51" s="17">
        <f>G51*0.85</f>
        <v>152.41255167454284</v>
      </c>
      <c r="J51" s="2"/>
    </row>
    <row r="52" ht="22" customHeight="1">
      <c r="A52" s="10"/>
      <c r="B52" s="4" t="s">
        <v>52</v>
      </c>
      <c r="C52" s="27">
        <v>1.15</v>
      </c>
      <c r="D52" s="27">
        <v>1.75</v>
      </c>
      <c r="E52" s="27">
        <v>0.78</v>
      </c>
      <c r="F52" s="16">
        <v>1661.8009677419357</v>
      </c>
      <c r="G52" s="16">
        <v>1519.2109677419355</v>
      </c>
      <c r="H52" s="16">
        <f>F52*0.85</f>
        <v>1412.5308225806452</v>
      </c>
      <c r="I52" s="17">
        <f>G52*0.85</f>
        <v>1291.329322580645</v>
      </c>
      <c r="J52" s="2"/>
    </row>
    <row r="53" ht="22" customHeight="1">
      <c r="A53" s="10"/>
      <c r="B53" s="4" t="s">
        <v>52</v>
      </c>
      <c r="C53" s="27">
        <v>1.15</v>
      </c>
      <c r="D53" s="27">
        <v>1.75</v>
      </c>
      <c r="E53" s="27">
        <v>0.78</v>
      </c>
      <c r="F53" s="16">
        <v>1661.8009677419357</v>
      </c>
      <c r="G53" s="16">
        <v>1519.2109677419355</v>
      </c>
      <c r="H53" s="16">
        <f>F53*0.85</f>
        <v>1412.5308225806452</v>
      </c>
      <c r="I53" s="17">
        <f>G53*0.85</f>
        <v>1291.329322580645</v>
      </c>
      <c r="J53" s="2"/>
    </row>
    <row r="54" ht="22" customHeight="1">
      <c r="A54" s="10"/>
      <c r="B54" s="4" t="s">
        <v>53</v>
      </c>
      <c r="C54" s="27">
        <v>1.15</v>
      </c>
      <c r="D54" s="27">
        <v>0.94</v>
      </c>
      <c r="E54" s="27">
        <v>0.78</v>
      </c>
      <c r="F54" s="16">
        <v>1185.5632566262584</v>
      </c>
      <c r="G54" s="16">
        <v>1098.9232566262583</v>
      </c>
      <c r="H54" s="16">
        <f>F54*0.85</f>
        <v>1007.7287681323196</v>
      </c>
      <c r="I54" s="17">
        <f>G54*0.85</f>
        <v>934.0847681323195</v>
      </c>
      <c r="J54" s="2"/>
    </row>
    <row r="55" ht="22" customHeight="1">
      <c r="A55" s="10"/>
      <c r="B55" s="4" t="s">
        <v>54</v>
      </c>
      <c r="C55" s="27">
        <v>1.35</v>
      </c>
      <c r="D55" s="27">
        <v>0.94</v>
      </c>
      <c r="E55" s="27">
        <v>0.78</v>
      </c>
      <c r="F55" s="16">
        <v>1326.2599095952332</v>
      </c>
      <c r="G55" s="16">
        <v>1226.9899095952333</v>
      </c>
      <c r="H55" s="16">
        <f>F55*0.85</f>
        <v>1127.3209231559483</v>
      </c>
      <c r="I55" s="17">
        <f>G55*0.85</f>
        <v>1042.9414231559483</v>
      </c>
      <c r="J55" s="2"/>
    </row>
    <row r="56" ht="22" customHeight="1">
      <c r="A56" s="10"/>
      <c r="B56" s="4" t="s">
        <v>55</v>
      </c>
      <c r="C56" s="27">
        <v>1.85</v>
      </c>
      <c r="D56" s="27">
        <v>0.94</v>
      </c>
      <c r="E56" s="27">
        <v>0.78</v>
      </c>
      <c r="F56" s="16">
        <v>1586.517653585371</v>
      </c>
      <c r="G56" s="16">
        <v>1474.6176535853708</v>
      </c>
      <c r="H56" s="16">
        <f>F56*0.85</f>
        <v>1348.5400055475652</v>
      </c>
      <c r="I56" s="17">
        <f>G56*0.85</f>
        <v>1253.4250055475652</v>
      </c>
      <c r="J56" s="2"/>
    </row>
    <row r="57" ht="22" customHeight="1">
      <c r="A57" s="10"/>
      <c r="B57" s="4" t="s">
        <v>56</v>
      </c>
      <c r="C57" s="27">
        <v>1.55</v>
      </c>
      <c r="D57" s="27">
        <v>0.94</v>
      </c>
      <c r="E57" s="27">
        <v>0.78</v>
      </c>
      <c r="F57" s="16">
        <v>1467.686562564208</v>
      </c>
      <c r="G57" s="16">
        <v>1355.7765625642078</v>
      </c>
      <c r="H57" s="16">
        <f>F57*0.85</f>
        <v>1247.5335781795768</v>
      </c>
      <c r="I57" s="17">
        <f>G57*0.85</f>
        <v>1152.4100781795767</v>
      </c>
      <c r="J57" s="2"/>
    </row>
    <row r="58" ht="22" customHeight="1">
      <c r="A58" s="10"/>
      <c r="B58" s="4" t="s">
        <v>57</v>
      </c>
      <c r="C58" s="27">
        <v>1.75</v>
      </c>
      <c r="D58" s="27">
        <v>0.94</v>
      </c>
      <c r="E58" s="27">
        <v>0.78</v>
      </c>
      <c r="F58" s="16">
        <v>1614.5354386685842</v>
      </c>
      <c r="G58" s="16">
        <v>1489.9854386685843</v>
      </c>
      <c r="H58" s="16">
        <f>F58*0.85</f>
        <v>1372.3551228682966</v>
      </c>
      <c r="I58" s="17">
        <f>G58*0.85</f>
        <v>1266.4876228682965</v>
      </c>
      <c r="J58" s="2"/>
    </row>
    <row r="59" ht="22" customHeight="1">
      <c r="A59" s="10"/>
      <c r="B59" s="4" t="s">
        <v>58</v>
      </c>
      <c r="C59" s="27">
        <v>1.95</v>
      </c>
      <c r="D59" s="27">
        <v>0.94</v>
      </c>
      <c r="E59" s="27">
        <v>0.78</v>
      </c>
      <c r="F59" s="16">
        <v>1757.4020916375591</v>
      </c>
      <c r="G59" s="16">
        <v>1620.2220916375593</v>
      </c>
      <c r="H59" s="16">
        <f>F59*0.85</f>
        <v>1493.7917778919252</v>
      </c>
      <c r="I59" s="17">
        <f>G59*0.85</f>
        <v>1377.1887778919254</v>
      </c>
      <c r="J59" s="2"/>
    </row>
    <row r="60" ht="22" customHeight="1">
      <c r="A60" s="10"/>
      <c r="B60" s="4" t="s">
        <v>59</v>
      </c>
      <c r="C60" s="27">
        <v>2.45</v>
      </c>
      <c r="D60" s="27">
        <v>0.94</v>
      </c>
      <c r="E60" s="27">
        <v>0.78</v>
      </c>
      <c r="F60" s="16">
        <v>2012.6098356276968</v>
      </c>
      <c r="G60" s="16">
        <v>1862.789835627697</v>
      </c>
      <c r="H60" s="16">
        <f>F60*0.85</f>
        <v>1710.7183602835423</v>
      </c>
      <c r="I60" s="17">
        <f>G60*0.85</f>
        <v>1583.3713602835423</v>
      </c>
      <c r="J60" s="2"/>
    </row>
    <row r="61" ht="22" customHeight="1">
      <c r="A61" s="10"/>
      <c r="B61" s="4" t="s">
        <v>60</v>
      </c>
      <c r="C61" s="27">
        <v>2.15</v>
      </c>
      <c r="D61" s="27">
        <v>0.94</v>
      </c>
      <c r="E61" s="27">
        <v>0.78</v>
      </c>
      <c r="F61" s="16">
        <v>1906.7587446065336</v>
      </c>
      <c r="G61" s="16">
        <v>1756.9487446065336</v>
      </c>
      <c r="H61" s="16">
        <f>F61*0.85</f>
        <v>1620.7449329155536</v>
      </c>
      <c r="I61" s="17">
        <f>G61*0.85</f>
        <v>1493.4064329155535</v>
      </c>
      <c r="J61" s="2"/>
    </row>
    <row r="62" ht="22" customHeight="1">
      <c r="A62" s="10"/>
      <c r="B62" s="4" t="s">
        <v>61</v>
      </c>
      <c r="C62" s="27">
        <v>2.65</v>
      </c>
      <c r="D62" s="27">
        <v>0.94</v>
      </c>
      <c r="E62" s="27">
        <v>0.78</v>
      </c>
      <c r="F62" s="16">
        <v>2157.2887117320734</v>
      </c>
      <c r="G62" s="16">
        <v>1994.8387117320733</v>
      </c>
      <c r="H62" s="16">
        <f>F62*0.85</f>
        <v>1833.6954049722624</v>
      </c>
      <c r="I62" s="17">
        <f>G62*0.85</f>
        <v>1695.6129049722622</v>
      </c>
      <c r="J62" s="2"/>
    </row>
    <row r="63" ht="22" customHeight="1">
      <c r="A63" s="10"/>
      <c r="B63" s="4" t="s">
        <v>62</v>
      </c>
      <c r="C63" s="27">
        <v>2.35</v>
      </c>
      <c r="D63" s="27">
        <v>0.94</v>
      </c>
      <c r="E63" s="27">
        <v>0.78</v>
      </c>
      <c r="F63" s="16">
        <v>2034.8376207109104</v>
      </c>
      <c r="G63" s="16">
        <v>1872.3876207109104</v>
      </c>
      <c r="H63" s="16">
        <f>F63*0.85</f>
        <v>1729.6119776042738</v>
      </c>
      <c r="I63" s="17">
        <f>G63*0.85</f>
        <v>1591.5294776042738</v>
      </c>
      <c r="J63" s="2"/>
    </row>
    <row r="64" ht="22" customHeight="1">
      <c r="A64" s="10"/>
      <c r="B64" s="4" t="s">
        <v>63</v>
      </c>
      <c r="C64" s="27">
        <v>2.5</v>
      </c>
      <c r="D64" s="27">
        <v>1.15</v>
      </c>
      <c r="E64" s="27">
        <v>0.78</v>
      </c>
      <c r="F64" s="16">
        <v>2362.6220176700226</v>
      </c>
      <c r="G64" s="16">
        <v>2198.3720176700226</v>
      </c>
      <c r="H64" s="16">
        <f>F64*0.85</f>
        <v>2008.228715019519</v>
      </c>
      <c r="I64" s="17">
        <f>G64*0.85</f>
        <v>1868.6162150195191</v>
      </c>
      <c r="J64" s="2"/>
    </row>
    <row r="65" ht="22" customHeight="1">
      <c r="A65" s="10"/>
      <c r="B65" s="4" t="s">
        <v>64</v>
      </c>
      <c r="C65" s="27">
        <v>1.15</v>
      </c>
      <c r="D65" s="27">
        <v>0.94</v>
      </c>
      <c r="E65" s="27">
        <v>0.78</v>
      </c>
      <c r="F65" s="16">
        <v>1185.7632566262585</v>
      </c>
      <c r="G65" s="16">
        <v>1091.0032566262585</v>
      </c>
      <c r="H65" s="16">
        <f>F65*0.85</f>
        <v>1007.8987681323197</v>
      </c>
      <c r="I65" s="17">
        <f>G65*0.85</f>
        <v>927.3527681323196</v>
      </c>
      <c r="J65" s="2"/>
    </row>
    <row r="66" ht="22" customHeight="1">
      <c r="A66" s="10"/>
      <c r="B66" s="4" t="s">
        <v>65</v>
      </c>
      <c r="C66" s="27">
        <v>1.35</v>
      </c>
      <c r="D66" s="27">
        <v>0.94</v>
      </c>
      <c r="E66" s="27">
        <v>0.78</v>
      </c>
      <c r="F66" s="16">
        <v>1325.7399095952333</v>
      </c>
      <c r="G66" s="16">
        <v>1218.3399095952332</v>
      </c>
      <c r="H66" s="16">
        <f>F66*0.85</f>
        <v>1126.8789231559483</v>
      </c>
      <c r="I66" s="17">
        <f>G66*0.85</f>
        <v>1035.5889231559481</v>
      </c>
      <c r="J66" s="2"/>
    </row>
    <row r="67" ht="22" customHeight="1">
      <c r="A67" s="10"/>
      <c r="B67" s="4" t="s">
        <v>66</v>
      </c>
      <c r="C67" s="27">
        <v>1.55</v>
      </c>
      <c r="D67" s="27">
        <v>0.94</v>
      </c>
      <c r="E67" s="27">
        <v>0.78</v>
      </c>
      <c r="F67" s="16">
        <v>1465.716562564208</v>
      </c>
      <c r="G67" s="16">
        <v>1345.6865625642079</v>
      </c>
      <c r="H67" s="16">
        <f>F67*0.85</f>
        <v>1245.8590781795767</v>
      </c>
      <c r="I67" s="17">
        <f>G67*0.85</f>
        <v>1143.8335781795768</v>
      </c>
      <c r="J67" s="2"/>
    </row>
    <row r="68" ht="22" customHeight="1">
      <c r="A68" s="10"/>
      <c r="B68" s="4" t="s">
        <v>67</v>
      </c>
      <c r="C68" s="27">
        <v>1.75</v>
      </c>
      <c r="D68" s="27">
        <v>0.94</v>
      </c>
      <c r="E68" s="27">
        <v>0.78</v>
      </c>
      <c r="F68" s="16">
        <v>1602.4554386685843</v>
      </c>
      <c r="G68" s="16">
        <v>1469.7954386685842</v>
      </c>
      <c r="H68" s="16">
        <f>F68*0.85</f>
        <v>1362.0871228682965</v>
      </c>
      <c r="I68" s="17">
        <f>G68*0.85</f>
        <v>1249.3261228682966</v>
      </c>
      <c r="J68" s="2"/>
    </row>
    <row r="69" ht="22" customHeight="1">
      <c r="A69" s="10"/>
      <c r="B69" s="4" t="s">
        <v>68</v>
      </c>
      <c r="C69" s="27">
        <v>1.95</v>
      </c>
      <c r="D69" s="27">
        <v>0.94</v>
      </c>
      <c r="E69" s="27">
        <v>0.78</v>
      </c>
      <c r="F69" s="16">
        <v>1743.8820916375591</v>
      </c>
      <c r="G69" s="16">
        <v>1598.5820916375592</v>
      </c>
      <c r="H69" s="16">
        <f>F69*0.85</f>
        <v>1482.2997778919253</v>
      </c>
      <c r="I69" s="17">
        <f>G69*0.85</f>
        <v>1358.7947778919254</v>
      </c>
      <c r="J69" s="2"/>
    </row>
    <row r="70" ht="22" customHeight="1">
      <c r="A70" s="10"/>
      <c r="B70" s="4" t="s">
        <v>69</v>
      </c>
      <c r="C70" s="27">
        <v>2.15</v>
      </c>
      <c r="D70" s="27">
        <v>0.94</v>
      </c>
      <c r="E70" s="27">
        <v>0.78</v>
      </c>
      <c r="F70" s="16">
        <v>1883.8587446065335</v>
      </c>
      <c r="G70" s="16">
        <v>1725.9187446065337</v>
      </c>
      <c r="H70" s="16">
        <f>F70*0.85</f>
        <v>1601.2799329155534</v>
      </c>
      <c r="I70" s="17">
        <f>G70*0.85</f>
        <v>1467.0309329155536</v>
      </c>
      <c r="J70" s="2"/>
    </row>
    <row r="71" ht="22" customHeight="1">
      <c r="A71" s="10"/>
      <c r="B71" s="4" t="s">
        <v>70</v>
      </c>
      <c r="C71" s="27">
        <v>2.35</v>
      </c>
      <c r="D71" s="27">
        <v>0.94</v>
      </c>
      <c r="E71" s="27">
        <v>0.78</v>
      </c>
      <c r="F71" s="16">
        <v>2019.8776207109104</v>
      </c>
      <c r="G71" s="16">
        <v>1849.3076207109104</v>
      </c>
      <c r="H71" s="16">
        <f>F71*0.85</f>
        <v>1716.8959776042739</v>
      </c>
      <c r="I71" s="17">
        <f>G71*0.85</f>
        <v>1571.9114776042738</v>
      </c>
      <c r="J71" s="2"/>
    </row>
    <row r="72" ht="22" customHeight="1">
      <c r="A72" s="10"/>
      <c r="B72" s="5" t="s">
        <v>71</v>
      </c>
      <c r="C72" s="28">
        <v>0.9</v>
      </c>
      <c r="D72" s="28">
        <v>0.9</v>
      </c>
      <c r="E72" s="28">
        <v>0.45</v>
      </c>
      <c r="F72" s="18">
        <v>601.4499671255394</v>
      </c>
      <c r="G72" s="18">
        <v>554.5199671255393</v>
      </c>
      <c r="H72" s="18">
        <f>F72*0.85</f>
        <v>511.23247205670845</v>
      </c>
      <c r="I72" s="19">
        <f>G72*0.85</f>
        <v>471.3419720567084</v>
      </c>
      <c r="J72" s="2"/>
    </row>
    <row r="73">
      <c r="A73" s="10"/>
      <c r="B73" s="2"/>
      <c r="C73" s="29"/>
      <c r="D73" s="29"/>
      <c r="E73" s="29"/>
      <c r="F73" s="20"/>
      <c r="G73" s="20"/>
      <c r="H73" s="20"/>
      <c r="I73" s="20"/>
    </row>
    <row r="74">
      <c r="A74" s="10"/>
      <c r="B74" s="6" t="s">
        <v>72</v>
      </c>
      <c r="C74" s="30" t="s">
        <v>73</v>
      </c>
      <c r="D74" s="29"/>
      <c r="E74" s="31"/>
      <c r="F74" s="21"/>
      <c r="G74" s="21"/>
      <c r="H74" s="21"/>
      <c r="I74" s="21"/>
    </row>
    <row r="75">
      <c r="A75" s="10"/>
      <c r="B75" s="7"/>
      <c r="C75" s="32"/>
      <c r="D75" s="29"/>
      <c r="E75" s="31"/>
      <c r="F75" s="20"/>
      <c r="G75" s="20"/>
      <c r="H75" s="20"/>
      <c r="I75" s="20"/>
    </row>
    <row r="76">
      <c r="A76" s="10"/>
      <c r="B76" s="6" t="s">
        <v>74</v>
      </c>
      <c r="C76" s="33" t="s">
        <v>47</v>
      </c>
      <c r="D76" s="29"/>
      <c r="E76" s="29"/>
      <c r="F76" s="22">
        <f>SUM(F51:F72)</f>
        <v>34799.69625436614</v>
      </c>
      <c r="G76" s="22">
        <f>SUM(G51:G72)</f>
        <v>32022.73625436614</v>
      </c>
      <c r="H76" s="22">
        <f>SUM(H51:H72)</f>
        <v>29579.74181621122</v>
      </c>
      <c r="I76" s="23">
        <f>SUM(I51:I72)</f>
        <v>27219.325816211218</v>
      </c>
      <c r="J76" s="2"/>
    </row>
    <row r="77">
      <c r="A77" s="9"/>
      <c r="B77" s="8"/>
      <c r="C77" s="34"/>
      <c r="D77" s="29"/>
      <c r="E77" s="29"/>
      <c r="F77" s="24"/>
      <c r="G77" s="24"/>
      <c r="H77" s="24"/>
      <c r="I77" s="25"/>
      <c r="J77" s="2"/>
    </row>
    <row r="78">
      <c r="A78" s="2"/>
      <c r="B78" s="2"/>
      <c r="C78" s="29"/>
      <c r="D78" s="29"/>
      <c r="E78" s="29"/>
      <c r="F78" s="20"/>
      <c r="G78" s="20"/>
      <c r="H78" s="20"/>
      <c r="I78" s="20"/>
    </row>
    <row r="79" ht="25" customHeight="1">
      <c r="A79" s="11" t="s">
        <v>75</v>
      </c>
      <c r="B79" s="3" t="s">
        <v>1</v>
      </c>
      <c r="C79" s="26" t="s">
        <v>2</v>
      </c>
      <c r="D79" s="26" t="s">
        <v>3</v>
      </c>
      <c r="E79" s="26" t="s">
        <v>4</v>
      </c>
      <c r="F79" s="14" t="s">
        <v>76</v>
      </c>
      <c r="G79" s="14" t="s">
        <v>6</v>
      </c>
      <c r="H79" s="14" t="s">
        <v>76</v>
      </c>
      <c r="I79" s="15" t="s">
        <v>6</v>
      </c>
      <c r="J79" s="2"/>
    </row>
    <row r="80" ht="22" customHeight="1">
      <c r="A80" s="10"/>
      <c r="B80" s="4" t="s">
        <v>77</v>
      </c>
      <c r="C80" s="27">
        <v>2.06</v>
      </c>
      <c r="D80" s="27">
        <v>0.98</v>
      </c>
      <c r="E80" s="27">
        <v>0.87</v>
      </c>
      <c r="F80" s="16">
        <v>2019.308728169303</v>
      </c>
      <c r="G80" s="16">
        <v>2019.308728169303</v>
      </c>
      <c r="H80" s="16">
        <f>F80*0.85</f>
        <v>1716.4124189439076</v>
      </c>
      <c r="I80" s="17">
        <f>G80*0.85</f>
        <v>1716.4124189439076</v>
      </c>
      <c r="J80" s="2"/>
    </row>
    <row r="81" ht="22" customHeight="1">
      <c r="A81" s="10"/>
      <c r="B81" s="4" t="s">
        <v>78</v>
      </c>
      <c r="C81" s="27">
        <v>2.46</v>
      </c>
      <c r="D81" s="27">
        <v>0.98</v>
      </c>
      <c r="E81" s="27">
        <v>0.87</v>
      </c>
      <c r="F81" s="16">
        <v>2220.6331415656464</v>
      </c>
      <c r="G81" s="16">
        <v>2220.6331415656464</v>
      </c>
      <c r="H81" s="16">
        <f>F81*0.85</f>
        <v>1887.5381703307994</v>
      </c>
      <c r="I81" s="17">
        <f>G81*0.85</f>
        <v>1887.5381703307994</v>
      </c>
      <c r="J81" s="2"/>
    </row>
    <row r="82" ht="22" customHeight="1">
      <c r="A82" s="10"/>
      <c r="B82" s="4" t="s">
        <v>79</v>
      </c>
      <c r="C82" s="27">
        <v>2.66</v>
      </c>
      <c r="D82" s="27">
        <v>0.98</v>
      </c>
      <c r="E82" s="27">
        <v>0.87</v>
      </c>
      <c r="F82" s="16">
        <v>2352.0553482638175</v>
      </c>
      <c r="G82" s="16">
        <v>2352.0553482638175</v>
      </c>
      <c r="H82" s="16">
        <f>F82*0.85</f>
        <v>1999.2470460242448</v>
      </c>
      <c r="I82" s="17">
        <f>G82*0.85</f>
        <v>1999.2470460242448</v>
      </c>
      <c r="J82" s="2"/>
    </row>
    <row r="83" ht="22" customHeight="1">
      <c r="A83" s="10"/>
      <c r="B83" s="4" t="s">
        <v>80</v>
      </c>
      <c r="C83" s="27">
        <v>2.86</v>
      </c>
      <c r="D83" s="27">
        <v>0.98</v>
      </c>
      <c r="E83" s="27">
        <v>0.87</v>
      </c>
      <c r="F83" s="16">
        <v>2450.7575549619887</v>
      </c>
      <c r="G83" s="16">
        <v>2450.7575549619887</v>
      </c>
      <c r="H83" s="16">
        <f>F83*0.85</f>
        <v>2083.1439217176903</v>
      </c>
      <c r="I83" s="17">
        <f>G83*0.85</f>
        <v>2083.1439217176903</v>
      </c>
      <c r="J83" s="2"/>
    </row>
    <row r="84" ht="22" customHeight="1">
      <c r="A84" s="10"/>
      <c r="B84" s="4" t="s">
        <v>81</v>
      </c>
      <c r="C84" s="27">
        <v>3.06</v>
      </c>
      <c r="D84" s="27">
        <v>0.98</v>
      </c>
      <c r="E84" s="27">
        <v>0.87</v>
      </c>
      <c r="F84" s="16">
        <v>2559.26976166016</v>
      </c>
      <c r="G84" s="16">
        <v>2559.26976166016</v>
      </c>
      <c r="H84" s="16">
        <f>F84*0.85</f>
        <v>2175.3792974111357</v>
      </c>
      <c r="I84" s="17">
        <f>G84*0.85</f>
        <v>2175.3792974111357</v>
      </c>
      <c r="J84" s="2"/>
    </row>
    <row r="85" ht="22" customHeight="1">
      <c r="A85" s="10"/>
      <c r="B85" s="4" t="s">
        <v>82</v>
      </c>
      <c r="C85" s="27">
        <v>2.06</v>
      </c>
      <c r="D85" s="27">
        <v>0.98</v>
      </c>
      <c r="E85" s="27">
        <v>0.87</v>
      </c>
      <c r="F85" s="16">
        <v>1047.0187281693034</v>
      </c>
      <c r="G85" s="16">
        <v>1047.0187281693034</v>
      </c>
      <c r="H85" s="16">
        <f>F85*0.85</f>
        <v>889.9659189439078</v>
      </c>
      <c r="I85" s="17">
        <f>G85*0.85</f>
        <v>889.9659189439078</v>
      </c>
      <c r="J85" s="2"/>
    </row>
    <row r="86" ht="22" customHeight="1">
      <c r="A86" s="10"/>
      <c r="B86" s="4" t="s">
        <v>83</v>
      </c>
      <c r="C86" s="27">
        <v>2.26</v>
      </c>
      <c r="D86" s="27">
        <v>0.98</v>
      </c>
      <c r="E86" s="27">
        <v>0.87</v>
      </c>
      <c r="F86" s="16">
        <v>1130.3609348674747</v>
      </c>
      <c r="G86" s="16">
        <v>1130.3609348674747</v>
      </c>
      <c r="H86" s="16">
        <f>F86*0.85</f>
        <v>960.8067946373535</v>
      </c>
      <c r="I86" s="17">
        <f>G86*0.85</f>
        <v>960.8067946373535</v>
      </c>
      <c r="J86" s="2"/>
    </row>
    <row r="87" ht="22" customHeight="1">
      <c r="A87" s="10"/>
      <c r="B87" s="4" t="s">
        <v>84</v>
      </c>
      <c r="C87" s="27">
        <v>2.46</v>
      </c>
      <c r="D87" s="27">
        <v>0.98</v>
      </c>
      <c r="E87" s="27">
        <v>0.87</v>
      </c>
      <c r="F87" s="16">
        <v>1214.4031415656461</v>
      </c>
      <c r="G87" s="16">
        <v>1214.4031415656461</v>
      </c>
      <c r="H87" s="16">
        <f>F87*0.85</f>
        <v>1032.2426703307992</v>
      </c>
      <c r="I87" s="17">
        <f>G87*0.85</f>
        <v>1032.2426703307992</v>
      </c>
      <c r="J87" s="2"/>
    </row>
    <row r="88" ht="22" customHeight="1">
      <c r="A88" s="10"/>
      <c r="B88" s="4" t="s">
        <v>85</v>
      </c>
      <c r="C88" s="27">
        <v>2.66</v>
      </c>
      <c r="D88" s="27">
        <v>0.98</v>
      </c>
      <c r="E88" s="27">
        <v>0.87</v>
      </c>
      <c r="F88" s="16">
        <v>1346.6353482638176</v>
      </c>
      <c r="G88" s="16">
        <v>1346.6353482638176</v>
      </c>
      <c r="H88" s="16">
        <f>F88*0.85</f>
        <v>1144.6400460242448</v>
      </c>
      <c r="I88" s="17">
        <f>G88*0.85</f>
        <v>1144.6400460242448</v>
      </c>
      <c r="J88" s="2"/>
    </row>
    <row r="89" ht="22" customHeight="1">
      <c r="A89" s="10"/>
      <c r="B89" s="4" t="s">
        <v>86</v>
      </c>
      <c r="C89" s="27">
        <v>2.86</v>
      </c>
      <c r="D89" s="27">
        <v>0.98</v>
      </c>
      <c r="E89" s="27">
        <v>0.87</v>
      </c>
      <c r="F89" s="16">
        <v>1431.3275549619889</v>
      </c>
      <c r="G89" s="16">
        <v>1431.3275549619889</v>
      </c>
      <c r="H89" s="16">
        <f>F89*0.85</f>
        <v>1216.6284217176906</v>
      </c>
      <c r="I89" s="17">
        <f>G89*0.85</f>
        <v>1216.6284217176906</v>
      </c>
      <c r="J89" s="2"/>
    </row>
    <row r="90" ht="22" customHeight="1">
      <c r="A90" s="10"/>
      <c r="B90" s="4" t="s">
        <v>87</v>
      </c>
      <c r="C90" s="27">
        <v>2.06</v>
      </c>
      <c r="D90" s="27">
        <v>0.98</v>
      </c>
      <c r="E90" s="27">
        <v>0.87</v>
      </c>
      <c r="F90" s="16">
        <v>2197.2087281693034</v>
      </c>
      <c r="G90" s="16">
        <v>2166.048728169303</v>
      </c>
      <c r="H90" s="16">
        <f>F90*0.85</f>
        <v>1867.6274189439077</v>
      </c>
      <c r="I90" s="17">
        <f>G90*0.85</f>
        <v>1841.1414189439076</v>
      </c>
      <c r="J90" s="2"/>
    </row>
    <row r="91" ht="22" customHeight="1">
      <c r="A91" s="10"/>
      <c r="B91" s="4" t="s">
        <v>88</v>
      </c>
      <c r="C91" s="27">
        <v>2.26</v>
      </c>
      <c r="D91" s="27">
        <v>0.98</v>
      </c>
      <c r="E91" s="27">
        <v>0.87</v>
      </c>
      <c r="F91" s="16">
        <v>2307.290934867475</v>
      </c>
      <c r="G91" s="16">
        <v>2274.3109348674748</v>
      </c>
      <c r="H91" s="16">
        <f>F91*0.85</f>
        <v>1961.1972946373535</v>
      </c>
      <c r="I91" s="17">
        <f>G91*0.85</f>
        <v>1933.1642946373536</v>
      </c>
      <c r="J91" s="2"/>
    </row>
    <row r="92" ht="22" customHeight="1">
      <c r="A92" s="10"/>
      <c r="B92" s="4" t="s">
        <v>89</v>
      </c>
      <c r="C92" s="27">
        <v>2.46</v>
      </c>
      <c r="D92" s="27">
        <v>0.98</v>
      </c>
      <c r="E92" s="27">
        <v>0.87</v>
      </c>
      <c r="F92" s="16">
        <v>2419.3431415656464</v>
      </c>
      <c r="G92" s="16">
        <v>2384.5231415656463</v>
      </c>
      <c r="H92" s="16">
        <f>F92*0.85</f>
        <v>2056.4416703307993</v>
      </c>
      <c r="I92" s="17">
        <f>G92*0.85</f>
        <v>2026.8446703307993</v>
      </c>
      <c r="J92" s="2"/>
    </row>
    <row r="93" ht="22" customHeight="1">
      <c r="A93" s="10"/>
      <c r="B93" s="4" t="s">
        <v>90</v>
      </c>
      <c r="C93" s="27">
        <v>2.66</v>
      </c>
      <c r="D93" s="27">
        <v>0.98</v>
      </c>
      <c r="E93" s="27">
        <v>0.87</v>
      </c>
      <c r="F93" s="16">
        <v>2577.6053482638176</v>
      </c>
      <c r="G93" s="16">
        <v>2538.195348263818</v>
      </c>
      <c r="H93" s="16">
        <f>F93*0.85</f>
        <v>2190.964546024245</v>
      </c>
      <c r="I93" s="17">
        <f>G93*0.85</f>
        <v>2157.466046024245</v>
      </c>
      <c r="J93" s="2"/>
    </row>
    <row r="94" ht="22" customHeight="1">
      <c r="A94" s="10"/>
      <c r="B94" s="4" t="s">
        <v>91</v>
      </c>
      <c r="C94" s="27">
        <v>2.86</v>
      </c>
      <c r="D94" s="27">
        <v>0.98</v>
      </c>
      <c r="E94" s="27">
        <v>0.87</v>
      </c>
      <c r="F94" s="16">
        <v>2684.017554961989</v>
      </c>
      <c r="G94" s="16">
        <v>2643.247554961989</v>
      </c>
      <c r="H94" s="16">
        <f>F94*0.85</f>
        <v>2281.4149217176905</v>
      </c>
      <c r="I94" s="17">
        <f>G94*0.85</f>
        <v>2246.7604217176904</v>
      </c>
      <c r="J94" s="2"/>
    </row>
    <row r="95" ht="22" customHeight="1">
      <c r="A95" s="10"/>
      <c r="B95" s="5" t="s">
        <v>92</v>
      </c>
      <c r="C95" s="28">
        <v>3.06</v>
      </c>
      <c r="D95" s="28">
        <v>0.98</v>
      </c>
      <c r="E95" s="28">
        <v>0.87</v>
      </c>
      <c r="F95" s="18">
        <v>2800.25976166016</v>
      </c>
      <c r="G95" s="18">
        <v>2758.10976166016</v>
      </c>
      <c r="H95" s="18">
        <f>F95*0.85</f>
        <v>2380.220797411136</v>
      </c>
      <c r="I95" s="19">
        <f>G95*0.85</f>
        <v>2344.393297411136</v>
      </c>
      <c r="J95" s="2"/>
    </row>
    <row r="96">
      <c r="A96" s="10"/>
      <c r="B96" s="2"/>
      <c r="C96" s="29"/>
      <c r="D96" s="29"/>
      <c r="E96" s="29"/>
      <c r="F96" s="20"/>
      <c r="G96" s="20"/>
      <c r="H96" s="20"/>
      <c r="I96" s="20"/>
    </row>
    <row r="97">
      <c r="A97" s="10"/>
      <c r="B97" s="6" t="s">
        <v>93</v>
      </c>
      <c r="C97" s="30" t="s">
        <v>94</v>
      </c>
      <c r="D97" s="29"/>
      <c r="E97" s="31"/>
      <c r="F97" s="21"/>
      <c r="G97" s="21"/>
      <c r="H97" s="21"/>
      <c r="I97" s="21"/>
    </row>
    <row r="98">
      <c r="A98" s="10"/>
      <c r="B98" s="7"/>
      <c r="C98" s="32"/>
      <c r="D98" s="29"/>
      <c r="E98" s="31"/>
      <c r="F98" s="20"/>
      <c r="G98" s="20"/>
      <c r="H98" s="20"/>
      <c r="I98" s="20"/>
    </row>
    <row r="99">
      <c r="A99" s="10"/>
      <c r="B99" s="6" t="s">
        <v>95</v>
      </c>
      <c r="C99" s="33" t="s">
        <v>47</v>
      </c>
      <c r="D99" s="29"/>
      <c r="E99" s="29"/>
      <c r="F99" s="22">
        <f>SUM(F80:F95)</f>
        <v>32757.49571193754</v>
      </c>
      <c r="G99" s="22">
        <f>SUM(G80:G95)</f>
        <v>32536.20571193754</v>
      </c>
      <c r="H99" s="22">
        <f>SUM(H80:H95)</f>
        <v>27843.871355146905</v>
      </c>
      <c r="I99" s="23">
        <f>SUM(I80:I95)</f>
        <v>27655.774855146905</v>
      </c>
      <c r="J99" s="2"/>
    </row>
    <row r="100">
      <c r="A100" s="9"/>
      <c r="B100" s="8"/>
      <c r="C100" s="34"/>
      <c r="D100" s="29"/>
      <c r="E100" s="29"/>
      <c r="F100" s="24"/>
      <c r="G100" s="24"/>
      <c r="H100" s="24"/>
      <c r="I100" s="25"/>
      <c r="J100" s="2"/>
    </row>
    <row r="101">
      <c r="A101" s="2"/>
      <c r="B101" s="2"/>
      <c r="C101" s="29"/>
      <c r="D101" s="29"/>
      <c r="E101" s="29"/>
      <c r="F101" s="20"/>
      <c r="G101" s="20"/>
      <c r="H101" s="20"/>
      <c r="I101" s="20"/>
    </row>
    <row r="102" ht="25" customHeight="1">
      <c r="A102" s="11" t="s">
        <v>96</v>
      </c>
      <c r="B102" s="3" t="s">
        <v>1</v>
      </c>
      <c r="C102" s="26" t="s">
        <v>2</v>
      </c>
      <c r="D102" s="26" t="s">
        <v>3</v>
      </c>
      <c r="E102" s="26" t="s">
        <v>4</v>
      </c>
      <c r="F102" s="14" t="s">
        <v>76</v>
      </c>
      <c r="G102" s="14" t="s">
        <v>6</v>
      </c>
      <c r="H102" s="14" t="s">
        <v>76</v>
      </c>
      <c r="I102" s="15" t="s">
        <v>6</v>
      </c>
      <c r="J102" s="2"/>
    </row>
    <row r="103" ht="22" customHeight="1">
      <c r="A103" s="10"/>
      <c r="B103" s="4" t="s">
        <v>97</v>
      </c>
      <c r="C103" s="27">
        <v>1.95</v>
      </c>
      <c r="D103" s="27">
        <v>1.05</v>
      </c>
      <c r="E103" s="27">
        <v>1</v>
      </c>
      <c r="F103" s="16">
        <v>1758.0442572426543</v>
      </c>
      <c r="G103" s="16">
        <v>1741.4142572426545</v>
      </c>
      <c r="H103" s="16">
        <f>F103*0.85</f>
        <v>1494.3376186562562</v>
      </c>
      <c r="I103" s="17">
        <f>G103*0.85</f>
        <v>1480.2021186562563</v>
      </c>
      <c r="J103" s="2"/>
    </row>
    <row r="104" ht="22" customHeight="1">
      <c r="A104" s="10"/>
      <c r="B104" s="4" t="s">
        <v>98</v>
      </c>
      <c r="C104" s="27">
        <v>2.15</v>
      </c>
      <c r="D104" s="27">
        <v>1.05</v>
      </c>
      <c r="E104" s="27">
        <v>1</v>
      </c>
      <c r="F104" s="16">
        <v>1917.2075713992192</v>
      </c>
      <c r="G104" s="16">
        <v>1899.8775713992193</v>
      </c>
      <c r="H104" s="16">
        <f>F104*0.85</f>
        <v>1629.6264356893362</v>
      </c>
      <c r="I104" s="17">
        <f>G104*0.85</f>
        <v>1614.8959356893363</v>
      </c>
      <c r="J104" s="2"/>
    </row>
    <row r="105" ht="22" customHeight="1">
      <c r="A105" s="10"/>
      <c r="B105" s="4" t="s">
        <v>99</v>
      </c>
      <c r="C105" s="27">
        <v>2.35</v>
      </c>
      <c r="D105" s="27">
        <v>1.05</v>
      </c>
      <c r="E105" s="27">
        <v>1</v>
      </c>
      <c r="F105" s="16">
        <v>2069.050885555784</v>
      </c>
      <c r="G105" s="16">
        <v>2051.020885555784</v>
      </c>
      <c r="H105" s="16">
        <f>F105*0.85</f>
        <v>1758.6932527224164</v>
      </c>
      <c r="I105" s="17">
        <f>G105*0.85</f>
        <v>1743.3677527224163</v>
      </c>
      <c r="J105" s="2"/>
    </row>
    <row r="106" ht="22" customHeight="1">
      <c r="A106" s="10"/>
      <c r="B106" s="4" t="s">
        <v>100</v>
      </c>
      <c r="C106" s="27">
        <v>2.55</v>
      </c>
      <c r="D106" s="27">
        <v>1.05</v>
      </c>
      <c r="E106" s="27">
        <v>1</v>
      </c>
      <c r="F106" s="16">
        <v>2228.874199712349</v>
      </c>
      <c r="G106" s="16">
        <v>2210.144199712349</v>
      </c>
      <c r="H106" s="16">
        <f>F106*0.85</f>
        <v>1894.5430697554964</v>
      </c>
      <c r="I106" s="17">
        <f>G106*0.85</f>
        <v>1878.6225697554964</v>
      </c>
      <c r="J106" s="2"/>
    </row>
    <row r="107" ht="22" customHeight="1">
      <c r="A107" s="10"/>
      <c r="B107" s="4" t="s">
        <v>101</v>
      </c>
      <c r="C107" s="27">
        <v>2.75</v>
      </c>
      <c r="D107" s="27">
        <v>1.05</v>
      </c>
      <c r="E107" s="27">
        <v>1</v>
      </c>
      <c r="F107" s="16">
        <v>2380.717513868913</v>
      </c>
      <c r="G107" s="16">
        <v>2361.297513868913</v>
      </c>
      <c r="H107" s="16">
        <f>F107*0.85</f>
        <v>2023.609886788576</v>
      </c>
      <c r="I107" s="17">
        <f>G107*0.85</f>
        <v>2007.102886788576</v>
      </c>
      <c r="J107" s="2"/>
    </row>
    <row r="108" ht="22" customHeight="1">
      <c r="A108" s="10"/>
      <c r="B108" s="4" t="s">
        <v>102</v>
      </c>
      <c r="C108" s="27">
        <v>2.95</v>
      </c>
      <c r="D108" s="27">
        <v>1.05</v>
      </c>
      <c r="E108" s="27">
        <v>1</v>
      </c>
      <c r="F108" s="16">
        <v>2532.5708280254776</v>
      </c>
      <c r="G108" s="16">
        <v>2512.4408280254775</v>
      </c>
      <c r="H108" s="16">
        <f>F108*0.85</f>
        <v>2152.6852038216557</v>
      </c>
      <c r="I108" s="17">
        <f>G108*0.85</f>
        <v>2135.574703821656</v>
      </c>
      <c r="J108" s="2"/>
    </row>
    <row r="109" ht="22" customHeight="1">
      <c r="A109" s="10"/>
      <c r="B109" s="4" t="s">
        <v>103</v>
      </c>
      <c r="C109" s="27">
        <v>1.95</v>
      </c>
      <c r="D109" s="27">
        <v>1.05</v>
      </c>
      <c r="E109" s="27">
        <v>1</v>
      </c>
      <c r="F109" s="16">
        <v>1880.0942572426543</v>
      </c>
      <c r="G109" s="16">
        <v>1858.9242572426544</v>
      </c>
      <c r="H109" s="16">
        <f>F109*0.85</f>
        <v>1598.0801186562562</v>
      </c>
      <c r="I109" s="17">
        <f>G109*0.85</f>
        <v>1580.0856186562562</v>
      </c>
      <c r="J109" s="2"/>
    </row>
    <row r="110" ht="22" customHeight="1">
      <c r="A110" s="10"/>
      <c r="B110" s="4" t="s">
        <v>104</v>
      </c>
      <c r="C110" s="27">
        <v>2.1</v>
      </c>
      <c r="D110" s="27">
        <v>1.05</v>
      </c>
      <c r="E110" s="27">
        <v>1</v>
      </c>
      <c r="F110" s="16">
        <v>2007.8986870762276</v>
      </c>
      <c r="G110" s="16">
        <v>1985.5586870762277</v>
      </c>
      <c r="H110" s="16">
        <f>F110*0.85</f>
        <v>1706.7138840147934</v>
      </c>
      <c r="I110" s="17">
        <f>G110*0.85</f>
        <v>1687.7248840147936</v>
      </c>
      <c r="J110" s="2"/>
    </row>
    <row r="111" ht="22" customHeight="1">
      <c r="A111" s="10"/>
      <c r="B111" s="4" t="s">
        <v>105</v>
      </c>
      <c r="C111" s="27">
        <v>2.15</v>
      </c>
      <c r="D111" s="27">
        <v>1.05</v>
      </c>
      <c r="E111" s="27">
        <v>1</v>
      </c>
      <c r="F111" s="16">
        <v>2046.2975713992191</v>
      </c>
      <c r="G111" s="16">
        <v>2023.9575713992192</v>
      </c>
      <c r="H111" s="16">
        <f>F111*0.85</f>
        <v>1739.3529356893362</v>
      </c>
      <c r="I111" s="17">
        <f>G111*0.85</f>
        <v>1720.3639356893364</v>
      </c>
      <c r="J111" s="2"/>
    </row>
    <row r="112" ht="22" customHeight="1">
      <c r="A112" s="10"/>
      <c r="B112" s="4" t="s">
        <v>106</v>
      </c>
      <c r="C112" s="27">
        <v>2.35</v>
      </c>
      <c r="D112" s="27">
        <v>1.05</v>
      </c>
      <c r="E112" s="27">
        <v>1</v>
      </c>
      <c r="F112" s="16">
        <v>2212.500885555784</v>
      </c>
      <c r="G112" s="16">
        <v>2189.000885555784</v>
      </c>
      <c r="H112" s="16">
        <f>F112*0.85</f>
        <v>1880.6257527224163</v>
      </c>
      <c r="I112" s="17">
        <f>G112*0.85</f>
        <v>1860.6507527224162</v>
      </c>
      <c r="J112" s="2"/>
    </row>
    <row r="113" ht="22" customHeight="1">
      <c r="A113" s="10"/>
      <c r="B113" s="4" t="s">
        <v>107</v>
      </c>
      <c r="C113" s="27">
        <v>2.55</v>
      </c>
      <c r="D113" s="27">
        <v>1.05</v>
      </c>
      <c r="E113" s="27">
        <v>1</v>
      </c>
      <c r="F113" s="16">
        <v>2370.7241997123488</v>
      </c>
      <c r="G113" s="16">
        <v>2346.064199712349</v>
      </c>
      <c r="H113" s="16">
        <f>F113*0.85</f>
        <v>2015.1155697554964</v>
      </c>
      <c r="I113" s="17">
        <f>G113*0.85</f>
        <v>1994.1545697554966</v>
      </c>
      <c r="J113" s="2"/>
    </row>
    <row r="114" ht="22" customHeight="1">
      <c r="A114" s="10"/>
      <c r="B114" s="4" t="s">
        <v>108</v>
      </c>
      <c r="C114" s="27">
        <v>2.75</v>
      </c>
      <c r="D114" s="27">
        <v>1.05</v>
      </c>
      <c r="E114" s="27">
        <v>1</v>
      </c>
      <c r="F114" s="16">
        <v>2529.617513868913</v>
      </c>
      <c r="G114" s="16">
        <v>2503.797513868913</v>
      </c>
      <c r="H114" s="16">
        <f>F114*0.85</f>
        <v>2150.1748867885763</v>
      </c>
      <c r="I114" s="17">
        <f>G114*0.85</f>
        <v>2128.227886788576</v>
      </c>
      <c r="J114" s="2"/>
    </row>
    <row r="115" ht="22" customHeight="1">
      <c r="A115" s="10"/>
      <c r="B115" s="4" t="s">
        <v>109</v>
      </c>
      <c r="C115" s="27">
        <v>2.9</v>
      </c>
      <c r="D115" s="27">
        <v>1.05</v>
      </c>
      <c r="E115" s="27">
        <v>1</v>
      </c>
      <c r="F115" s="16">
        <v>2660.741943702486</v>
      </c>
      <c r="G115" s="16">
        <v>2633.761943702486</v>
      </c>
      <c r="H115" s="16">
        <f>F115*0.85</f>
        <v>2261.630652147113</v>
      </c>
      <c r="I115" s="17">
        <f>G115*0.85</f>
        <v>2238.697652147113</v>
      </c>
      <c r="J115" s="2"/>
    </row>
    <row r="116" ht="22" customHeight="1">
      <c r="A116" s="10"/>
      <c r="B116" s="4" t="s">
        <v>110</v>
      </c>
      <c r="C116" s="27">
        <v>2.95</v>
      </c>
      <c r="D116" s="27">
        <v>1.05</v>
      </c>
      <c r="E116" s="27">
        <v>1</v>
      </c>
      <c r="F116" s="16">
        <v>2687.8508280254778</v>
      </c>
      <c r="G116" s="16">
        <v>2660.8608280254775</v>
      </c>
      <c r="H116" s="16">
        <f>F116*0.85</f>
        <v>2284.673203821656</v>
      </c>
      <c r="I116" s="17">
        <f>G116*0.85</f>
        <v>2261.7317038216556</v>
      </c>
      <c r="J116" s="2"/>
    </row>
    <row r="117" ht="22" customHeight="1">
      <c r="A117" s="10"/>
      <c r="B117" s="4" t="s">
        <v>111</v>
      </c>
      <c r="C117" s="27">
        <v>3.1</v>
      </c>
      <c r="D117" s="27">
        <v>1.05</v>
      </c>
      <c r="E117" s="27">
        <v>1</v>
      </c>
      <c r="F117" s="16">
        <v>2820.3052578590505</v>
      </c>
      <c r="G117" s="16">
        <v>2792.1552578590504</v>
      </c>
      <c r="H117" s="16">
        <f>F117*0.85</f>
        <v>2397.259469180193</v>
      </c>
      <c r="I117" s="17">
        <f>G117*0.85</f>
        <v>2373.3319691801926</v>
      </c>
      <c r="J117" s="2"/>
    </row>
    <row r="118" ht="22" customHeight="1">
      <c r="A118" s="10"/>
      <c r="B118" s="4" t="s">
        <v>112</v>
      </c>
      <c r="C118" s="27">
        <v>1.2</v>
      </c>
      <c r="D118" s="27">
        <v>1.2</v>
      </c>
      <c r="E118" s="27">
        <v>0.9</v>
      </c>
      <c r="F118" s="16">
        <v>1340.630992397781</v>
      </c>
      <c r="G118" s="16">
        <v>1327.020992397781</v>
      </c>
      <c r="H118" s="16">
        <f>F118*0.85</f>
        <v>1139.536343538114</v>
      </c>
      <c r="I118" s="17">
        <f>G118*0.85</f>
        <v>1127.9678435381138</v>
      </c>
      <c r="J118" s="2"/>
    </row>
    <row r="119" ht="22" customHeight="1">
      <c r="A119" s="10"/>
      <c r="B119" s="4" t="s">
        <v>113</v>
      </c>
      <c r="C119" s="27">
        <v>1.15</v>
      </c>
      <c r="D119" s="27">
        <v>1.45</v>
      </c>
      <c r="E119" s="27">
        <v>0.9</v>
      </c>
      <c r="F119" s="16">
        <v>1481.6065296897473</v>
      </c>
      <c r="G119" s="16">
        <v>1467.4165296897472</v>
      </c>
      <c r="H119" s="16">
        <f>F119*0.85</f>
        <v>1259.3655502362851</v>
      </c>
      <c r="I119" s="17">
        <f>G119*0.85</f>
        <v>1247.304050236285</v>
      </c>
      <c r="J119" s="2"/>
    </row>
    <row r="120" ht="22" customHeight="1">
      <c r="A120" s="10"/>
      <c r="B120" s="4" t="s">
        <v>114</v>
      </c>
      <c r="C120" s="27">
        <v>1.25</v>
      </c>
      <c r="D120" s="27">
        <v>1.45</v>
      </c>
      <c r="E120" s="27">
        <v>0.9</v>
      </c>
      <c r="F120" s="16">
        <v>1577.3276289295252</v>
      </c>
      <c r="G120" s="16">
        <v>1562.677628929525</v>
      </c>
      <c r="H120" s="16">
        <f>F120*0.85</f>
        <v>1340.7284845900963</v>
      </c>
      <c r="I120" s="17">
        <f>G120*0.85</f>
        <v>1328.2759845900962</v>
      </c>
      <c r="J120" s="2"/>
    </row>
    <row r="121" ht="22" customHeight="1">
      <c r="A121" s="10"/>
      <c r="B121" s="4" t="s">
        <v>115</v>
      </c>
      <c r="C121" s="27">
        <v>0.95</v>
      </c>
      <c r="D121" s="27">
        <v>0.95</v>
      </c>
      <c r="E121" s="27">
        <v>0.47</v>
      </c>
      <c r="F121" s="16">
        <v>595.9066283131292</v>
      </c>
      <c r="G121" s="16">
        <v>589.9766283131293</v>
      </c>
      <c r="H121" s="16">
        <f>F121*0.85</f>
        <v>506.5206340661598</v>
      </c>
      <c r="I121" s="17">
        <f>G121*0.85</f>
        <v>501.48013406615985</v>
      </c>
      <c r="J121" s="2"/>
    </row>
    <row r="122" ht="22" customHeight="1">
      <c r="A122" s="10"/>
      <c r="B122" s="4" t="s">
        <v>116</v>
      </c>
      <c r="C122" s="27">
        <v>1.05</v>
      </c>
      <c r="D122" s="27">
        <v>0.95</v>
      </c>
      <c r="E122" s="27">
        <v>0.47</v>
      </c>
      <c r="F122" s="16">
        <v>649.8655126361208</v>
      </c>
      <c r="G122" s="16">
        <v>643.8155126361208</v>
      </c>
      <c r="H122" s="16">
        <f>F122*0.85</f>
        <v>552.3856857407027</v>
      </c>
      <c r="I122" s="17">
        <f>G122*0.85</f>
        <v>547.2431857407028</v>
      </c>
      <c r="J122" s="2"/>
    </row>
    <row r="123" ht="22" customHeight="1">
      <c r="A123" s="10"/>
      <c r="B123" s="5" t="s">
        <v>117</v>
      </c>
      <c r="C123" s="28">
        <v>1.15</v>
      </c>
      <c r="D123" s="28">
        <v>0.95</v>
      </c>
      <c r="E123" s="28">
        <v>0.47</v>
      </c>
      <c r="F123" s="18">
        <v>719.2666200945141</v>
      </c>
      <c r="G123" s="18">
        <v>711.596620094514</v>
      </c>
      <c r="H123" s="18">
        <f>F123*0.85</f>
        <v>611.376627080337</v>
      </c>
      <c r="I123" s="19">
        <f>G123*0.85</f>
        <v>604.8571270803369</v>
      </c>
      <c r="J123" s="2"/>
    </row>
    <row r="124">
      <c r="A124" s="10"/>
      <c r="B124" s="2"/>
      <c r="C124" s="29"/>
      <c r="D124" s="29"/>
      <c r="E124" s="29"/>
      <c r="F124" s="20"/>
      <c r="G124" s="20"/>
      <c r="H124" s="20"/>
      <c r="I124" s="20"/>
    </row>
    <row r="125">
      <c r="A125" s="10"/>
      <c r="B125" s="6" t="s">
        <v>118</v>
      </c>
      <c r="C125" s="30" t="s">
        <v>119</v>
      </c>
      <c r="D125" s="29"/>
      <c r="E125" s="31"/>
      <c r="F125" s="21"/>
      <c r="G125" s="21"/>
      <c r="H125" s="21"/>
      <c r="I125" s="21"/>
    </row>
    <row r="126">
      <c r="A126" s="10"/>
      <c r="B126" s="7"/>
      <c r="C126" s="32"/>
      <c r="D126" s="29"/>
      <c r="E126" s="31"/>
      <c r="F126" s="20"/>
      <c r="G126" s="20"/>
      <c r="H126" s="20"/>
      <c r="I126" s="20"/>
    </row>
    <row r="127">
      <c r="A127" s="10"/>
      <c r="B127" s="6" t="s">
        <v>74</v>
      </c>
      <c r="C127" s="33" t="s">
        <v>47</v>
      </c>
      <c r="D127" s="29"/>
      <c r="E127" s="29"/>
      <c r="F127" s="22">
        <f>SUM(F103:F123)</f>
        <v>40467.100312307375</v>
      </c>
      <c r="G127" s="22">
        <f>SUM(G103:G123)</f>
        <v>40072.780312307375</v>
      </c>
      <c r="H127" s="22">
        <f>SUM(H103:H123)</f>
        <v>34397.035265461265</v>
      </c>
      <c r="I127" s="23">
        <f>SUM(I103:I123)</f>
        <v>34061.86326546127</v>
      </c>
      <c r="J127" s="2"/>
    </row>
    <row r="128">
      <c r="A128" s="9"/>
      <c r="B128" s="8"/>
      <c r="C128" s="34"/>
      <c r="D128" s="29"/>
      <c r="E128" s="29"/>
      <c r="F128" s="24"/>
      <c r="G128" s="24"/>
      <c r="H128" s="24"/>
      <c r="I128" s="25"/>
      <c r="J128" s="2"/>
    </row>
    <row r="129">
      <c r="A129" s="2"/>
      <c r="B129" s="2"/>
      <c r="C129" s="29"/>
      <c r="D129" s="29"/>
      <c r="E129" s="29"/>
      <c r="F129" s="20"/>
      <c r="G129" s="20"/>
      <c r="H129" s="20"/>
      <c r="I129" s="20"/>
    </row>
    <row r="130" ht="25" customHeight="1">
      <c r="A130" s="11" t="s">
        <v>120</v>
      </c>
      <c r="B130" s="3" t="s">
        <v>1</v>
      </c>
      <c r="C130" s="26" t="s">
        <v>2</v>
      </c>
      <c r="D130" s="26" t="s">
        <v>3</v>
      </c>
      <c r="E130" s="26" t="s">
        <v>4</v>
      </c>
      <c r="F130" s="14" t="s">
        <v>76</v>
      </c>
      <c r="G130" s="14" t="s">
        <v>6</v>
      </c>
      <c r="H130" s="14" t="s">
        <v>76</v>
      </c>
      <c r="I130" s="15" t="s">
        <v>6</v>
      </c>
      <c r="J130" s="2"/>
    </row>
    <row r="131" ht="22" customHeight="1">
      <c r="A131" s="10"/>
      <c r="B131" s="4" t="s">
        <v>121</v>
      </c>
      <c r="C131" s="27">
        <v>1.1</v>
      </c>
      <c r="D131" s="27">
        <v>1.02</v>
      </c>
      <c r="E131" s="27">
        <v>0.8</v>
      </c>
      <c r="F131" s="16">
        <v>1419.4599178138483</v>
      </c>
      <c r="G131" s="16">
        <v>1402.4399178138483</v>
      </c>
      <c r="H131" s="16">
        <f>F131*0.85</f>
        <v>1206.540930141771</v>
      </c>
      <c r="I131" s="17">
        <f>G131*0.85</f>
        <v>1192.073930141771</v>
      </c>
      <c r="J131" s="2"/>
    </row>
    <row r="132" ht="22" customHeight="1">
      <c r="A132" s="10"/>
      <c r="B132" s="4" t="s">
        <v>122</v>
      </c>
      <c r="C132" s="27">
        <v>1.2</v>
      </c>
      <c r="D132" s="27">
        <v>1.02</v>
      </c>
      <c r="E132" s="27">
        <v>0.8</v>
      </c>
      <c r="F132" s="16">
        <v>1481.1321327306348</v>
      </c>
      <c r="G132" s="16">
        <v>1463.8721327306348</v>
      </c>
      <c r="H132" s="16">
        <f>F132*0.85</f>
        <v>1258.9623128210396</v>
      </c>
      <c r="I132" s="17">
        <f>G132*0.85</f>
        <v>1244.2913128210396</v>
      </c>
      <c r="J132" s="2"/>
    </row>
    <row r="133" ht="22" customHeight="1">
      <c r="A133" s="10"/>
      <c r="B133" s="4" t="s">
        <v>123</v>
      </c>
      <c r="C133" s="27">
        <v>1.3</v>
      </c>
      <c r="D133" s="27">
        <v>1.02</v>
      </c>
      <c r="E133" s="27">
        <v>0.8</v>
      </c>
      <c r="F133" s="16">
        <v>1542.8043476474213</v>
      </c>
      <c r="G133" s="16">
        <v>1525.3043476474213</v>
      </c>
      <c r="H133" s="16">
        <f>F133*0.85</f>
        <v>1311.383695500308</v>
      </c>
      <c r="I133" s="17">
        <f>G133*0.85</f>
        <v>1296.508695500308</v>
      </c>
      <c r="J133" s="2"/>
    </row>
    <row r="134" ht="22" customHeight="1">
      <c r="A134" s="10"/>
      <c r="B134" s="4" t="s">
        <v>124</v>
      </c>
      <c r="C134" s="27">
        <v>1.4</v>
      </c>
      <c r="D134" s="27">
        <v>1.02</v>
      </c>
      <c r="E134" s="27">
        <v>0.8</v>
      </c>
      <c r="F134" s="16">
        <v>1603.796562564208</v>
      </c>
      <c r="G134" s="16">
        <v>1586.046562564208</v>
      </c>
      <c r="H134" s="16">
        <f>F134*0.85</f>
        <v>1363.2270781795767</v>
      </c>
      <c r="I134" s="17">
        <f>G134*0.85</f>
        <v>1348.1395781795768</v>
      </c>
      <c r="J134" s="2"/>
    </row>
    <row r="135" ht="22" customHeight="1">
      <c r="A135" s="10"/>
      <c r="B135" s="4" t="s">
        <v>125</v>
      </c>
      <c r="C135" s="27">
        <v>1.5</v>
      </c>
      <c r="D135" s="27">
        <v>1.02</v>
      </c>
      <c r="E135" s="27">
        <v>0.8</v>
      </c>
      <c r="F135" s="16">
        <v>1664.7787774809944</v>
      </c>
      <c r="G135" s="16">
        <v>1646.7987774809947</v>
      </c>
      <c r="H135" s="16">
        <f>F135*0.85</f>
        <v>1415.0619608588452</v>
      </c>
      <c r="I135" s="17">
        <f>G135*0.85</f>
        <v>1399.7789608588455</v>
      </c>
      <c r="J135" s="2"/>
    </row>
    <row r="136" ht="22" customHeight="1">
      <c r="A136" s="10"/>
      <c r="B136" s="4" t="s">
        <v>126</v>
      </c>
      <c r="C136" s="27">
        <v>1.6</v>
      </c>
      <c r="D136" s="27">
        <v>1.02</v>
      </c>
      <c r="E136" s="27">
        <v>0.8</v>
      </c>
      <c r="F136" s="16">
        <v>1740.0087692623792</v>
      </c>
      <c r="G136" s="16">
        <v>1721.7787692623792</v>
      </c>
      <c r="H136" s="16">
        <f>F136*0.85</f>
        <v>1479.0074538730223</v>
      </c>
      <c r="I136" s="17">
        <f>G136*0.85</f>
        <v>1463.5119538730223</v>
      </c>
      <c r="J136" s="2"/>
    </row>
    <row r="137" ht="22" customHeight="1">
      <c r="A137" s="10"/>
      <c r="B137" s="5" t="s">
        <v>127</v>
      </c>
      <c r="C137" s="28">
        <v>1.14</v>
      </c>
      <c r="D137" s="28">
        <v>1.02</v>
      </c>
      <c r="E137" s="28">
        <v>0.8</v>
      </c>
      <c r="F137" s="18">
        <v>1406.1232484076431</v>
      </c>
      <c r="G137" s="18">
        <v>1394.1332484076431</v>
      </c>
      <c r="H137" s="18">
        <f>F137*0.85</f>
        <v>1195.2047611464966</v>
      </c>
      <c r="I137" s="19">
        <f>G137*0.85</f>
        <v>1185.0132611464967</v>
      </c>
      <c r="J137" s="2"/>
    </row>
    <row r="138">
      <c r="A138" s="10"/>
      <c r="B138" s="2"/>
      <c r="C138" s="29"/>
      <c r="D138" s="29"/>
      <c r="E138" s="29"/>
      <c r="F138" s="20"/>
      <c r="G138" s="20"/>
      <c r="H138" s="20"/>
      <c r="I138" s="20"/>
    </row>
    <row r="139">
      <c r="A139" s="10"/>
      <c r="B139" s="6" t="s">
        <v>128</v>
      </c>
      <c r="C139" s="30" t="s">
        <v>129</v>
      </c>
      <c r="D139" s="29"/>
      <c r="E139" s="31"/>
      <c r="F139" s="21"/>
      <c r="G139" s="21"/>
      <c r="H139" s="21"/>
      <c r="I139" s="21"/>
    </row>
    <row r="140">
      <c r="A140" s="10"/>
      <c r="B140" s="7"/>
      <c r="C140" s="32"/>
      <c r="D140" s="29"/>
      <c r="E140" s="31"/>
      <c r="F140" s="20"/>
      <c r="G140" s="20"/>
      <c r="H140" s="20"/>
      <c r="I140" s="20"/>
    </row>
    <row r="141">
      <c r="A141" s="10"/>
      <c r="B141" s="6" t="s">
        <v>74</v>
      </c>
      <c r="C141" s="33" t="s">
        <v>47</v>
      </c>
      <c r="D141" s="29"/>
      <c r="E141" s="29"/>
      <c r="F141" s="22">
        <f>SUM(F131:F137)</f>
        <v>10858.10375590713</v>
      </c>
      <c r="G141" s="22">
        <f>SUM(G131:G137)</f>
        <v>10740.373755907129</v>
      </c>
      <c r="H141" s="22">
        <f>SUM(H131:H137)</f>
        <v>9229.388192521059</v>
      </c>
      <c r="I141" s="23">
        <f>SUM(I131:I137)</f>
        <v>9129.31769252106</v>
      </c>
      <c r="J141" s="2"/>
    </row>
    <row r="142">
      <c r="A142" s="9"/>
      <c r="B142" s="8"/>
      <c r="C142" s="34"/>
      <c r="D142" s="29"/>
      <c r="E142" s="29"/>
      <c r="F142" s="24"/>
      <c r="G142" s="24"/>
      <c r="H142" s="24"/>
      <c r="I142" s="25"/>
      <c r="J142" s="2"/>
    </row>
    <row r="143">
      <c r="A143" s="2"/>
      <c r="B143" s="2"/>
      <c r="C143" s="29"/>
      <c r="D143" s="29"/>
      <c r="E143" s="29"/>
      <c r="F143" s="20"/>
      <c r="G143" s="20"/>
      <c r="H143" s="20"/>
      <c r="I143" s="20"/>
    </row>
    <row r="144" ht="25" customHeight="1">
      <c r="A144" s="11" t="s">
        <v>130</v>
      </c>
      <c r="B144" s="3" t="s">
        <v>1</v>
      </c>
      <c r="C144" s="26" t="s">
        <v>2</v>
      </c>
      <c r="D144" s="26" t="s">
        <v>3</v>
      </c>
      <c r="E144" s="26" t="s">
        <v>4</v>
      </c>
      <c r="F144" s="14" t="s">
        <v>76</v>
      </c>
      <c r="G144" s="14" t="s">
        <v>6</v>
      </c>
      <c r="H144" s="14" t="s">
        <v>76</v>
      </c>
      <c r="I144" s="15" t="s">
        <v>6</v>
      </c>
      <c r="J144" s="2"/>
    </row>
    <row r="145" ht="22" customHeight="1">
      <c r="A145" s="10"/>
      <c r="B145" s="4" t="s">
        <v>131</v>
      </c>
      <c r="C145" s="27">
        <v>1.1</v>
      </c>
      <c r="D145" s="27">
        <v>0.95</v>
      </c>
      <c r="E145" s="27">
        <v>0.93</v>
      </c>
      <c r="F145" s="16">
        <v>1058.5243558660366</v>
      </c>
      <c r="G145" s="16">
        <v>1043.9643558660364</v>
      </c>
      <c r="H145" s="16">
        <f>F145*0.85</f>
        <v>899.745702486131</v>
      </c>
      <c r="I145" s="17">
        <f>G145*0.85</f>
        <v>887.3697024861309</v>
      </c>
      <c r="J145" s="2"/>
    </row>
    <row r="146" ht="22" customHeight="1">
      <c r="A146" s="10"/>
      <c r="B146" s="4" t="s">
        <v>132</v>
      </c>
      <c r="C146" s="27">
        <v>0.85</v>
      </c>
      <c r="D146" s="27">
        <v>0.95</v>
      </c>
      <c r="E146" s="27">
        <v>0.93</v>
      </c>
      <c r="F146" s="16">
        <v>914.6932648448736</v>
      </c>
      <c r="G146" s="16">
        <v>900.6132648448736</v>
      </c>
      <c r="H146" s="16">
        <f>F146*0.85</f>
        <v>777.4892751181426</v>
      </c>
      <c r="I146" s="17">
        <f>G146*0.85</f>
        <v>765.5212751181425</v>
      </c>
      <c r="J146" s="2"/>
    </row>
    <row r="147" ht="22" customHeight="1">
      <c r="A147" s="10"/>
      <c r="B147" s="4" t="s">
        <v>133</v>
      </c>
      <c r="C147" s="27">
        <v>1.2</v>
      </c>
      <c r="D147" s="27">
        <v>0.95</v>
      </c>
      <c r="E147" s="27">
        <v>0.93</v>
      </c>
      <c r="F147" s="16">
        <v>1121.1143476474215</v>
      </c>
      <c r="G147" s="16">
        <v>1105.6143476474215</v>
      </c>
      <c r="H147" s="16">
        <f>F147*0.85</f>
        <v>952.9471955003082</v>
      </c>
      <c r="I147" s="17">
        <f>G147*0.85</f>
        <v>939.7721955003083</v>
      </c>
      <c r="J147" s="2"/>
    </row>
    <row r="148" ht="22" customHeight="1">
      <c r="A148" s="10"/>
      <c r="B148" s="4" t="s">
        <v>134</v>
      </c>
      <c r="C148" s="27">
        <v>0.95</v>
      </c>
      <c r="D148" s="27">
        <v>0.95</v>
      </c>
      <c r="E148" s="27">
        <v>0.93</v>
      </c>
      <c r="F148" s="16">
        <v>981.7132566262584</v>
      </c>
      <c r="G148" s="16">
        <v>966.2132566262584</v>
      </c>
      <c r="H148" s="16">
        <f>F148*0.85</f>
        <v>834.4562681323196</v>
      </c>
      <c r="I148" s="17">
        <f>G148*0.85</f>
        <v>821.2812681323196</v>
      </c>
      <c r="J148" s="2"/>
    </row>
    <row r="149" ht="22" customHeight="1">
      <c r="A149" s="10"/>
      <c r="B149" s="4" t="s">
        <v>135</v>
      </c>
      <c r="C149" s="27">
        <v>1.05</v>
      </c>
      <c r="D149" s="27">
        <v>0.95</v>
      </c>
      <c r="E149" s="27">
        <v>0.93</v>
      </c>
      <c r="F149" s="16">
        <v>1057.4532484076433</v>
      </c>
      <c r="G149" s="16">
        <v>1040.5432484076432</v>
      </c>
      <c r="H149" s="16">
        <f>F149*0.85</f>
        <v>898.8352611464968</v>
      </c>
      <c r="I149" s="17">
        <f>G149*0.85</f>
        <v>884.4617611464967</v>
      </c>
      <c r="J149" s="2"/>
    </row>
    <row r="150" ht="22" customHeight="1">
      <c r="A150" s="10"/>
      <c r="B150" s="4" t="s">
        <v>136</v>
      </c>
      <c r="C150" s="27">
        <v>1.15</v>
      </c>
      <c r="D150" s="27">
        <v>0.95</v>
      </c>
      <c r="E150" s="27">
        <v>0.93</v>
      </c>
      <c r="F150" s="16">
        <v>1124.463240189028</v>
      </c>
      <c r="G150" s="16">
        <v>1106.153240189028</v>
      </c>
      <c r="H150" s="16">
        <f>F150*0.85</f>
        <v>955.7937541606739</v>
      </c>
      <c r="I150" s="17">
        <f>G150*0.85</f>
        <v>940.2302541606739</v>
      </c>
      <c r="J150" s="2"/>
    </row>
    <row r="151" ht="22" customHeight="1">
      <c r="A151" s="10"/>
      <c r="B151" s="4" t="s">
        <v>137</v>
      </c>
      <c r="C151" s="27">
        <v>1.25</v>
      </c>
      <c r="D151" s="27">
        <v>0.95</v>
      </c>
      <c r="E151" s="27">
        <v>0.93</v>
      </c>
      <c r="F151" s="16">
        <v>1187.525455105815</v>
      </c>
      <c r="G151" s="16">
        <v>1167.8054551058149</v>
      </c>
      <c r="H151" s="16">
        <f>F151*0.85</f>
        <v>1009.3966368399426</v>
      </c>
      <c r="I151" s="17">
        <f>G151*0.85</f>
        <v>992.6346368399426</v>
      </c>
      <c r="J151" s="2"/>
    </row>
    <row r="152" ht="22" customHeight="1">
      <c r="A152" s="10"/>
      <c r="B152" s="4" t="s">
        <v>138</v>
      </c>
      <c r="C152" s="27">
        <v>1.95</v>
      </c>
      <c r="D152" s="27">
        <v>0.95</v>
      </c>
      <c r="E152" s="27">
        <v>0.93</v>
      </c>
      <c r="F152" s="16">
        <v>1820.3976207109104</v>
      </c>
      <c r="G152" s="16">
        <v>1797.8576207109102</v>
      </c>
      <c r="H152" s="16">
        <f>F152*0.85</f>
        <v>1547.3379776042739</v>
      </c>
      <c r="I152" s="17">
        <f>G152*0.85</f>
        <v>1528.1789776042735</v>
      </c>
      <c r="J152" s="2"/>
    </row>
    <row r="153" ht="22" customHeight="1">
      <c r="A153" s="10"/>
      <c r="B153" s="4" t="s">
        <v>139</v>
      </c>
      <c r="C153" s="27">
        <v>1.7</v>
      </c>
      <c r="D153" s="27">
        <v>0.95</v>
      </c>
      <c r="E153" s="27">
        <v>0.93</v>
      </c>
      <c r="F153" s="16">
        <v>1696.5665296897473</v>
      </c>
      <c r="G153" s="16">
        <v>1670.7365296897472</v>
      </c>
      <c r="H153" s="16">
        <f>F153*0.85</f>
        <v>1442.0815502362852</v>
      </c>
      <c r="I153" s="17">
        <f>G153*0.85</f>
        <v>1420.126050236285</v>
      </c>
      <c r="J153" s="2"/>
    </row>
    <row r="154" ht="22" customHeight="1">
      <c r="A154" s="10"/>
      <c r="B154" s="4" t="s">
        <v>140</v>
      </c>
      <c r="C154" s="27">
        <v>2.15</v>
      </c>
      <c r="D154" s="27">
        <v>0.95</v>
      </c>
      <c r="E154" s="27">
        <v>0.93</v>
      </c>
      <c r="F154" s="16">
        <v>1956.17760427368</v>
      </c>
      <c r="G154" s="16">
        <v>1931.51760427368</v>
      </c>
      <c r="H154" s="16">
        <f>F154*0.85</f>
        <v>1662.7509636326279</v>
      </c>
      <c r="I154" s="17">
        <f>G154*0.85</f>
        <v>1641.789963632628</v>
      </c>
      <c r="J154" s="2"/>
    </row>
    <row r="155" ht="22" customHeight="1">
      <c r="A155" s="10"/>
      <c r="B155" s="4" t="s">
        <v>141</v>
      </c>
      <c r="C155" s="27">
        <v>1.9</v>
      </c>
      <c r="D155" s="27">
        <v>0.95</v>
      </c>
      <c r="E155" s="27">
        <v>0.93</v>
      </c>
      <c r="F155" s="16">
        <v>1828.046513252517</v>
      </c>
      <c r="G155" s="16">
        <v>1799.6365132525168</v>
      </c>
      <c r="H155" s="16">
        <f>F155*0.85</f>
        <v>1553.8395362646393</v>
      </c>
      <c r="I155" s="17">
        <f>G155*0.85</f>
        <v>1529.6910362646393</v>
      </c>
      <c r="J155" s="2"/>
    </row>
    <row r="156" ht="22" customHeight="1">
      <c r="A156" s="10"/>
      <c r="B156" s="4" t="s">
        <v>142</v>
      </c>
      <c r="C156" s="27">
        <v>2.35</v>
      </c>
      <c r="D156" s="27">
        <v>0.95</v>
      </c>
      <c r="E156" s="27">
        <v>0.93</v>
      </c>
      <c r="F156" s="16">
        <v>2086.5875878364495</v>
      </c>
      <c r="G156" s="16">
        <v>2059.8175878364495</v>
      </c>
      <c r="H156" s="16">
        <f>F156*0.85</f>
        <v>1773.5994496609821</v>
      </c>
      <c r="I156" s="17">
        <f>G156*0.85</f>
        <v>1750.8449496609821</v>
      </c>
      <c r="J156" s="2"/>
    </row>
    <row r="157" ht="22" customHeight="1">
      <c r="A157" s="10"/>
      <c r="B157" s="4" t="s">
        <v>143</v>
      </c>
      <c r="C157" s="27">
        <v>2.1</v>
      </c>
      <c r="D157" s="27">
        <v>0.95</v>
      </c>
      <c r="E157" s="27">
        <v>0.93</v>
      </c>
      <c r="F157" s="16">
        <v>1970.2664968152865</v>
      </c>
      <c r="G157" s="16">
        <v>1939.2664968152865</v>
      </c>
      <c r="H157" s="16">
        <f>F157*0.85</f>
        <v>1674.7265222929934</v>
      </c>
      <c r="I157" s="17">
        <f>G157*0.85</f>
        <v>1648.3765222929935</v>
      </c>
      <c r="J157" s="2"/>
    </row>
    <row r="158" ht="22" customHeight="1">
      <c r="A158" s="10"/>
      <c r="B158" s="4" t="s">
        <v>144</v>
      </c>
      <c r="C158" s="27">
        <v>2.55</v>
      </c>
      <c r="D158" s="27">
        <v>0.95</v>
      </c>
      <c r="E158" s="27">
        <v>0.93</v>
      </c>
      <c r="F158" s="16">
        <v>2219.0797945346208</v>
      </c>
      <c r="G158" s="16">
        <v>2190.1997945346207</v>
      </c>
      <c r="H158" s="16">
        <f>F158*0.85</f>
        <v>1886.2178253544275</v>
      </c>
      <c r="I158" s="17">
        <f>G158*0.85</f>
        <v>1861.6698253544275</v>
      </c>
      <c r="J158" s="2"/>
    </row>
    <row r="159" ht="22" customHeight="1">
      <c r="A159" s="10"/>
      <c r="B159" s="4" t="s">
        <v>145</v>
      </c>
      <c r="C159" s="27">
        <v>2.3</v>
      </c>
      <c r="D159" s="27">
        <v>0.95</v>
      </c>
      <c r="E159" s="27">
        <v>0.93</v>
      </c>
      <c r="F159" s="16">
        <v>2099.128703513458</v>
      </c>
      <c r="G159" s="16">
        <v>2065.558703513458</v>
      </c>
      <c r="H159" s="16">
        <f>F159*0.85</f>
        <v>1784.2593979864391</v>
      </c>
      <c r="I159" s="17">
        <f>G159*0.85</f>
        <v>1755.7248979864394</v>
      </c>
      <c r="J159" s="2"/>
    </row>
    <row r="160" ht="22" customHeight="1">
      <c r="A160" s="10"/>
      <c r="B160" s="4" t="s">
        <v>146</v>
      </c>
      <c r="C160" s="27">
        <v>2.75</v>
      </c>
      <c r="D160" s="27">
        <v>0.95</v>
      </c>
      <c r="E160" s="27">
        <v>0.93</v>
      </c>
      <c r="F160" s="16">
        <v>2348.1397780973903</v>
      </c>
      <c r="G160" s="16">
        <v>2317.1497780973905</v>
      </c>
      <c r="H160" s="16">
        <f>F160*0.85</f>
        <v>1995.9188113827818</v>
      </c>
      <c r="I160" s="17">
        <f>G160*0.85</f>
        <v>1969.5773113827818</v>
      </c>
      <c r="J160" s="2"/>
    </row>
    <row r="161" ht="22" customHeight="1">
      <c r="A161" s="10"/>
      <c r="B161" s="4" t="s">
        <v>147</v>
      </c>
      <c r="C161" s="27">
        <v>2.5</v>
      </c>
      <c r="D161" s="27">
        <v>0.95</v>
      </c>
      <c r="E161" s="27">
        <v>0.93</v>
      </c>
      <c r="F161" s="16">
        <v>2231.2886870762277</v>
      </c>
      <c r="G161" s="16">
        <v>2195.1286870762274</v>
      </c>
      <c r="H161" s="16">
        <f>F161*0.85</f>
        <v>1896.5953840147936</v>
      </c>
      <c r="I161" s="17">
        <f>G161*0.85</f>
        <v>1865.8593840147932</v>
      </c>
      <c r="J161" s="2"/>
    </row>
    <row r="162" ht="22" customHeight="1">
      <c r="A162" s="10"/>
      <c r="B162" s="4" t="s">
        <v>148</v>
      </c>
      <c r="C162" s="27">
        <v>1.9</v>
      </c>
      <c r="D162" s="27">
        <v>1.14</v>
      </c>
      <c r="E162" s="27">
        <v>0.93</v>
      </c>
      <c r="F162" s="16">
        <v>1831.5931497842612</v>
      </c>
      <c r="G162" s="16">
        <v>1807.9931497842613</v>
      </c>
      <c r="H162" s="16">
        <f>F162*0.85</f>
        <v>1556.8541773166219</v>
      </c>
      <c r="I162" s="17">
        <f>G162*0.85</f>
        <v>1536.7941773166222</v>
      </c>
      <c r="J162" s="2"/>
    </row>
    <row r="163" ht="22" customHeight="1">
      <c r="A163" s="10"/>
      <c r="B163" s="4" t="s">
        <v>148</v>
      </c>
      <c r="C163" s="27">
        <v>1.9</v>
      </c>
      <c r="D163" s="27">
        <v>1.14</v>
      </c>
      <c r="E163" s="27">
        <v>0.93</v>
      </c>
      <c r="F163" s="16">
        <v>1831.5931497842612</v>
      </c>
      <c r="G163" s="16">
        <v>1807.9931497842613</v>
      </c>
      <c r="H163" s="16">
        <f>F163*0.85</f>
        <v>1556.8541773166219</v>
      </c>
      <c r="I163" s="17">
        <f>G163*0.85</f>
        <v>1536.7941773166222</v>
      </c>
      <c r="J163" s="2"/>
    </row>
    <row r="164" ht="22" customHeight="1">
      <c r="A164" s="10"/>
      <c r="B164" s="5" t="s">
        <v>148</v>
      </c>
      <c r="C164" s="28">
        <v>1.9</v>
      </c>
      <c r="D164" s="28">
        <v>1.14</v>
      </c>
      <c r="E164" s="28">
        <v>0.93</v>
      </c>
      <c r="F164" s="18">
        <v>1831.5931497842612</v>
      </c>
      <c r="G164" s="18">
        <v>1807.9931497842613</v>
      </c>
      <c r="H164" s="18">
        <f>F164*0.85</f>
        <v>1556.8541773166219</v>
      </c>
      <c r="I164" s="19">
        <f>G164*0.85</f>
        <v>1536.7941773166222</v>
      </c>
      <c r="J164" s="2"/>
    </row>
    <row r="165">
      <c r="A165" s="10"/>
      <c r="B165" s="2"/>
      <c r="C165" s="29"/>
      <c r="D165" s="29"/>
      <c r="E165" s="29"/>
      <c r="F165" s="20"/>
      <c r="G165" s="20"/>
      <c r="H165" s="20"/>
      <c r="I165" s="20"/>
    </row>
    <row r="166">
      <c r="A166" s="10"/>
      <c r="B166" s="6" t="s">
        <v>149</v>
      </c>
      <c r="C166" s="30" t="s">
        <v>150</v>
      </c>
      <c r="D166" s="29"/>
      <c r="E166" s="31"/>
      <c r="F166" s="21"/>
      <c r="G166" s="21"/>
      <c r="H166" s="21"/>
      <c r="I166" s="21"/>
    </row>
    <row r="167">
      <c r="A167" s="10"/>
      <c r="B167" s="7"/>
      <c r="C167" s="32"/>
      <c r="D167" s="29"/>
      <c r="E167" s="31"/>
      <c r="F167" s="20"/>
      <c r="G167" s="20"/>
      <c r="H167" s="20"/>
      <c r="I167" s="20"/>
    </row>
    <row r="168">
      <c r="A168" s="10"/>
      <c r="B168" s="6" t="s">
        <v>74</v>
      </c>
      <c r="C168" s="33" t="s">
        <v>47</v>
      </c>
      <c r="D168" s="29"/>
      <c r="E168" s="29"/>
      <c r="F168" s="22">
        <f>SUM(F145:F164)</f>
        <v>33195.94593384015</v>
      </c>
      <c r="G168" s="22">
        <f>SUM(G145:G164)</f>
        <v>32721.755933840148</v>
      </c>
      <c r="H168" s="22">
        <f>SUM(H145:H164)</f>
        <v>28216.554043764125</v>
      </c>
      <c r="I168" s="23">
        <f>SUM(I145:I164)</f>
        <v>27813.492543764125</v>
      </c>
      <c r="J168" s="2"/>
    </row>
    <row r="169">
      <c r="A169" s="9"/>
      <c r="B169" s="8"/>
      <c r="C169" s="34"/>
      <c r="D169" s="29"/>
      <c r="E169" s="29"/>
      <c r="F169" s="24"/>
      <c r="G169" s="24"/>
      <c r="H169" s="24"/>
      <c r="I169" s="25"/>
      <c r="J169" s="2"/>
    </row>
    <row r="170">
      <c r="A170" s="2"/>
      <c r="B170" s="2"/>
      <c r="C170" s="29"/>
      <c r="D170" s="29"/>
      <c r="E170" s="29"/>
      <c r="F170" s="20"/>
      <c r="G170" s="20"/>
      <c r="H170" s="20"/>
      <c r="I170" s="20"/>
    </row>
    <row r="171" ht="25" customHeight="1">
      <c r="A171" s="11" t="s">
        <v>151</v>
      </c>
      <c r="B171" s="3" t="s">
        <v>1</v>
      </c>
      <c r="C171" s="26" t="s">
        <v>2</v>
      </c>
      <c r="D171" s="26" t="s">
        <v>3</v>
      </c>
      <c r="E171" s="26" t="s">
        <v>4</v>
      </c>
      <c r="F171" s="14" t="s">
        <v>5</v>
      </c>
      <c r="G171" s="14" t="s">
        <v>6</v>
      </c>
      <c r="H171" s="14" t="s">
        <v>5</v>
      </c>
      <c r="I171" s="15" t="s">
        <v>6</v>
      </c>
      <c r="J171" s="2"/>
    </row>
    <row r="172" ht="22" customHeight="1">
      <c r="A172" s="10"/>
      <c r="B172" s="4" t="s">
        <v>152</v>
      </c>
      <c r="C172" s="27">
        <v>0.12</v>
      </c>
      <c r="D172" s="27">
        <v>1</v>
      </c>
      <c r="E172" s="27">
        <v>0.6</v>
      </c>
      <c r="F172" s="16">
        <v>135.6044380521882</v>
      </c>
      <c r="G172" s="16">
        <v>100.3244380521882</v>
      </c>
      <c r="H172" s="16">
        <f>F172*0.85</f>
        <v>115.26377234435995</v>
      </c>
      <c r="I172" s="17">
        <f>G172*0.85</f>
        <v>85.27577234435996</v>
      </c>
      <c r="J172" s="2"/>
    </row>
    <row r="173" ht="22" customHeight="1">
      <c r="A173" s="10"/>
      <c r="B173" s="4" t="s">
        <v>153</v>
      </c>
      <c r="C173" s="27">
        <v>1</v>
      </c>
      <c r="D173" s="27">
        <v>1</v>
      </c>
      <c r="E173" s="27">
        <v>0</v>
      </c>
      <c r="F173" s="16">
        <v>426.2</v>
      </c>
      <c r="G173" s="16">
        <v>426.2</v>
      </c>
      <c r="H173" s="16">
        <f>F173*0.85</f>
        <v>362.27</v>
      </c>
      <c r="I173" s="17">
        <f>G173*0.85</f>
        <v>362.27</v>
      </c>
      <c r="J173" s="2"/>
    </row>
    <row r="174" ht="22" customHeight="1">
      <c r="A174" s="10"/>
      <c r="B174" s="4" t="s">
        <v>154</v>
      </c>
      <c r="C174" s="27">
        <v>1</v>
      </c>
      <c r="D174" s="27">
        <v>1</v>
      </c>
      <c r="E174" s="27">
        <v>0</v>
      </c>
      <c r="F174" s="16">
        <v>811.18</v>
      </c>
      <c r="G174" s="16">
        <v>811.18</v>
      </c>
      <c r="H174" s="16">
        <f>F174*0.85</f>
        <v>689.5029999999999</v>
      </c>
      <c r="I174" s="17">
        <f>G174*0.85</f>
        <v>689.5029999999999</v>
      </c>
      <c r="J174" s="2"/>
    </row>
    <row r="175" ht="22" customHeight="1">
      <c r="A175" s="10"/>
      <c r="B175" s="4" t="s">
        <v>17</v>
      </c>
      <c r="C175" s="27">
        <v>0.9</v>
      </c>
      <c r="D175" s="27">
        <v>1.04</v>
      </c>
      <c r="E175" s="27">
        <v>1</v>
      </c>
      <c r="F175" s="16">
        <v>981.6410252722416</v>
      </c>
      <c r="G175" s="16">
        <v>874.2610252722416</v>
      </c>
      <c r="H175" s="16">
        <f>F175*0.85</f>
        <v>834.3948714814053</v>
      </c>
      <c r="I175" s="17">
        <f>G175*0.85</f>
        <v>743.1218714814053</v>
      </c>
      <c r="J175" s="2"/>
    </row>
    <row r="176" ht="22" customHeight="1">
      <c r="A176" s="10"/>
      <c r="B176" s="4" t="s">
        <v>20</v>
      </c>
      <c r="C176" s="27">
        <v>1</v>
      </c>
      <c r="D176" s="27">
        <v>1.04</v>
      </c>
      <c r="E176" s="27">
        <v>1</v>
      </c>
      <c r="F176" s="16">
        <v>1061.5887939182248</v>
      </c>
      <c r="G176" s="16">
        <v>948.0687939182249</v>
      </c>
      <c r="H176" s="16">
        <f>F176*0.85</f>
        <v>902.3504748304911</v>
      </c>
      <c r="I176" s="17">
        <f>G176*0.85</f>
        <v>805.8584748304911</v>
      </c>
      <c r="J176" s="2"/>
    </row>
    <row r="177" ht="22" customHeight="1">
      <c r="A177" s="10"/>
      <c r="B177" s="5" t="s">
        <v>22</v>
      </c>
      <c r="C177" s="28">
        <v>1.1</v>
      </c>
      <c r="D177" s="28">
        <v>1.04</v>
      </c>
      <c r="E177" s="28">
        <v>1</v>
      </c>
      <c r="F177" s="18">
        <v>1140.9265625642079</v>
      </c>
      <c r="G177" s="18">
        <v>1021.2765625642079</v>
      </c>
      <c r="H177" s="18">
        <f>F177*0.85</f>
        <v>969.7875781795767</v>
      </c>
      <c r="I177" s="19">
        <f>G177*0.85</f>
        <v>868.0850781795767</v>
      </c>
      <c r="J177" s="2"/>
    </row>
    <row r="178">
      <c r="A178" s="10"/>
      <c r="B178" s="2"/>
      <c r="C178" s="29"/>
      <c r="D178" s="29"/>
      <c r="E178" s="29"/>
      <c r="F178" s="20"/>
      <c r="G178" s="20"/>
      <c r="H178" s="20"/>
      <c r="I178" s="20"/>
    </row>
    <row r="179">
      <c r="A179" s="10"/>
      <c r="B179" s="6" t="s">
        <v>155</v>
      </c>
      <c r="C179" s="30" t="s">
        <v>156</v>
      </c>
      <c r="D179" s="29"/>
      <c r="E179" s="31"/>
      <c r="F179" s="21"/>
      <c r="G179" s="21"/>
      <c r="H179" s="21"/>
      <c r="I179" s="21"/>
    </row>
    <row r="180">
      <c r="A180" s="10"/>
      <c r="B180" s="7"/>
      <c r="C180" s="32"/>
      <c r="D180" s="29"/>
      <c r="E180" s="31"/>
      <c r="F180" s="20"/>
      <c r="G180" s="20"/>
      <c r="H180" s="20"/>
      <c r="I180" s="20"/>
    </row>
    <row r="181">
      <c r="A181" s="10"/>
      <c r="B181" s="6" t="s">
        <v>74</v>
      </c>
      <c r="C181" s="33" t="s">
        <v>47</v>
      </c>
      <c r="D181" s="29"/>
      <c r="E181" s="29"/>
      <c r="F181" s="22">
        <f>SUM(F172:F177)</f>
        <v>4557.140819806862</v>
      </c>
      <c r="G181" s="22">
        <f>SUM(G172:G177)</f>
        <v>4181.310819806862</v>
      </c>
      <c r="H181" s="22">
        <f>SUM(H172:H177)</f>
        <v>3873.569696835833</v>
      </c>
      <c r="I181" s="23">
        <f>SUM(I172:I177)</f>
        <v>3554.114196835833</v>
      </c>
      <c r="J181" s="2"/>
    </row>
    <row r="182">
      <c r="A182" s="9"/>
      <c r="B182" s="8"/>
      <c r="C182" s="34"/>
      <c r="D182" s="29"/>
      <c r="E182" s="29"/>
      <c r="F182" s="24"/>
      <c r="G182" s="24"/>
      <c r="H182" s="24"/>
      <c r="I182" s="25"/>
      <c r="J182" s="2"/>
    </row>
    <row r="183">
      <c r="A183" s="12" t="s">
        <v>157</v>
      </c>
      <c r="B183" s="2"/>
      <c r="C183" s="29"/>
      <c r="D183" s="31"/>
      <c r="E183" s="31"/>
      <c r="F183" s="20"/>
      <c r="G183" s="20"/>
      <c r="H183" s="20"/>
      <c r="I183" s="20"/>
    </row>
    <row r="184">
      <c r="A184" s="13" t="s">
        <v>158</v>
      </c>
      <c r="C184" s="31"/>
      <c r="D184" s="31"/>
      <c r="E184" s="31"/>
      <c r="F184" s="21"/>
      <c r="G184" s="21"/>
      <c r="H184" s="21"/>
      <c r="I184" s="21"/>
    </row>
    <row r="185">
      <c r="C185" s="31"/>
      <c r="D185" s="31"/>
      <c r="E185" s="31"/>
      <c r="F185" s="21"/>
      <c r="G185" s="21"/>
      <c r="H185" s="21"/>
      <c r="I185" s="21"/>
    </row>
    <row r="186">
      <c r="C186" s="31"/>
      <c r="D186" s="31"/>
      <c r="E186" s="31"/>
      <c r="F186" s="21"/>
      <c r="G186" s="21"/>
      <c r="H186" s="21"/>
      <c r="I186" s="21"/>
    </row>
  </sheetData>
  <mergeCells>
    <mergeCell ref="B43:B44"/>
    <mergeCell ref="C43:E44"/>
    <mergeCell ref="B45:B46"/>
    <mergeCell ref="C45:E46"/>
    <mergeCell ref="F45:F46"/>
    <mergeCell ref="G45:G46"/>
    <mergeCell ref="H45:H46"/>
    <mergeCell ref="I45:I46"/>
    <mergeCell ref="A2:A46"/>
    <mergeCell ref="B74:B75"/>
    <mergeCell ref="C74:E75"/>
    <mergeCell ref="B76:B77"/>
    <mergeCell ref="C76:E77"/>
    <mergeCell ref="F76:F77"/>
    <mergeCell ref="G76:G77"/>
    <mergeCell ref="H76:H77"/>
    <mergeCell ref="I76:I77"/>
    <mergeCell ref="A51:A77"/>
    <mergeCell ref="B97:B98"/>
    <mergeCell ref="C97:E98"/>
    <mergeCell ref="B99:B100"/>
    <mergeCell ref="C99:E100"/>
    <mergeCell ref="F99:F100"/>
    <mergeCell ref="G99:G100"/>
    <mergeCell ref="H99:H100"/>
    <mergeCell ref="I99:I100"/>
    <mergeCell ref="A80:A100"/>
    <mergeCell ref="B125:B126"/>
    <mergeCell ref="C125:E126"/>
    <mergeCell ref="B127:B128"/>
    <mergeCell ref="C127:E128"/>
    <mergeCell ref="F127:F128"/>
    <mergeCell ref="G127:G128"/>
    <mergeCell ref="H127:H128"/>
    <mergeCell ref="I127:I128"/>
    <mergeCell ref="A103:A128"/>
    <mergeCell ref="B139:B140"/>
    <mergeCell ref="C139:E140"/>
    <mergeCell ref="B141:B142"/>
    <mergeCell ref="C141:E142"/>
    <mergeCell ref="F141:F142"/>
    <mergeCell ref="G141:G142"/>
    <mergeCell ref="H141:H142"/>
    <mergeCell ref="I141:I142"/>
    <mergeCell ref="A131:A142"/>
    <mergeCell ref="B166:B167"/>
    <mergeCell ref="C166:E167"/>
    <mergeCell ref="B168:B169"/>
    <mergeCell ref="C168:E169"/>
    <mergeCell ref="F168:F169"/>
    <mergeCell ref="G168:G169"/>
    <mergeCell ref="H168:H169"/>
    <mergeCell ref="I168:I169"/>
    <mergeCell ref="A145:A169"/>
    <mergeCell ref="B179:B180"/>
    <mergeCell ref="C179:E180"/>
    <mergeCell ref="B181:B182"/>
    <mergeCell ref="C181:E182"/>
    <mergeCell ref="F181:F182"/>
    <mergeCell ref="G181:G182"/>
    <mergeCell ref="H181:H182"/>
    <mergeCell ref="I181:I182"/>
    <mergeCell ref="A172:A182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9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159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127</v>
      </c>
      <c r="C2" s="28">
        <v>0.9</v>
      </c>
      <c r="D2" s="28">
        <v>0.93</v>
      </c>
      <c r="E2" s="28">
        <v>0.77</v>
      </c>
      <c r="F2" s="18">
        <v>740.6077193342921</v>
      </c>
      <c r="G2" s="18">
        <v>677.4577193342922</v>
      </c>
      <c r="H2" s="18">
        <f>F2*0.85</f>
        <v>629.5165614341483</v>
      </c>
      <c r="I2" s="19">
        <f>G2*0.85</f>
        <v>575.8390614341483</v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160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76</v>
      </c>
      <c r="G4" s="14" t="s">
        <v>6</v>
      </c>
      <c r="H4" s="14" t="s">
        <v>76</v>
      </c>
      <c r="I4" s="15" t="s">
        <v>6</v>
      </c>
      <c r="J4" s="2"/>
    </row>
    <row r="5" ht="90" customHeight="1">
      <c r="A5" s="9"/>
      <c r="B5" s="5" t="s">
        <v>127</v>
      </c>
      <c r="C5" s="28">
        <v>1.16</v>
      </c>
      <c r="D5" s="28">
        <v>1.05</v>
      </c>
      <c r="E5" s="28">
        <v>0.78</v>
      </c>
      <c r="F5" s="18">
        <v>1160.19880213684</v>
      </c>
      <c r="G5" s="18">
        <v>1142.51880213684</v>
      </c>
      <c r="H5" s="18">
        <f>F5*0.85</f>
        <v>986.1689818163139</v>
      </c>
      <c r="I5" s="19">
        <f>G5*0.85</f>
        <v>971.1409818163139</v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161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76</v>
      </c>
      <c r="G7" s="14" t="s">
        <v>6</v>
      </c>
      <c r="H7" s="14" t="s">
        <v>76</v>
      </c>
      <c r="I7" s="15" t="s">
        <v>6</v>
      </c>
      <c r="J7" s="2"/>
    </row>
    <row r="8" ht="90" customHeight="1">
      <c r="A8" s="9"/>
      <c r="B8" s="5" t="s">
        <v>127</v>
      </c>
      <c r="C8" s="28">
        <v>0.94</v>
      </c>
      <c r="D8" s="28">
        <v>0.87</v>
      </c>
      <c r="E8" s="28">
        <v>0.81</v>
      </c>
      <c r="F8" s="18">
        <v>779.6932730634888</v>
      </c>
      <c r="G8" s="18">
        <v>767.7032730634888</v>
      </c>
      <c r="H8" s="18">
        <f>F8*0.85</f>
        <v>662.7392821039655</v>
      </c>
      <c r="I8" s="19">
        <f>G8*0.85</f>
        <v>652.5477821039655</v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162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76</v>
      </c>
      <c r="G10" s="14" t="s">
        <v>6</v>
      </c>
      <c r="H10" s="14" t="s">
        <v>76</v>
      </c>
      <c r="I10" s="15" t="s">
        <v>6</v>
      </c>
      <c r="J10" s="2"/>
    </row>
    <row r="11" ht="90" customHeight="1">
      <c r="A11" s="9"/>
      <c r="B11" s="5" t="s">
        <v>163</v>
      </c>
      <c r="C11" s="28">
        <v>0.88</v>
      </c>
      <c r="D11" s="28">
        <v>0.9</v>
      </c>
      <c r="E11" s="28">
        <v>0.75</v>
      </c>
      <c r="F11" s="18">
        <v>1258.9388350113004</v>
      </c>
      <c r="G11" s="18">
        <v>1249.1488350113004</v>
      </c>
      <c r="H11" s="18">
        <f>F11*0.85</f>
        <v>1070.0980097596052</v>
      </c>
      <c r="I11" s="19">
        <f>G11*0.85</f>
        <v>1061.7765097596052</v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 ht="25" customHeight="1">
      <c r="A13" s="11" t="s">
        <v>164</v>
      </c>
      <c r="B13" s="3" t="s">
        <v>1</v>
      </c>
      <c r="C13" s="26" t="s">
        <v>2</v>
      </c>
      <c r="D13" s="26" t="s">
        <v>3</v>
      </c>
      <c r="E13" s="26" t="s">
        <v>4</v>
      </c>
      <c r="F13" s="14" t="s">
        <v>76</v>
      </c>
      <c r="G13" s="14" t="s">
        <v>6</v>
      </c>
      <c r="H13" s="14" t="s">
        <v>76</v>
      </c>
      <c r="I13" s="15" t="s">
        <v>6</v>
      </c>
      <c r="J13" s="2"/>
    </row>
    <row r="14" ht="90" customHeight="1">
      <c r="A14" s="9"/>
      <c r="B14" s="5" t="s">
        <v>163</v>
      </c>
      <c r="C14" s="28">
        <v>0.85</v>
      </c>
      <c r="D14" s="28">
        <v>0.92</v>
      </c>
      <c r="E14" s="28">
        <v>0.82</v>
      </c>
      <c r="F14" s="18">
        <v>1365.7877193342922</v>
      </c>
      <c r="G14" s="18">
        <v>1365.7877193342922</v>
      </c>
      <c r="H14" s="18">
        <f>F14*0.85</f>
        <v>1160.9195614341484</v>
      </c>
      <c r="I14" s="19">
        <f>G14*0.85</f>
        <v>1160.9195614341484</v>
      </c>
      <c r="J14" s="2"/>
    </row>
    <row r="15">
      <c r="A15" s="2"/>
      <c r="B15" s="2"/>
      <c r="C15" s="29"/>
      <c r="D15" s="29"/>
      <c r="E15" s="29"/>
      <c r="F15" s="20"/>
      <c r="G15" s="20"/>
      <c r="H15" s="20"/>
      <c r="I15" s="20"/>
    </row>
    <row r="16" ht="25" customHeight="1">
      <c r="A16" s="11" t="s">
        <v>165</v>
      </c>
      <c r="B16" s="3" t="s">
        <v>1</v>
      </c>
      <c r="C16" s="26" t="s">
        <v>2</v>
      </c>
      <c r="D16" s="26" t="s">
        <v>3</v>
      </c>
      <c r="E16" s="26" t="s">
        <v>4</v>
      </c>
      <c r="F16" s="14" t="s">
        <v>76</v>
      </c>
      <c r="G16" s="14" t="s">
        <v>6</v>
      </c>
      <c r="H16" s="14" t="s">
        <v>76</v>
      </c>
      <c r="I16" s="15" t="s">
        <v>6</v>
      </c>
      <c r="J16" s="2"/>
    </row>
    <row r="17" ht="90" customHeight="1">
      <c r="A17" s="9"/>
      <c r="B17" s="5" t="s">
        <v>127</v>
      </c>
      <c r="C17" s="28">
        <v>0.84</v>
      </c>
      <c r="D17" s="28">
        <v>0.93</v>
      </c>
      <c r="E17" s="28">
        <v>0.82</v>
      </c>
      <c r="F17" s="18">
        <v>954.4677193342922</v>
      </c>
      <c r="G17" s="18">
        <v>938.3177193342922</v>
      </c>
      <c r="H17" s="18">
        <f>F17*0.85</f>
        <v>811.2975614341483</v>
      </c>
      <c r="I17" s="19">
        <f>G17*0.85</f>
        <v>797.5700614341483</v>
      </c>
      <c r="J17" s="2"/>
    </row>
    <row r="18">
      <c r="A18" s="2"/>
      <c r="B18" s="2"/>
      <c r="C18" s="29"/>
      <c r="D18" s="29"/>
      <c r="E18" s="29"/>
      <c r="F18" s="20"/>
      <c r="G18" s="20"/>
      <c r="H18" s="20"/>
      <c r="I18" s="20"/>
    </row>
    <row r="19">
      <c r="C19" s="31"/>
      <c r="D19" s="31"/>
      <c r="E19" s="31"/>
      <c r="F19" s="21"/>
      <c r="G19" s="21"/>
      <c r="H19" s="21"/>
      <c r="I19" s="21"/>
    </row>
  </sheetData>
  <mergeCells>
    <mergeCell ref="A2"/>
    <mergeCell ref="A5"/>
    <mergeCell ref="A8"/>
    <mergeCell ref="A11"/>
    <mergeCell ref="A14"/>
    <mergeCell ref="A17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4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166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76</v>
      </c>
      <c r="G1" s="14" t="s">
        <v>6</v>
      </c>
      <c r="H1" s="14" t="s">
        <v>76</v>
      </c>
      <c r="I1" s="15" t="s">
        <v>6</v>
      </c>
      <c r="J1" s="2"/>
    </row>
    <row r="2" ht="90" customHeight="1">
      <c r="A2" s="10"/>
      <c r="B2" s="4" t="s">
        <v>167</v>
      </c>
      <c r="C2" s="27">
        <v>1.6</v>
      </c>
      <c r="D2" s="27">
        <v>0.45</v>
      </c>
      <c r="E2" s="27">
        <v>0.45</v>
      </c>
      <c r="F2" s="16">
        <v>398.9088596671461</v>
      </c>
      <c r="G2" s="16">
        <v>391.2888596671461</v>
      </c>
      <c r="H2" s="16">
        <f>F2*0.85</f>
        <v>339.0725307170742</v>
      </c>
      <c r="I2" s="17">
        <f>G2*0.85</f>
        <v>332.59553071707415</v>
      </c>
      <c r="J2" s="2"/>
    </row>
    <row r="3" ht="90" customHeight="1">
      <c r="A3" s="9"/>
      <c r="B3" s="5" t="s">
        <v>168</v>
      </c>
      <c r="C3" s="28">
        <v>0.58</v>
      </c>
      <c r="D3" s="28">
        <v>0.5</v>
      </c>
      <c r="E3" s="28">
        <v>0.45</v>
      </c>
      <c r="F3" s="18">
        <v>185.00109923977809</v>
      </c>
      <c r="G3" s="18">
        <v>180.19109923977808</v>
      </c>
      <c r="H3" s="18">
        <f>F3*0.85</f>
        <v>157.25093435381137</v>
      </c>
      <c r="I3" s="19">
        <f>G3*0.85</f>
        <v>153.16243435381136</v>
      </c>
      <c r="J3" s="2"/>
    </row>
    <row r="4">
      <c r="A4" s="2"/>
      <c r="B4" s="2"/>
      <c r="C4" s="29"/>
      <c r="D4" s="29"/>
      <c r="E4" s="29"/>
      <c r="F4" s="20"/>
      <c r="G4" s="20"/>
      <c r="H4" s="20"/>
      <c r="I4" s="20"/>
    </row>
    <row r="5" ht="25" customHeight="1">
      <c r="A5" s="11" t="s">
        <v>169</v>
      </c>
      <c r="B5" s="3" t="s">
        <v>1</v>
      </c>
      <c r="C5" s="26" t="s">
        <v>2</v>
      </c>
      <c r="D5" s="26" t="s">
        <v>3</v>
      </c>
      <c r="E5" s="26" t="s">
        <v>4</v>
      </c>
      <c r="F5" s="14" t="s">
        <v>76</v>
      </c>
      <c r="G5" s="14" t="s">
        <v>6</v>
      </c>
      <c r="H5" s="14" t="s">
        <v>76</v>
      </c>
      <c r="I5" s="15" t="s">
        <v>6</v>
      </c>
      <c r="J5" s="2"/>
    </row>
    <row r="6" ht="90" customHeight="1">
      <c r="A6" s="10"/>
      <c r="B6" s="4" t="s">
        <v>167</v>
      </c>
      <c r="C6" s="27">
        <v>1.8</v>
      </c>
      <c r="D6" s="27">
        <v>0.6</v>
      </c>
      <c r="E6" s="27">
        <v>0.46</v>
      </c>
      <c r="F6" s="16">
        <v>865.8988432299157</v>
      </c>
      <c r="G6" s="16">
        <v>856.5088432299157</v>
      </c>
      <c r="H6" s="16">
        <f>F6*0.85</f>
        <v>736.0140167454283</v>
      </c>
      <c r="I6" s="17">
        <f>G6*0.85</f>
        <v>728.0325167454283</v>
      </c>
      <c r="J6" s="2"/>
    </row>
    <row r="7" ht="90" customHeight="1">
      <c r="A7" s="10"/>
      <c r="B7" s="4" t="s">
        <v>167</v>
      </c>
      <c r="C7" s="27">
        <v>1.8</v>
      </c>
      <c r="D7" s="27">
        <v>0.6</v>
      </c>
      <c r="E7" s="27">
        <v>0.46</v>
      </c>
      <c r="F7" s="16">
        <v>865.8988432299157</v>
      </c>
      <c r="G7" s="16">
        <v>856.5088432299157</v>
      </c>
      <c r="H7" s="16">
        <f>F7*0.85</f>
        <v>736.0140167454283</v>
      </c>
      <c r="I7" s="17">
        <f>G7*0.85</f>
        <v>728.0325167454283</v>
      </c>
      <c r="J7" s="2"/>
    </row>
    <row r="8" ht="90" customHeight="1">
      <c r="A8" s="9"/>
      <c r="B8" s="5" t="s">
        <v>167</v>
      </c>
      <c r="C8" s="28">
        <v>1.8</v>
      </c>
      <c r="D8" s="28">
        <v>0.6</v>
      </c>
      <c r="E8" s="28">
        <v>0.46</v>
      </c>
      <c r="F8" s="18">
        <v>865.8988432299157</v>
      </c>
      <c r="G8" s="18">
        <v>856.5088432299157</v>
      </c>
      <c r="H8" s="18">
        <f>F8*0.85</f>
        <v>736.0140167454283</v>
      </c>
      <c r="I8" s="19">
        <f>G8*0.85</f>
        <v>728.0325167454283</v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170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5</v>
      </c>
      <c r="G10" s="14" t="s">
        <v>6</v>
      </c>
      <c r="H10" s="14" t="s">
        <v>5</v>
      </c>
      <c r="I10" s="15" t="s">
        <v>6</v>
      </c>
      <c r="J10" s="2"/>
    </row>
    <row r="11" ht="90" customHeight="1">
      <c r="A11" s="10"/>
      <c r="B11" s="4" t="s">
        <v>171</v>
      </c>
      <c r="C11" s="27">
        <v>2.8</v>
      </c>
      <c r="D11" s="27">
        <v>2.18</v>
      </c>
      <c r="E11" s="27">
        <v>1.05</v>
      </c>
      <c r="F11" s="16">
        <v>4288.24497020752</v>
      </c>
      <c r="G11" s="16">
        <v>4020.00497020752</v>
      </c>
      <c r="H11" s="16">
        <f>F11*0.85</f>
        <v>3645.008224676392</v>
      </c>
      <c r="I11" s="17">
        <f>G11*0.85</f>
        <v>3417.004224676392</v>
      </c>
      <c r="J11" s="2"/>
    </row>
    <row r="12" ht="90" customHeight="1">
      <c r="A12" s="9"/>
      <c r="B12" s="5" t="s">
        <v>172</v>
      </c>
      <c r="C12" s="28">
        <v>1</v>
      </c>
      <c r="D12" s="28">
        <v>1</v>
      </c>
      <c r="E12" s="28">
        <v>0</v>
      </c>
      <c r="F12" s="18">
        <v>87.99</v>
      </c>
      <c r="G12" s="18">
        <v>87.99</v>
      </c>
      <c r="H12" s="18">
        <f>F12*0.85</f>
        <v>74.7915</v>
      </c>
      <c r="I12" s="19">
        <f>G12*0.85</f>
        <v>74.7915</v>
      </c>
      <c r="J12" s="2"/>
    </row>
    <row r="13">
      <c r="A13" s="2"/>
      <c r="B13" s="2"/>
      <c r="C13" s="29"/>
      <c r="D13" s="29"/>
      <c r="E13" s="29"/>
      <c r="F13" s="20"/>
      <c r="G13" s="20"/>
      <c r="H13" s="20"/>
      <c r="I13" s="20"/>
    </row>
    <row r="14">
      <c r="C14" s="31"/>
      <c r="D14" s="31"/>
      <c r="E14" s="31"/>
      <c r="F14" s="21"/>
      <c r="G14" s="21"/>
      <c r="H14" s="21"/>
      <c r="I14" s="21"/>
    </row>
  </sheetData>
  <mergeCells>
    <mergeCell ref="A2:A3"/>
    <mergeCell ref="A6:A8"/>
    <mergeCell ref="A11:A12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