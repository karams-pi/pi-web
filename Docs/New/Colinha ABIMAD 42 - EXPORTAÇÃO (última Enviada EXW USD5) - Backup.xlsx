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tabRatio="786" activeTab="2"/>
  </bookViews>
  <sheets>
    <sheet name="Estofados KARAMS" sheetId="1" r:id="rId1"/>
    <sheet name="POLTRONA KARAMS" sheetId="14" r:id="rId2"/>
    <sheet name="COMPLEMENTOS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<sst xmlns="http://schemas.openxmlformats.org/spreadsheetml/2006/main" count="465" uniqueCount="100">
  <si>
    <t>ESTOFADO ÂNKUR</t>
  </si>
  <si>
    <t>Descrição</t>
  </si>
  <si>
    <t>Larg</t>
  </si>
  <si>
    <t>Prof</t>
  </si>
  <si>
    <t>Altura</t>
  </si>
  <si>
    <t>G5</t>
  </si>
  <si>
    <t>A PARTIR DE: G0</t>
  </si>
  <si>
    <t>EXW</t>
  </si>
  <si>
    <t>Módulo (2Ass:110 - 1Br:020)</t>
  </si>
  <si>
    <t>Módulo (1Ass:110 - 1Me:055)</t>
  </si>
  <si>
    <t>Puff</t>
  </si>
  <si>
    <t xml:space="preserve">Puff </t>
  </si>
  <si>
    <t>Puff (1Ass:110 - 1Me:055)</t>
  </si>
  <si>
    <t>Almofada de Encosto</t>
  </si>
  <si>
    <t>TECIDO: SK 5129 / ACAB: NOGUEIRA</t>
  </si>
  <si>
    <r>
      <rPr>
        <b/>
        <sz val="12"/>
        <color indexed="63"/>
        <rFont val="Calibri"/>
        <charset val="134"/>
        <scheme val="minor"/>
      </rPr>
      <t>MEDIDA TOTAL:</t>
    </r>
    <r>
      <rPr>
        <b/>
        <sz val="12"/>
        <color rgb="FF333333"/>
        <rFont val="Calibri"/>
        <charset val="134"/>
        <scheme val="minor"/>
      </rPr>
      <t xml:space="preserve"> 405 x 188</t>
    </r>
  </si>
  <si>
    <t>PÉS: CAFÉ</t>
  </si>
  <si>
    <t>TOTAL CONJUNTO:</t>
  </si>
  <si>
    <t>OBS: PÉ EM METAL PINTADO</t>
  </si>
  <si>
    <t>OBS: MESA REVESTIDA EM LÂMINA NATURAL</t>
  </si>
  <si>
    <t>ESTOFADO LASSO</t>
  </si>
  <si>
    <t>G1</t>
  </si>
  <si>
    <t>Módulo (1Ass:115 - S/br)</t>
  </si>
  <si>
    <t>Módulo (1Ass:235 - 1Me:030)</t>
  </si>
  <si>
    <t xml:space="preserve">Chaise </t>
  </si>
  <si>
    <t>Braço Solto</t>
  </si>
  <si>
    <t>TECIDO: SK1390 / BASE: MEL</t>
  </si>
  <si>
    <t>MEDIDA TOTAL: 480 X 175</t>
  </si>
  <si>
    <t>PEÇA ASSINADA DESIGN:</t>
  </si>
  <si>
    <t>JOÃO V. DEMELE</t>
  </si>
  <si>
    <t/>
  </si>
  <si>
    <t>ESTOFADO MIWA</t>
  </si>
  <si>
    <t>Tapeçado - Bipartido (1 Ass:246 - 2Br:20) - 8 almofadas</t>
  </si>
  <si>
    <t>Capa Inteira (1 Ass246 - 2Br:20) - 8 Almofadas</t>
  </si>
  <si>
    <t>TECIDO: SK1397 /  ACAB:CARVALHO</t>
  </si>
  <si>
    <t>MEDIDA TOTAL: 3,00</t>
  </si>
  <si>
    <t>CAPA: SK3195</t>
  </si>
  <si>
    <t>ESTOFADO MÔA</t>
  </si>
  <si>
    <t>G4</t>
  </si>
  <si>
    <t>Bipartido (2Ass:130 - 2Br:015)</t>
  </si>
  <si>
    <t>TECIDO: SK4184 / ACAB: MEL</t>
  </si>
  <si>
    <t>MEDIDA TOTAL: 2,90</t>
  </si>
  <si>
    <t>LUCIANO SANTELLI</t>
  </si>
  <si>
    <t>ESTOFADO NINHO</t>
  </si>
  <si>
    <t>Módulo (1Ass:137 - 1Br:023)</t>
  </si>
  <si>
    <t>TECIDO: SK5111 / ACAB: IMBUIA</t>
  </si>
  <si>
    <t>MEDIDA TOTAL: 3,20</t>
  </si>
  <si>
    <t>ESTOFADO TIBAGI</t>
  </si>
  <si>
    <t>Módulo (1Ass:095 - 1Br:025)</t>
  </si>
  <si>
    <t>Módulo Curvo</t>
  </si>
  <si>
    <t>TECIDO: SK5134 / ACAB: IMBUIA</t>
  </si>
  <si>
    <t>MEDIDA TOTAL: 450</t>
  </si>
  <si>
    <t>JOÃO DEMELE</t>
  </si>
  <si>
    <t>ESTOFADO ZENITH</t>
  </si>
  <si>
    <t>G6</t>
  </si>
  <si>
    <t>MODULO (1ASS:100 - 1BR:012)</t>
  </si>
  <si>
    <t>MODULO (1ASS:100 - S/BR)</t>
  </si>
  <si>
    <t>MECANISMO 3 ASSENTOS (NÃO HÁ DESCONTO NO MECANISMO)</t>
  </si>
  <si>
    <t>TECIDO: SK 6058</t>
  </si>
  <si>
    <t>MEDIDA TOTAL: 3,34</t>
  </si>
  <si>
    <t>OBS: DISPONÍVEL APENAS COM AUTOMAÇÃO</t>
  </si>
  <si>
    <t>OBS: PROFUNDIDADE ABERTA: 1,56M</t>
  </si>
  <si>
    <t>ESTUDIO KARAMS</t>
  </si>
  <si>
    <t>POLTRONA ALENTO</t>
  </si>
  <si>
    <t>G8</t>
  </si>
  <si>
    <t>POLTRONA GIRATORIA</t>
  </si>
  <si>
    <t>SK852</t>
  </si>
  <si>
    <t>BASE: CAFÉ</t>
  </si>
  <si>
    <t>POLTRONA DENGO</t>
  </si>
  <si>
    <t>POLTRONA</t>
  </si>
  <si>
    <t>SK858</t>
  </si>
  <si>
    <t>BASE: MEL</t>
  </si>
  <si>
    <t>JULIA TAINÁ</t>
  </si>
  <si>
    <t>POLTRONA KENJI</t>
  </si>
  <si>
    <t xml:space="preserve">POLTRONA </t>
  </si>
  <si>
    <t>SK4170</t>
  </si>
  <si>
    <t>BASE: CHAMPAGNE</t>
  </si>
  <si>
    <t>POLTRONA MUSH</t>
  </si>
  <si>
    <t>G15</t>
  </si>
  <si>
    <t>SK15014</t>
  </si>
  <si>
    <t>ACAB: CASTANHO</t>
  </si>
  <si>
    <t>ESTUDIO GALHO</t>
  </si>
  <si>
    <t>POLTRONA NINHO</t>
  </si>
  <si>
    <t>SK1391</t>
  </si>
  <si>
    <t>POLTRONA SEMENTE</t>
  </si>
  <si>
    <t>G7</t>
  </si>
  <si>
    <t>SK738</t>
  </si>
  <si>
    <t>ACAB: IMBUIA</t>
  </si>
  <si>
    <t>BANCO TORUS</t>
  </si>
  <si>
    <t xml:space="preserve">BANCO </t>
  </si>
  <si>
    <t>SK4167</t>
  </si>
  <si>
    <t>ACAB: EBANO</t>
  </si>
  <si>
    <t>CAMA KAORI</t>
  </si>
  <si>
    <t>KING SIZE</t>
  </si>
  <si>
    <t>MINI TOTEM</t>
  </si>
  <si>
    <t>TOTEM NÃO TEM DESCONTO</t>
  </si>
  <si>
    <t>SK5139</t>
  </si>
  <si>
    <t>PUFF TOAD</t>
  </si>
  <si>
    <t>PUFF</t>
  </si>
  <si>
    <t>SK1378 / SK 5136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</si>
</sst>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4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8"/>
      <color indexed="63"/>
      <name val="Calibri"/>
      <charset val="134"/>
      <scheme val="minor"/>
    </font>
    <font>
      <sz val="12"/>
      <color indexed="63"/>
      <name val="Calibri"/>
      <charset val="134"/>
      <scheme val="minor"/>
    </font>
    <font>
      <sz val="12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6"/>
      <color indexed="63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0"/>
      <color indexed="63"/>
      <name val="Calibri"/>
      <charset val="134"/>
      <scheme val="minor"/>
    </font>
    <font>
      <b/>
      <sz val="12"/>
      <color indexed="63"/>
      <name val="Calibri"/>
      <charset val="134"/>
      <scheme val="minor"/>
    </font>
    <font>
      <sz val="10"/>
      <color indexed="63"/>
      <name val="Calibri"/>
      <charset val="134"/>
      <scheme val="minor"/>
    </font>
    <font>
      <b/>
      <sz val="16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b/>
      <sz val="18"/>
      <name val="Calibri"/>
      <charset val="134"/>
      <scheme val="minor"/>
    </font>
    <font>
      <sz val="14"/>
      <color indexed="63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12"/>
      <color rgb="FF333333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176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8" fontId="20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20" fillId="10" borderId="1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1" borderId="17" applyNumberFormat="0" applyAlignment="0" applyProtection="0">
      <alignment vertical="center"/>
    </xf>
    <xf numFmtId="0" fontId="29" fillId="12" borderId="18" applyNumberFormat="0" applyAlignment="0" applyProtection="0">
      <alignment vertical="center"/>
    </xf>
    <xf numFmtId="0" fontId="30" fillId="12" borderId="17" applyNumberFormat="0" applyAlignment="0" applyProtection="0">
      <alignment vertical="center"/>
    </xf>
    <xf numFmtId="0" fontId="31" fillId="13" borderId="19" applyNumberFormat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39" fillId="0" borderId="0">
      <alignment vertical="top"/>
    </xf>
    <xf numFmtId="9" fontId="39" fillId="0" borderId="0" applyFont="0" applyFill="0" applyBorder="0" applyAlignment="0" applyProtection="0"/>
    <xf numFmtId="176" fontId="39" fillId="0" borderId="0" applyFont="0" applyFill="0" applyBorder="0" applyAlignment="0" applyProtection="0"/>
    <xf numFmtId="176" fontId="39" fillId="0" borderId="0" applyFont="0" applyFill="0" applyBorder="0" applyAlignment="0" applyProtection="0"/>
    <xf numFmtId="176" fontId="39" fillId="0" borderId="0" applyFont="0" applyFill="0" applyBorder="0" applyAlignment="0" applyProtection="0"/>
    <xf numFmtId="176" fontId="39" fillId="0" borderId="0" applyFont="0" applyFill="0" applyBorder="0" applyAlignment="0" applyProtection="0"/>
    <xf numFmtId="176" fontId="39" fillId="0" borderId="0" applyFont="0" applyFill="0" applyBorder="0" applyAlignment="0" applyProtection="0"/>
    <xf numFmtId="176" fontId="39" fillId="0" borderId="0" applyFont="0" applyFill="0" applyBorder="0" applyAlignment="0" applyProtection="0"/>
  </cellStyleXfs>
  <cellXfs count="126">
    <xf numFmtId="0" fontId="0" fillId="0" borderId="0" xfId="0"/>
    <xf numFmtId="0" fontId="1" fillId="0" borderId="0" xfId="0" applyFont="1"/>
    <xf numFmtId="2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>
      <alignment horizontal="left" vertical="center"/>
    </xf>
    <xf numFmtId="2" fontId="3" fillId="2" borderId="2" xfId="0" applyNumberFormat="1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3" fontId="2" fillId="3" borderId="1" xfId="0" applyNumberFormat="1" applyFont="1" applyFill="1" applyBorder="1" applyAlignment="1" applyProtection="1">
      <alignment horizontal="center" vertical="center"/>
      <protection hidden="1"/>
    </xf>
    <xf numFmtId="3" fontId="2" fillId="4" borderId="1" xfId="0" applyNumberFormat="1" applyFont="1" applyFill="1" applyBorder="1" applyAlignment="1" applyProtection="1">
      <alignment horizontal="center" vertical="center"/>
      <protection hidden="1"/>
    </xf>
    <xf numFmtId="0" fontId="4" fillId="5" borderId="3" xfId="0" applyFont="1" applyFill="1" applyBorder="1" applyAlignment="1" applyProtection="1">
      <alignment horizontal="center"/>
      <protection locked="0"/>
    </xf>
    <xf numFmtId="0" fontId="5" fillId="6" borderId="4" xfId="0" applyFont="1" applyFill="1" applyBorder="1" applyAlignment="1">
      <alignment horizontal="left"/>
    </xf>
    <xf numFmtId="2" fontId="5" fillId="6" borderId="1" xfId="0" applyNumberFormat="1" applyFont="1" applyFill="1" applyBorder="1" applyAlignment="1" applyProtection="1">
      <alignment horizontal="center"/>
      <protection locked="0" hidden="1"/>
    </xf>
    <xf numFmtId="2" fontId="5" fillId="0" borderId="1" xfId="0" applyNumberFormat="1" applyFont="1" applyBorder="1" applyAlignment="1" applyProtection="1">
      <alignment horizontal="center"/>
      <protection hidden="1"/>
    </xf>
    <xf numFmtId="3" fontId="6" fillId="3" borderId="4" xfId="0" applyNumberFormat="1" applyFont="1" applyFill="1" applyBorder="1" applyAlignment="1" applyProtection="1">
      <alignment horizontal="center"/>
      <protection hidden="1"/>
    </xf>
    <xf numFmtId="3" fontId="6" fillId="4" borderId="4" xfId="0" applyNumberFormat="1" applyFont="1" applyFill="1" applyBorder="1" applyAlignment="1" applyProtection="1">
      <alignment horizontal="center"/>
      <protection hidden="1"/>
    </xf>
    <xf numFmtId="0" fontId="1" fillId="6" borderId="1" xfId="0" applyFont="1" applyFill="1" applyBorder="1" applyAlignment="1">
      <alignment horizontal="left"/>
    </xf>
    <xf numFmtId="2" fontId="1" fillId="6" borderId="1" xfId="0" applyNumberFormat="1" applyFont="1" applyFill="1" applyBorder="1" applyAlignment="1" applyProtection="1">
      <alignment horizontal="center"/>
      <protection hidden="1"/>
    </xf>
    <xf numFmtId="2" fontId="7" fillId="3" borderId="4" xfId="0" applyNumberFormat="1" applyFont="1" applyFill="1" applyBorder="1" applyAlignment="1" applyProtection="1">
      <alignment horizontal="center"/>
      <protection hidden="1"/>
    </xf>
    <xf numFmtId="0" fontId="0" fillId="4" borderId="1" xfId="0" applyFill="1" applyBorder="1" applyAlignment="1">
      <alignment horizontal="center"/>
    </xf>
    <xf numFmtId="0" fontId="8" fillId="6" borderId="4" xfId="0" applyFont="1" applyFill="1" applyBorder="1" applyAlignment="1">
      <alignment horizontal="left"/>
    </xf>
    <xf numFmtId="2" fontId="1" fillId="6" borderId="1" xfId="0" applyNumberFormat="1" applyFont="1" applyFill="1" applyBorder="1" applyAlignment="1" applyProtection="1">
      <alignment horizontal="center" wrapText="1"/>
      <protection hidden="1"/>
    </xf>
    <xf numFmtId="2" fontId="9" fillId="3" borderId="5" xfId="0" applyNumberFormat="1" applyFont="1" applyFill="1" applyBorder="1" applyAlignment="1" applyProtection="1">
      <alignment horizontal="center" vertical="center"/>
      <protection locked="0" hidden="1"/>
    </xf>
    <xf numFmtId="0" fontId="10" fillId="5" borderId="3" xfId="0" applyFont="1" applyFill="1" applyBorder="1" applyAlignment="1" applyProtection="1">
      <alignment horizontal="center"/>
      <protection locked="0"/>
    </xf>
    <xf numFmtId="2" fontId="9" fillId="3" borderId="6" xfId="0" applyNumberFormat="1" applyFont="1" applyFill="1" applyBorder="1" applyAlignment="1" applyProtection="1">
      <alignment horizontal="center" vertical="center"/>
      <protection locked="0" hidden="1"/>
    </xf>
    <xf numFmtId="0" fontId="11" fillId="7" borderId="3" xfId="0" applyFont="1" applyFill="1" applyBorder="1" applyAlignment="1" applyProtection="1">
      <alignment horizontal="center"/>
      <protection locked="0"/>
    </xf>
    <xf numFmtId="0" fontId="8" fillId="6" borderId="1" xfId="0" applyFont="1" applyFill="1" applyBorder="1" applyAlignment="1">
      <alignment horizontal="left"/>
    </xf>
    <xf numFmtId="0" fontId="12" fillId="7" borderId="4" xfId="6" applyFill="1" applyBorder="1" applyAlignment="1" applyProtection="1">
      <alignment horizontal="center"/>
      <protection locked="0"/>
    </xf>
    <xf numFmtId="3" fontId="6" fillId="3" borderId="1" xfId="0" applyNumberFormat="1" applyFont="1" applyFill="1" applyBorder="1" applyAlignment="1" applyProtection="1">
      <alignment horizontal="center"/>
      <protection hidden="1"/>
    </xf>
    <xf numFmtId="3" fontId="6" fillId="4" borderId="1" xfId="0" applyNumberFormat="1" applyFont="1" applyFill="1" applyBorder="1" applyAlignment="1" applyProtection="1">
      <alignment horizontal="center"/>
      <protection hidden="1"/>
    </xf>
    <xf numFmtId="1" fontId="6" fillId="8" borderId="1" xfId="0" applyNumberFormat="1" applyFont="1" applyFill="1" applyBorder="1" applyAlignment="1" applyProtection="1">
      <alignment horizontal="center"/>
      <protection hidden="1"/>
    </xf>
    <xf numFmtId="0" fontId="1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2" fontId="7" fillId="8" borderId="1" xfId="0" applyNumberFormat="1" applyFont="1" applyFill="1" applyBorder="1" applyAlignment="1" applyProtection="1">
      <alignment horizontal="center"/>
      <protection hidden="1"/>
    </xf>
    <xf numFmtId="0" fontId="1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center"/>
    </xf>
    <xf numFmtId="2" fontId="11" fillId="2" borderId="1" xfId="0" applyNumberFormat="1" applyFont="1" applyFill="1" applyBorder="1" applyAlignment="1" applyProtection="1">
      <alignment horizontal="center" vertical="center" wrapText="1"/>
      <protection locked="0"/>
    </xf>
    <xf numFmtId="3" fontId="2" fillId="2" borderId="1" xfId="0" applyNumberFormat="1" applyFont="1" applyFill="1" applyBorder="1" applyAlignment="1" applyProtection="1">
      <alignment horizontal="center" vertical="center"/>
      <protection hidden="1"/>
    </xf>
    <xf numFmtId="2" fontId="5" fillId="0" borderId="1" xfId="0" applyNumberFormat="1" applyFont="1" applyBorder="1" applyAlignment="1" applyProtection="1">
      <alignment horizontal="center"/>
      <protection locked="0" hidden="1"/>
    </xf>
    <xf numFmtId="2" fontId="1" fillId="0" borderId="1" xfId="0" applyNumberFormat="1" applyFont="1" applyBorder="1" applyAlignment="1" applyProtection="1">
      <alignment horizontal="center"/>
      <protection hidden="1"/>
    </xf>
    <xf numFmtId="0" fontId="0" fillId="4" borderId="1" xfId="0" applyFill="1" applyBorder="1"/>
    <xf numFmtId="2" fontId="9" fillId="3" borderId="9" xfId="0" applyNumberFormat="1" applyFont="1" applyFill="1" applyBorder="1" applyAlignment="1" applyProtection="1">
      <alignment horizontal="center" vertical="center"/>
      <protection locked="0" hidden="1"/>
    </xf>
    <xf numFmtId="2" fontId="9" fillId="3" borderId="10" xfId="0" applyNumberFormat="1" applyFont="1" applyFill="1" applyBorder="1" applyAlignment="1" applyProtection="1">
      <alignment horizontal="center" vertical="center"/>
      <protection locked="0" hidden="1"/>
    </xf>
    <xf numFmtId="0" fontId="3" fillId="6" borderId="1" xfId="0" applyFont="1" applyFill="1" applyBorder="1" applyAlignment="1">
      <alignment horizontal="left"/>
    </xf>
    <xf numFmtId="3" fontId="2" fillId="3" borderId="4" xfId="0" applyNumberFormat="1" applyFont="1" applyFill="1" applyBorder="1" applyAlignment="1" applyProtection="1">
      <alignment horizontal="center" vertical="center"/>
      <protection hidden="1"/>
    </xf>
    <xf numFmtId="0" fontId="4" fillId="5" borderId="3" xfId="0" applyFont="1" applyFill="1" applyBorder="1" applyAlignment="1" applyProtection="1">
      <alignment horizontal="center" wrapText="1"/>
      <protection locked="0"/>
    </xf>
    <xf numFmtId="0" fontId="8" fillId="6" borderId="1" xfId="0" applyFont="1" applyFill="1" applyBorder="1" applyAlignment="1">
      <alignment horizontal="center"/>
    </xf>
    <xf numFmtId="0" fontId="12" fillId="5" borderId="11" xfId="6" applyFill="1" applyBorder="1" applyAlignment="1" applyProtection="1">
      <protection locked="0"/>
    </xf>
    <xf numFmtId="0" fontId="1" fillId="6" borderId="2" xfId="0" applyFont="1" applyFill="1" applyBorder="1" applyAlignment="1">
      <alignment horizontal="left"/>
    </xf>
    <xf numFmtId="2" fontId="1" fillId="6" borderId="2" xfId="0" applyNumberFormat="1" applyFont="1" applyFill="1" applyBorder="1" applyAlignment="1" applyProtection="1">
      <alignment horizontal="center"/>
      <protection hidden="1"/>
    </xf>
    <xf numFmtId="0" fontId="12" fillId="5" borderId="3" xfId="6" applyFill="1" applyBorder="1" applyAlignment="1" applyProtection="1">
      <protection locked="0"/>
    </xf>
    <xf numFmtId="2" fontId="9" fillId="5" borderId="1" xfId="0" applyNumberFormat="1" applyFont="1" applyFill="1" applyBorder="1" applyAlignment="1" applyProtection="1">
      <alignment horizontal="center" vertical="center"/>
      <protection locked="0" hidden="1"/>
    </xf>
    <xf numFmtId="0" fontId="1" fillId="0" borderId="1" xfId="0" applyFont="1" applyBorder="1" applyAlignment="1">
      <alignment horizontal="left"/>
    </xf>
    <xf numFmtId="2" fontId="5" fillId="9" borderId="1" xfId="0" applyNumberFormat="1" applyFont="1" applyFill="1" applyBorder="1" applyAlignment="1" applyProtection="1">
      <alignment horizontal="center"/>
      <protection hidden="1"/>
    </xf>
    <xf numFmtId="2" fontId="11" fillId="2" borderId="4" xfId="0" applyNumberFormat="1" applyFont="1" applyFill="1" applyBorder="1" applyAlignment="1" applyProtection="1">
      <alignment horizontal="center" vertical="center" wrapText="1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hidden="1"/>
    </xf>
    <xf numFmtId="2" fontId="7" fillId="4" borderId="4" xfId="0" applyNumberFormat="1" applyFont="1" applyFill="1" applyBorder="1" applyAlignment="1" applyProtection="1">
      <alignment horizontal="center"/>
      <protection hidden="1"/>
    </xf>
    <xf numFmtId="0" fontId="13" fillId="5" borderId="11" xfId="0" applyFont="1" applyFill="1" applyBorder="1" applyAlignment="1" applyProtection="1">
      <alignment horizontal="center"/>
      <protection locked="0"/>
    </xf>
    <xf numFmtId="0" fontId="13" fillId="5" borderId="3" xfId="0" applyFont="1" applyFill="1" applyBorder="1" applyAlignment="1" applyProtection="1">
      <alignment horizontal="center"/>
      <protection locked="0"/>
    </xf>
    <xf numFmtId="2" fontId="14" fillId="0" borderId="1" xfId="0" applyNumberFormat="1" applyFont="1" applyBorder="1" applyAlignment="1" applyProtection="1">
      <alignment vertical="center"/>
      <protection locked="0" hidden="1"/>
    </xf>
    <xf numFmtId="0" fontId="13" fillId="5" borderId="3" xfId="0" applyFont="1" applyFill="1" applyBorder="1" applyAlignment="1" applyProtection="1">
      <alignment horizontal="center" wrapText="1"/>
      <protection locked="0"/>
    </xf>
    <xf numFmtId="0" fontId="1" fillId="0" borderId="0" xfId="0" applyFont="1" applyBorder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 applyProtection="1">
      <alignment horizontal="center" vertical="center"/>
      <protection locked="0" hidden="1"/>
    </xf>
    <xf numFmtId="0" fontId="15" fillId="6" borderId="4" xfId="0" applyFont="1" applyFill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6" fillId="3" borderId="1" xfId="0" applyFont="1" applyFill="1" applyBorder="1" applyAlignment="1">
      <alignment horizontal="center" vertical="center"/>
    </xf>
    <xf numFmtId="2" fontId="14" fillId="3" borderId="5" xfId="0" applyNumberFormat="1" applyFont="1" applyFill="1" applyBorder="1" applyAlignment="1" applyProtection="1">
      <alignment horizontal="center" vertical="center"/>
      <protection locked="0" hidden="1"/>
    </xf>
    <xf numFmtId="2" fontId="14" fillId="3" borderId="12" xfId="0" applyNumberFormat="1" applyFont="1" applyFill="1" applyBorder="1" applyAlignment="1" applyProtection="1">
      <alignment horizontal="center" vertical="center"/>
      <protection locked="0" hidden="1"/>
    </xf>
    <xf numFmtId="2" fontId="14" fillId="3" borderId="9" xfId="0" applyNumberFormat="1" applyFont="1" applyFill="1" applyBorder="1" applyAlignment="1" applyProtection="1">
      <alignment horizontal="center" vertical="center"/>
      <protection locked="0" hidden="1"/>
    </xf>
    <xf numFmtId="2" fontId="14" fillId="3" borderId="6" xfId="0" applyNumberFormat="1" applyFont="1" applyFill="1" applyBorder="1" applyAlignment="1" applyProtection="1">
      <alignment horizontal="center" vertical="center"/>
      <protection locked="0" hidden="1"/>
    </xf>
    <xf numFmtId="2" fontId="14" fillId="3" borderId="13" xfId="0" applyNumberFormat="1" applyFont="1" applyFill="1" applyBorder="1" applyAlignment="1" applyProtection="1">
      <alignment horizontal="center" vertical="center"/>
      <protection locked="0" hidden="1"/>
    </xf>
    <xf numFmtId="2" fontId="14" fillId="3" borderId="10" xfId="0" applyNumberFormat="1" applyFont="1" applyFill="1" applyBorder="1" applyAlignment="1" applyProtection="1">
      <alignment horizontal="center" vertical="center"/>
      <protection locked="0" hidden="1"/>
    </xf>
    <xf numFmtId="2" fontId="9" fillId="0" borderId="5" xfId="0" applyNumberFormat="1" applyFont="1" applyBorder="1" applyAlignment="1" applyProtection="1">
      <alignment horizontal="center" vertical="center"/>
      <protection hidden="1"/>
    </xf>
    <xf numFmtId="2" fontId="9" fillId="0" borderId="12" xfId="0" applyNumberFormat="1" applyFont="1" applyBorder="1" applyAlignment="1" applyProtection="1">
      <alignment horizontal="center" vertical="center"/>
      <protection hidden="1"/>
    </xf>
    <xf numFmtId="2" fontId="9" fillId="0" borderId="9" xfId="0" applyNumberFormat="1" applyFont="1" applyBorder="1" applyAlignment="1" applyProtection="1">
      <alignment horizontal="center" vertical="center"/>
      <protection hidden="1"/>
    </xf>
    <xf numFmtId="3" fontId="16" fillId="3" borderId="11" xfId="0" applyNumberFormat="1" applyFont="1" applyFill="1" applyBorder="1" applyAlignment="1" applyProtection="1">
      <alignment horizontal="center" vertical="center"/>
      <protection hidden="1"/>
    </xf>
    <xf numFmtId="3" fontId="16" fillId="4" borderId="11" xfId="0" applyNumberFormat="1" applyFont="1" applyFill="1" applyBorder="1" applyAlignment="1" applyProtection="1">
      <alignment horizontal="center" vertical="center"/>
      <protection hidden="1"/>
    </xf>
    <xf numFmtId="3" fontId="16" fillId="3" borderId="11" xfId="0" applyNumberFormat="1" applyFont="1" applyFill="1" applyBorder="1" applyAlignment="1" applyProtection="1">
      <alignment horizontal="center" vertical="center"/>
      <protection hidden="1"/>
    </xf>
    <xf numFmtId="2" fontId="9" fillId="0" borderId="6" xfId="0" applyNumberFormat="1" applyFont="1" applyBorder="1" applyAlignment="1" applyProtection="1">
      <alignment horizontal="center" vertical="center"/>
      <protection hidden="1"/>
    </xf>
    <xf numFmtId="2" fontId="9" fillId="0" borderId="13" xfId="0" applyNumberFormat="1" applyFont="1" applyBorder="1" applyAlignment="1" applyProtection="1">
      <alignment horizontal="center" vertical="center"/>
      <protection hidden="1"/>
    </xf>
    <xf numFmtId="2" fontId="9" fillId="0" borderId="10" xfId="0" applyNumberFormat="1" applyFont="1" applyBorder="1" applyAlignment="1" applyProtection="1">
      <alignment horizontal="center" vertical="center"/>
      <protection hidden="1"/>
    </xf>
    <xf numFmtId="3" fontId="16" fillId="3" borderId="4" xfId="0" applyNumberFormat="1" applyFont="1" applyFill="1" applyBorder="1" applyAlignment="1" applyProtection="1">
      <alignment horizontal="center" vertical="center"/>
      <protection hidden="1"/>
    </xf>
    <xf numFmtId="3" fontId="16" fillId="4" borderId="4" xfId="0" applyNumberFormat="1" applyFont="1" applyFill="1" applyBorder="1" applyAlignment="1" applyProtection="1">
      <alignment horizontal="center" vertical="center"/>
      <protection hidden="1"/>
    </xf>
    <xf numFmtId="3" fontId="16" fillId="3" borderId="4" xfId="0" applyNumberFormat="1" applyFont="1" applyFill="1" applyBorder="1" applyAlignment="1" applyProtection="1">
      <alignment horizontal="center" vertical="center"/>
      <protection hidden="1"/>
    </xf>
    <xf numFmtId="0" fontId="14" fillId="5" borderId="3" xfId="0" applyFont="1" applyFill="1" applyBorder="1" applyAlignment="1" applyProtection="1">
      <alignment horizontal="center"/>
      <protection locked="0"/>
    </xf>
    <xf numFmtId="0" fontId="15" fillId="6" borderId="1" xfId="0" applyFont="1" applyFill="1" applyBorder="1" applyAlignment="1">
      <alignment horizontal="left"/>
    </xf>
    <xf numFmtId="0" fontId="5" fillId="6" borderId="10" xfId="0" applyFont="1" applyFill="1" applyBorder="1" applyAlignment="1">
      <alignment horizontal="left"/>
    </xf>
    <xf numFmtId="0" fontId="16" fillId="3" borderId="11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 applyProtection="1">
      <alignment horizontal="center"/>
      <protection hidden="1"/>
    </xf>
    <xf numFmtId="0" fontId="8" fillId="5" borderId="3" xfId="0" applyFont="1" applyFill="1" applyBorder="1" applyAlignment="1" applyProtection="1">
      <alignment horizontal="center" vertical="center" wrapText="1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17" fillId="7" borderId="4" xfId="6" applyFont="1" applyFill="1" applyBorder="1" applyAlignment="1" applyProtection="1">
      <alignment horizontal="center"/>
      <protection locked="0"/>
    </xf>
    <xf numFmtId="0" fontId="14" fillId="5" borderId="11" xfId="0" applyFont="1" applyFill="1" applyBorder="1" applyAlignment="1" applyProtection="1">
      <alignment horizontal="center"/>
      <protection locked="0"/>
    </xf>
    <xf numFmtId="0" fontId="5" fillId="6" borderId="8" xfId="0" applyFont="1" applyFill="1" applyBorder="1" applyAlignment="1">
      <alignment horizontal="left"/>
    </xf>
    <xf numFmtId="0" fontId="11" fillId="5" borderId="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>
      <alignment horizontal="center" vertical="center"/>
    </xf>
    <xf numFmtId="0" fontId="12" fillId="5" borderId="3" xfId="6" applyFill="1" applyBorder="1" applyAlignment="1" applyProtection="1">
      <alignment horizontal="center"/>
      <protection locked="0"/>
    </xf>
    <xf numFmtId="0" fontId="10" fillId="5" borderId="4" xfId="0" applyFont="1" applyFill="1" applyBorder="1" applyAlignment="1" applyProtection="1">
      <alignment horizontal="center"/>
      <protection locked="0"/>
    </xf>
    <xf numFmtId="2" fontId="14" fillId="6" borderId="1" xfId="0" applyNumberFormat="1" applyFont="1" applyFill="1" applyBorder="1" applyAlignment="1" applyProtection="1">
      <alignment horizontal="center"/>
      <protection locked="0" hidden="1"/>
    </xf>
    <xf numFmtId="3" fontId="18" fillId="3" borderId="1" xfId="0" applyNumberFormat="1" applyFont="1" applyFill="1" applyBorder="1" applyAlignment="1" applyProtection="1">
      <alignment vertical="center"/>
      <protection hidden="1"/>
    </xf>
    <xf numFmtId="0" fontId="5" fillId="6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vertical="center"/>
    </xf>
    <xf numFmtId="3" fontId="18" fillId="4" borderId="1" xfId="0" applyNumberFormat="1" applyFont="1" applyFill="1" applyBorder="1" applyAlignment="1" applyProtection="1">
      <alignment vertical="center"/>
      <protection hidden="1"/>
    </xf>
    <xf numFmtId="0" fontId="19" fillId="6" borderId="1" xfId="0" applyFont="1" applyFill="1" applyBorder="1" applyAlignment="1">
      <alignment horizontal="left"/>
    </xf>
    <xf numFmtId="2" fontId="2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10" xfId="0" applyFont="1" applyFill="1" applyBorder="1" applyAlignment="1">
      <alignment horizontal="left"/>
    </xf>
    <xf numFmtId="3" fontId="2" fillId="4" borderId="1" xfId="0" applyNumberFormat="1" applyFont="1" applyFill="1" applyBorder="1" applyAlignment="1" applyProtection="1">
      <alignment horizontal="center"/>
      <protection hidden="1"/>
    </xf>
    <xf numFmtId="0" fontId="2" fillId="5" borderId="3" xfId="0" applyFont="1" applyFill="1" applyBorder="1" applyAlignment="1" applyProtection="1">
      <alignment horizontal="center"/>
      <protection locked="0"/>
    </xf>
    <xf numFmtId="3" fontId="16" fillId="3" borderId="1" xfId="0" applyNumberFormat="1" applyFont="1" applyFill="1" applyBorder="1" applyAlignment="1" applyProtection="1">
      <alignment vertical="center"/>
      <protection hidden="1"/>
    </xf>
    <xf numFmtId="3" fontId="16" fillId="4" borderId="1" xfId="0" applyNumberFormat="1" applyFont="1" applyFill="1" applyBorder="1" applyAlignment="1" applyProtection="1">
      <alignment vertical="center"/>
      <protection hidden="1"/>
    </xf>
    <xf numFmtId="0" fontId="5" fillId="6" borderId="13" xfId="0" applyFont="1" applyFill="1" applyBorder="1" applyAlignment="1">
      <alignment horizontal="left"/>
    </xf>
    <xf numFmtId="0" fontId="17" fillId="0" borderId="0" xfId="6" applyFont="1" applyFill="1" applyBorder="1" applyAlignment="1" applyProtection="1">
      <alignment horizontal="center"/>
      <protection locked="0"/>
    </xf>
    <xf numFmtId="0" fontId="5" fillId="6" borderId="0" xfId="0" applyFont="1" applyFill="1" applyBorder="1" applyAlignment="1">
      <alignment horizontal="left"/>
    </xf>
    <xf numFmtId="2" fontId="9" fillId="0" borderId="0" xfId="0" applyNumberFormat="1" applyFont="1" applyBorder="1" applyAlignment="1" applyProtection="1">
      <alignment horizontal="center" vertical="center"/>
      <protection hidden="1"/>
    </xf>
    <xf numFmtId="3" fontId="16" fillId="0" borderId="0" xfId="0" applyNumberFormat="1" applyFont="1" applyFill="1" applyBorder="1" applyAlignment="1" applyProtection="1">
      <alignment horizontal="center" vertical="center"/>
      <protection hidden="1"/>
    </xf>
    <xf numFmtId="0" fontId="14" fillId="8" borderId="2" xfId="0" applyFont="1" applyFill="1" applyBorder="1" applyAlignment="1">
      <alignment horizontal="center"/>
    </xf>
    <xf numFmtId="0" fontId="14" fillId="8" borderId="7" xfId="0" applyFont="1" applyFill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3" fontId="6" fillId="8" borderId="1" xfId="0" applyNumberFormat="1" applyFont="1" applyFill="1" applyBorder="1" applyAlignment="1" applyProtection="1">
      <alignment horizontal="center"/>
      <protection hidden="1"/>
    </xf>
    <xf numFmtId="0" fontId="5" fillId="6" borderId="13" xfId="0" applyFont="1" applyFill="1" applyBorder="1" applyAlignment="1">
      <alignment horizontal="center"/>
    </xf>
  </cellXfs>
  <cellStyles count="63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Moeda 2" xfId="49"/>
    <cellStyle name="Moeda 2 2" xfId="50"/>
    <cellStyle name="Moeda 2 2 2" xfId="51"/>
    <cellStyle name="Moeda 2 3" xfId="52"/>
    <cellStyle name="Moeda 2 4" xfId="53"/>
    <cellStyle name="Moeda 2 5" xfId="54"/>
    <cellStyle name="Normal 2" xfId="55"/>
    <cellStyle name="Porcentagem 2" xfId="56"/>
    <cellStyle name="Vírgula 2" xfId="57"/>
    <cellStyle name="Vírgula 2 2" xfId="58"/>
    <cellStyle name="Vírgula 2 2 2" xfId="59"/>
    <cellStyle name="Vírgula 2 3" xfId="60"/>
    <cellStyle name="Vírgula 2 4" xfId="61"/>
    <cellStyle name="Vírgula 2 5" xfId="6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14.jpeg"/><Relationship Id="rId6" Type="http://schemas.openxmlformats.org/officeDocument/2006/relationships/image" Target="../media/image13.jpeg"/><Relationship Id="rId5" Type="http://schemas.openxmlformats.org/officeDocument/2006/relationships/image" Target="../media/image12.jpeg"/><Relationship Id="rId4" Type="http://schemas.openxmlformats.org/officeDocument/2006/relationships/image" Target="../media/image11.jpeg"/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7.jpeg"/><Relationship Id="rId3" Type="http://schemas.openxmlformats.org/officeDocument/2006/relationships/image" Target="../media/image16.jpeg"/><Relationship Id="rId2" Type="http://schemas.openxmlformats.org/officeDocument/2006/relationships/image" Target="../media/image15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575661</xdr:colOff>
      <xdr:row>39</xdr:row>
      <xdr:rowOff>180109</xdr:rowOff>
    </xdr:from>
    <xdr:ext cx="188259" cy="187959"/>
    <xdr:pic>
      <xdr:nvPicPr>
        <xdr:cNvPr id="14" name="Imagem 13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310" y="7976870"/>
          <a:ext cx="188595" cy="187960"/>
        </a:xfrm>
        <a:prstGeom prst="rect">
          <a:avLst/>
        </a:prstGeom>
      </xdr:spPr>
    </xdr:pic>
    <xdr:clientData/>
  </xdr:oneCellAnchor>
  <xdr:oneCellAnchor>
    <xdr:from>
      <xdr:col>0</xdr:col>
      <xdr:colOff>575661</xdr:colOff>
      <xdr:row>51</xdr:row>
      <xdr:rowOff>180109</xdr:rowOff>
    </xdr:from>
    <xdr:ext cx="188259" cy="187959"/>
    <xdr:pic>
      <xdr:nvPicPr>
        <xdr:cNvPr id="17" name="Imagem 16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310" y="10459085"/>
          <a:ext cx="188595" cy="187960"/>
        </a:xfrm>
        <a:prstGeom prst="rect">
          <a:avLst/>
        </a:prstGeom>
      </xdr:spPr>
    </xdr:pic>
    <xdr:clientData/>
  </xdr:oneCellAnchor>
  <xdr:oneCellAnchor>
    <xdr:from>
      <xdr:col>0</xdr:col>
      <xdr:colOff>639701</xdr:colOff>
      <xdr:row>25</xdr:row>
      <xdr:rowOff>180164</xdr:rowOff>
    </xdr:from>
    <xdr:ext cx="188259" cy="184910"/>
    <xdr:pic>
      <xdr:nvPicPr>
        <xdr:cNvPr id="19" name="Imagem 18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445" y="5229860"/>
          <a:ext cx="187960" cy="184785"/>
        </a:xfrm>
        <a:prstGeom prst="rect">
          <a:avLst/>
        </a:prstGeom>
      </xdr:spPr>
    </xdr:pic>
    <xdr:clientData/>
  </xdr:oneCellAnchor>
  <xdr:oneCellAnchor>
    <xdr:from>
      <xdr:col>0</xdr:col>
      <xdr:colOff>575661</xdr:colOff>
      <xdr:row>77</xdr:row>
      <xdr:rowOff>180109</xdr:rowOff>
    </xdr:from>
    <xdr:ext cx="188259" cy="187959"/>
    <xdr:pic>
      <xdr:nvPicPr>
        <xdr:cNvPr id="22" name="Imagem 21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310" y="15665450"/>
          <a:ext cx="188595" cy="187960"/>
        </a:xfrm>
        <a:prstGeom prst="rect">
          <a:avLst/>
        </a:prstGeom>
      </xdr:spPr>
    </xdr:pic>
    <xdr:clientData/>
  </xdr:oneCellAnchor>
  <xdr:oneCellAnchor>
    <xdr:from>
      <xdr:col>0</xdr:col>
      <xdr:colOff>575661</xdr:colOff>
      <xdr:row>96</xdr:row>
      <xdr:rowOff>180109</xdr:rowOff>
    </xdr:from>
    <xdr:ext cx="188259" cy="189864"/>
    <xdr:pic>
      <xdr:nvPicPr>
        <xdr:cNvPr id="23" name="Imagem 22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310" y="19302095"/>
          <a:ext cx="188595" cy="189865"/>
        </a:xfrm>
        <a:prstGeom prst="rect">
          <a:avLst/>
        </a:prstGeom>
      </xdr:spPr>
    </xdr:pic>
    <xdr:clientData/>
  </xdr:oneCellAnchor>
  <xdr:twoCellAnchor editAs="oneCell">
    <xdr:from>
      <xdr:col>0</xdr:col>
      <xdr:colOff>251460</xdr:colOff>
      <xdr:row>87</xdr:row>
      <xdr:rowOff>91440</xdr:rowOff>
    </xdr:from>
    <xdr:to>
      <xdr:col>0</xdr:col>
      <xdr:colOff>2579199</xdr:colOff>
      <xdr:row>94</xdr:row>
      <xdr:rowOff>109260</xdr:rowOff>
    </xdr:to>
    <xdr:pic>
      <xdr:nvPicPr>
        <xdr:cNvPr id="10" name="Imagem 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7423130"/>
          <a:ext cx="2327275" cy="1417955"/>
        </a:xfrm>
        <a:prstGeom prst="rect">
          <a:avLst/>
        </a:prstGeom>
      </xdr:spPr>
    </xdr:pic>
    <xdr:clientData/>
  </xdr:twoCellAnchor>
  <xdr:oneCellAnchor>
    <xdr:from>
      <xdr:col>0</xdr:col>
      <xdr:colOff>575661</xdr:colOff>
      <xdr:row>63</xdr:row>
      <xdr:rowOff>180109</xdr:rowOff>
    </xdr:from>
    <xdr:ext cx="188259" cy="187959"/>
    <xdr:pic>
      <xdr:nvPicPr>
        <xdr:cNvPr id="28" name="Imagem 27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310" y="12872720"/>
          <a:ext cx="188595" cy="187960"/>
        </a:xfrm>
        <a:prstGeom prst="rect">
          <a:avLst/>
        </a:prstGeom>
      </xdr:spPr>
    </xdr:pic>
    <xdr:clientData/>
  </xdr:oneCellAnchor>
  <xdr:twoCellAnchor editAs="oneCell">
    <xdr:from>
      <xdr:col>0</xdr:col>
      <xdr:colOff>373380</xdr:colOff>
      <xdr:row>2</xdr:row>
      <xdr:rowOff>38100</xdr:rowOff>
    </xdr:from>
    <xdr:to>
      <xdr:col>0</xdr:col>
      <xdr:colOff>2610050</xdr:colOff>
      <xdr:row>9</xdr:row>
      <xdr:rowOff>100980</xdr:rowOff>
    </xdr:to>
    <xdr:pic>
      <xdr:nvPicPr>
        <xdr:cNvPr id="30" name="Imagem 29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438150"/>
          <a:ext cx="2236470" cy="152019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16</xdr:row>
      <xdr:rowOff>106680</xdr:rowOff>
    </xdr:from>
    <xdr:to>
      <xdr:col>0</xdr:col>
      <xdr:colOff>2670640</xdr:colOff>
      <xdr:row>24</xdr:row>
      <xdr:rowOff>33060</xdr:rowOff>
    </xdr:to>
    <xdr:pic>
      <xdr:nvPicPr>
        <xdr:cNvPr id="12" name="Imagem 11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364230"/>
          <a:ext cx="2327275" cy="1520825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297180</xdr:colOff>
      <xdr:row>29</xdr:row>
      <xdr:rowOff>15240</xdr:rowOff>
    </xdr:from>
    <xdr:to>
      <xdr:col>0</xdr:col>
      <xdr:colOff>2596182</xdr:colOff>
      <xdr:row>36</xdr:row>
      <xdr:rowOff>129360</xdr:rowOff>
    </xdr:to>
    <xdr:pic>
      <xdr:nvPicPr>
        <xdr:cNvPr id="15" name="Imagem 14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" y="5814060"/>
          <a:ext cx="2298700" cy="1513840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274320</xdr:colOff>
      <xdr:row>42</xdr:row>
      <xdr:rowOff>106680</xdr:rowOff>
    </xdr:from>
    <xdr:to>
      <xdr:col>0</xdr:col>
      <xdr:colOff>2602060</xdr:colOff>
      <xdr:row>50</xdr:row>
      <xdr:rowOff>10200</xdr:rowOff>
    </xdr:to>
    <xdr:pic>
      <xdr:nvPicPr>
        <xdr:cNvPr id="18" name="Imagem 17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8568690"/>
          <a:ext cx="2327275" cy="1522730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54</xdr:row>
      <xdr:rowOff>114300</xdr:rowOff>
    </xdr:from>
    <xdr:to>
      <xdr:col>0</xdr:col>
      <xdr:colOff>2580942</xdr:colOff>
      <xdr:row>61</xdr:row>
      <xdr:rowOff>197940</xdr:rowOff>
    </xdr:to>
    <xdr:pic>
      <xdr:nvPicPr>
        <xdr:cNvPr id="20" name="Imagem 19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10989945"/>
          <a:ext cx="2298700" cy="1504315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67</xdr:row>
      <xdr:rowOff>60960</xdr:rowOff>
    </xdr:from>
    <xdr:to>
      <xdr:col>0</xdr:col>
      <xdr:colOff>2664762</xdr:colOff>
      <xdr:row>74</xdr:row>
      <xdr:rowOff>167460</xdr:rowOff>
    </xdr:to>
    <xdr:pic>
      <xdr:nvPicPr>
        <xdr:cNvPr id="21" name="Imagem 20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13550265"/>
          <a:ext cx="2298700" cy="1506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235841</xdr:colOff>
      <xdr:row>7</xdr:row>
      <xdr:rowOff>180164</xdr:rowOff>
    </xdr:from>
    <xdr:to>
      <xdr:col>0</xdr:col>
      <xdr:colOff>424100</xdr:colOff>
      <xdr:row>8</xdr:row>
      <xdr:rowOff>182194</xdr:rowOff>
    </xdr:to>
    <xdr:pic>
      <xdr:nvPicPr>
        <xdr:cNvPr id="16" name="Imagem 15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585" y="1579880"/>
          <a:ext cx="187960" cy="201930"/>
        </a:xfrm>
        <a:prstGeom prst="rect">
          <a:avLst/>
        </a:prstGeom>
      </xdr:spPr>
    </xdr:pic>
    <xdr:clientData/>
  </xdr:twoCellAnchor>
  <xdr:twoCellAnchor editAs="oneCell">
    <xdr:from>
      <xdr:col>0</xdr:col>
      <xdr:colOff>335280</xdr:colOff>
      <xdr:row>1</xdr:row>
      <xdr:rowOff>99060</xdr:rowOff>
    </xdr:from>
    <xdr:to>
      <xdr:col>0</xdr:col>
      <xdr:colOff>1418880</xdr:colOff>
      <xdr:row>6</xdr:row>
      <xdr:rowOff>153960</xdr:rowOff>
    </xdr:to>
    <xdr:pic>
      <xdr:nvPicPr>
        <xdr:cNvPr id="4" name="Imagem 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299085"/>
          <a:ext cx="1083310" cy="105473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11</xdr:row>
      <xdr:rowOff>45720</xdr:rowOff>
    </xdr:from>
    <xdr:to>
      <xdr:col>0</xdr:col>
      <xdr:colOff>1384800</xdr:colOff>
      <xdr:row>16</xdr:row>
      <xdr:rowOff>173220</xdr:rowOff>
    </xdr:to>
    <xdr:pic>
      <xdr:nvPicPr>
        <xdr:cNvPr id="8" name="Imagem 7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2245995"/>
          <a:ext cx="1079500" cy="112712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20</xdr:row>
      <xdr:rowOff>167640</xdr:rowOff>
    </xdr:from>
    <xdr:to>
      <xdr:col>0</xdr:col>
      <xdr:colOff>1422900</xdr:colOff>
      <xdr:row>26</xdr:row>
      <xdr:rowOff>119880</xdr:rowOff>
    </xdr:to>
    <xdr:pic>
      <xdr:nvPicPr>
        <xdr:cNvPr id="9" name="Imagem 8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189095"/>
          <a:ext cx="1079500" cy="1151890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50</xdr:row>
      <xdr:rowOff>175260</xdr:rowOff>
    </xdr:from>
    <xdr:to>
      <xdr:col>0</xdr:col>
      <xdr:colOff>1499100</xdr:colOff>
      <xdr:row>56</xdr:row>
      <xdr:rowOff>104640</xdr:rowOff>
    </xdr:to>
    <xdr:pic>
      <xdr:nvPicPr>
        <xdr:cNvPr id="10" name="Imagem 9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0157460"/>
          <a:ext cx="1079500" cy="1129030"/>
        </a:xfrm>
        <a:prstGeom prst="rect">
          <a:avLst/>
        </a:prstGeom>
      </xdr:spPr>
    </xdr:pic>
    <xdr:clientData/>
  </xdr:twoCellAnchor>
  <xdr:twoCellAnchor editAs="oneCell">
    <xdr:from>
      <xdr:col>0</xdr:col>
      <xdr:colOff>335280</xdr:colOff>
      <xdr:row>40</xdr:row>
      <xdr:rowOff>99060</xdr:rowOff>
    </xdr:from>
    <xdr:to>
      <xdr:col>0</xdr:col>
      <xdr:colOff>1300980</xdr:colOff>
      <xdr:row>46</xdr:row>
      <xdr:rowOff>76065</xdr:rowOff>
    </xdr:to>
    <xdr:pic>
      <xdr:nvPicPr>
        <xdr:cNvPr id="11" name="Imagem 10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8086725"/>
          <a:ext cx="965200" cy="1142365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18</xdr:row>
      <xdr:rowOff>0</xdr:rowOff>
    </xdr:from>
    <xdr:to>
      <xdr:col>0</xdr:col>
      <xdr:colOff>416859</xdr:colOff>
      <xdr:row>19</xdr:row>
      <xdr:rowOff>2030</xdr:rowOff>
    </xdr:to>
    <xdr:pic>
      <xdr:nvPicPr>
        <xdr:cNvPr id="13" name="Imagem 12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621405"/>
          <a:ext cx="187960" cy="201930"/>
        </a:xfrm>
        <a:prstGeom prst="rect">
          <a:avLst/>
        </a:prstGeom>
      </xdr:spPr>
    </xdr:pic>
    <xdr:clientData/>
  </xdr:twoCellAnchor>
  <xdr:twoCellAnchor editAs="oneCell">
    <xdr:from>
      <xdr:col>0</xdr:col>
      <xdr:colOff>289560</xdr:colOff>
      <xdr:row>31</xdr:row>
      <xdr:rowOff>30480</xdr:rowOff>
    </xdr:from>
    <xdr:to>
      <xdr:col>0</xdr:col>
      <xdr:colOff>1379089</xdr:colOff>
      <xdr:row>36</xdr:row>
      <xdr:rowOff>127500</xdr:rowOff>
    </xdr:to>
    <xdr:pic>
      <xdr:nvPicPr>
        <xdr:cNvPr id="14" name="Imagem 13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6217920"/>
          <a:ext cx="1089025" cy="1096645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58</xdr:row>
      <xdr:rowOff>0</xdr:rowOff>
    </xdr:from>
    <xdr:to>
      <xdr:col>0</xdr:col>
      <xdr:colOff>416859</xdr:colOff>
      <xdr:row>59</xdr:row>
      <xdr:rowOff>2030</xdr:rowOff>
    </xdr:to>
    <xdr:pic>
      <xdr:nvPicPr>
        <xdr:cNvPr id="15" name="Imagem 14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582400"/>
          <a:ext cx="187960" cy="2019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235841</xdr:colOff>
      <xdr:row>25</xdr:row>
      <xdr:rowOff>180164</xdr:rowOff>
    </xdr:from>
    <xdr:to>
      <xdr:col>0</xdr:col>
      <xdr:colOff>424100</xdr:colOff>
      <xdr:row>26</xdr:row>
      <xdr:rowOff>182194</xdr:rowOff>
    </xdr:to>
    <xdr:pic>
      <xdr:nvPicPr>
        <xdr:cNvPr id="6" name="Imagem 5"/>
        <xdr:cNvPicPr>
          <a:picLocks noChangeAspect="1"/>
        </xdr:cNvPicPr>
      </xdr:nvPicPr>
      <xdr:blipFill>
        <a:blip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585" y="5086985"/>
          <a:ext cx="187960" cy="201930"/>
        </a:xfrm>
        <a:prstGeom prst="rect">
          <a:avLst/>
        </a:prstGeom>
      </xdr:spPr>
    </xdr:pic>
    <xdr:clientData/>
  </xdr:twoCellAnchor>
  <xdr:twoCellAnchor editAs="oneCell">
    <xdr:from>
      <xdr:col>0</xdr:col>
      <xdr:colOff>480060</xdr:colOff>
      <xdr:row>19</xdr:row>
      <xdr:rowOff>53340</xdr:rowOff>
    </xdr:from>
    <xdr:to>
      <xdr:col>0</xdr:col>
      <xdr:colOff>1524060</xdr:colOff>
      <xdr:row>24</xdr:row>
      <xdr:rowOff>152460</xdr:rowOff>
    </xdr:to>
    <xdr:pic>
      <xdr:nvPicPr>
        <xdr:cNvPr id="7" name="Imagem 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3760470"/>
          <a:ext cx="1043940" cy="109918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1</xdr:row>
      <xdr:rowOff>76200</xdr:rowOff>
    </xdr:from>
    <xdr:to>
      <xdr:col>0</xdr:col>
      <xdr:colOff>1613400</xdr:colOff>
      <xdr:row>7</xdr:row>
      <xdr:rowOff>5580</xdr:rowOff>
    </xdr:to>
    <xdr:pic>
      <xdr:nvPicPr>
        <xdr:cNvPr id="5" name="Imagem 4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51460"/>
          <a:ext cx="1079500" cy="1094740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10</xdr:row>
      <xdr:rowOff>44196</xdr:rowOff>
    </xdr:from>
    <xdr:to>
      <xdr:col>0</xdr:col>
      <xdr:colOff>1760220</xdr:colOff>
      <xdr:row>15</xdr:row>
      <xdr:rowOff>114120</xdr:rowOff>
    </xdr:to>
    <xdr:pic>
      <xdr:nvPicPr>
        <xdr:cNvPr id="8" name="Imagem 7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1985010"/>
          <a:ext cx="1386840" cy="1052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tagram.com/joaodemele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luciano_santelli/" TargetMode="External"/><Relationship Id="rId2" Type="http://schemas.openxmlformats.org/officeDocument/2006/relationships/hyperlink" Target="https://www.instagram.com/joaodemele/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tagram.com/joaodemele/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workbookViewId="0">
      <selection activeCell="K94" sqref="K94"/>
    </sheetView>
  </sheetViews>
  <sheetFormatPr defaultColWidth="9" defaultRowHeight="15.75"/>
  <cols>
    <col min="1" max="1" width="43.2190476190476" style="1" customWidth="1"/>
    <col min="2" max="2" width="48.2190476190476" style="1" customWidth="1"/>
    <col min="3" max="4" width="10" style="1" customWidth="1"/>
    <col min="5" max="5" width="9.43809523809524" style="1" customWidth="1"/>
    <col min="6" max="6" width="11.1047619047619" style="1" hidden="1" customWidth="1"/>
    <col min="7" max="7" width="16.552380952381" style="63" hidden="1" customWidth="1"/>
    <col min="8" max="9" width="11.1047619047619" style="1" customWidth="1"/>
    <col min="10" max="11" width="16.552380952381" style="63" customWidth="1"/>
    <col min="12" max="16384" width="8.88571428571429" style="1"/>
  </cols>
  <sheetData>
    <row r="1" spans="1:11">
      <c r="A1" s="2" t="s">
        <v>0</v>
      </c>
      <c r="B1" s="64" t="s">
        <v>1</v>
      </c>
      <c r="C1" s="65" t="s">
        <v>2</v>
      </c>
      <c r="D1" s="65" t="s">
        <v>3</v>
      </c>
      <c r="E1" s="5" t="s">
        <v>4</v>
      </c>
      <c r="F1" s="6" t="s">
        <v>5</v>
      </c>
      <c r="G1" s="7" t="s">
        <v>6</v>
      </c>
      <c r="H1" s="6" t="s">
        <v>5</v>
      </c>
      <c r="I1" s="6" t="s">
        <v>7</v>
      </c>
      <c r="J1" s="7" t="s">
        <v>6</v>
      </c>
      <c r="K1" s="7" t="s">
        <v>7</v>
      </c>
    </row>
    <row r="2" spans="1:11">
      <c r="A2" s="58"/>
      <c r="B2" s="66" t="s">
        <v>8</v>
      </c>
      <c r="C2" s="67">
        <v>2.4</v>
      </c>
      <c r="D2" s="68">
        <v>1.08</v>
      </c>
      <c r="E2" s="68">
        <v>0.86</v>
      </c>
      <c r="F2" s="26">
        <v>4927</v>
      </c>
      <c r="G2" s="36">
        <v>4139</v>
      </c>
      <c r="H2" s="26">
        <f>F2*0.85</f>
        <v>4187.95</v>
      </c>
      <c r="I2" s="26">
        <f>SUM(H2/5)</f>
        <v>837.59</v>
      </c>
      <c r="J2" s="36">
        <f>G2*0.85</f>
        <v>3518.15</v>
      </c>
      <c r="K2" s="36">
        <f>SUM(J2/5)</f>
        <v>703.63</v>
      </c>
    </row>
    <row r="3" spans="1:11">
      <c r="A3" s="59"/>
      <c r="B3" s="66" t="s">
        <v>9</v>
      </c>
      <c r="C3" s="67">
        <v>1.65</v>
      </c>
      <c r="D3" s="68">
        <v>1.08</v>
      </c>
      <c r="E3" s="68">
        <v>0.86</v>
      </c>
      <c r="F3" s="26">
        <v>3094</v>
      </c>
      <c r="G3" s="36">
        <v>2646</v>
      </c>
      <c r="H3" s="26">
        <f t="shared" ref="H3:H9" si="0">F3*0.85</f>
        <v>2629.9</v>
      </c>
      <c r="I3" s="26">
        <f t="shared" ref="I3:I9" si="1">SUM(H3/5)</f>
        <v>525.98</v>
      </c>
      <c r="J3" s="36">
        <f t="shared" ref="J3:J9" si="2">G3*0.85</f>
        <v>2249.1</v>
      </c>
      <c r="K3" s="36">
        <f t="shared" ref="K3:K9" si="3">SUM(J3/5)</f>
        <v>449.82</v>
      </c>
    </row>
    <row r="4" spans="1:11">
      <c r="A4" s="59"/>
      <c r="B4" s="66" t="s">
        <v>10</v>
      </c>
      <c r="C4" s="67">
        <v>1.1</v>
      </c>
      <c r="D4" s="67">
        <v>0.8</v>
      </c>
      <c r="E4" s="68">
        <v>0.45</v>
      </c>
      <c r="F4" s="26">
        <v>1687</v>
      </c>
      <c r="G4" s="36">
        <v>1485</v>
      </c>
      <c r="H4" s="26">
        <f t="shared" si="0"/>
        <v>1433.95</v>
      </c>
      <c r="I4" s="26">
        <f t="shared" si="1"/>
        <v>286.79</v>
      </c>
      <c r="J4" s="36">
        <f t="shared" si="2"/>
        <v>1262.25</v>
      </c>
      <c r="K4" s="36">
        <f t="shared" si="3"/>
        <v>252.45</v>
      </c>
    </row>
    <row r="5" spans="1:11">
      <c r="A5" s="59"/>
      <c r="B5" s="66" t="s">
        <v>11</v>
      </c>
      <c r="C5" s="67">
        <v>1.3</v>
      </c>
      <c r="D5" s="67">
        <v>0.8</v>
      </c>
      <c r="E5" s="68">
        <v>0.45</v>
      </c>
      <c r="F5" s="26">
        <v>1797</v>
      </c>
      <c r="G5" s="36">
        <v>1573</v>
      </c>
      <c r="H5" s="26">
        <f t="shared" si="0"/>
        <v>1527.45</v>
      </c>
      <c r="I5" s="26">
        <f t="shared" si="1"/>
        <v>305.49</v>
      </c>
      <c r="J5" s="36">
        <f t="shared" si="2"/>
        <v>1337.05</v>
      </c>
      <c r="K5" s="36">
        <f t="shared" si="3"/>
        <v>267.41</v>
      </c>
    </row>
    <row r="6" spans="1:11">
      <c r="A6" s="59"/>
      <c r="B6" s="66" t="s">
        <v>12</v>
      </c>
      <c r="C6" s="67">
        <v>1.65</v>
      </c>
      <c r="D6" s="67">
        <v>0.8</v>
      </c>
      <c r="E6" s="68">
        <v>0.45</v>
      </c>
      <c r="F6" s="26">
        <v>1979</v>
      </c>
      <c r="G6" s="36">
        <v>1818</v>
      </c>
      <c r="H6" s="26">
        <f t="shared" si="0"/>
        <v>1682.15</v>
      </c>
      <c r="I6" s="26">
        <f t="shared" si="1"/>
        <v>336.43</v>
      </c>
      <c r="J6" s="36">
        <f t="shared" si="2"/>
        <v>1545.3</v>
      </c>
      <c r="K6" s="36">
        <f t="shared" si="3"/>
        <v>309.06</v>
      </c>
    </row>
    <row r="7" ht="18" customHeight="1" spans="1:11">
      <c r="A7" s="59"/>
      <c r="B7" s="66" t="s">
        <v>13</v>
      </c>
      <c r="C7" s="67">
        <v>1</v>
      </c>
      <c r="D7" s="67">
        <v>0.2</v>
      </c>
      <c r="E7" s="68">
        <v>0.45</v>
      </c>
      <c r="F7" s="26">
        <v>321</v>
      </c>
      <c r="G7" s="36">
        <v>216</v>
      </c>
      <c r="H7" s="26">
        <f t="shared" si="0"/>
        <v>272.85</v>
      </c>
      <c r="I7" s="26">
        <f t="shared" si="1"/>
        <v>54.57</v>
      </c>
      <c r="J7" s="36">
        <f t="shared" si="2"/>
        <v>183.6</v>
      </c>
      <c r="K7" s="36">
        <f t="shared" si="3"/>
        <v>36.72</v>
      </c>
    </row>
    <row r="8" ht="18" customHeight="1" spans="1:11">
      <c r="A8" s="59"/>
      <c r="B8" s="66" t="s">
        <v>13</v>
      </c>
      <c r="C8" s="67">
        <v>1</v>
      </c>
      <c r="D8" s="67">
        <v>0.2</v>
      </c>
      <c r="E8" s="68">
        <v>0.45</v>
      </c>
      <c r="F8" s="26">
        <v>321</v>
      </c>
      <c r="G8" s="36">
        <v>216</v>
      </c>
      <c r="H8" s="26">
        <f t="shared" si="0"/>
        <v>272.85</v>
      </c>
      <c r="I8" s="26">
        <f t="shared" si="1"/>
        <v>54.57</v>
      </c>
      <c r="J8" s="36">
        <f t="shared" si="2"/>
        <v>183.6</v>
      </c>
      <c r="K8" s="36">
        <f t="shared" si="3"/>
        <v>36.72</v>
      </c>
    </row>
    <row r="9" spans="1:11">
      <c r="A9" s="59"/>
      <c r="B9" s="66" t="s">
        <v>13</v>
      </c>
      <c r="C9" s="67">
        <v>1</v>
      </c>
      <c r="D9" s="67">
        <v>0.2</v>
      </c>
      <c r="E9" s="68">
        <v>0.45</v>
      </c>
      <c r="F9" s="26">
        <v>321</v>
      </c>
      <c r="G9" s="34">
        <v>216</v>
      </c>
      <c r="H9" s="26">
        <f t="shared" si="0"/>
        <v>272.85</v>
      </c>
      <c r="I9" s="26">
        <f t="shared" si="1"/>
        <v>54.57</v>
      </c>
      <c r="J9" s="36">
        <f t="shared" si="2"/>
        <v>183.6</v>
      </c>
      <c r="K9" s="36">
        <f t="shared" si="3"/>
        <v>36.72</v>
      </c>
    </row>
    <row r="10" spans="1:11">
      <c r="A10" s="59"/>
      <c r="B10" s="69"/>
      <c r="C10" s="69"/>
      <c r="D10" s="69"/>
      <c r="E10" s="69"/>
      <c r="F10" s="26"/>
      <c r="G10" s="34"/>
      <c r="H10" s="26"/>
      <c r="I10" s="26"/>
      <c r="J10" s="34"/>
      <c r="K10" s="34"/>
    </row>
    <row r="11" spans="1:11">
      <c r="A11" s="59"/>
      <c r="B11" s="70" t="s">
        <v>14</v>
      </c>
      <c r="C11" s="71" t="s">
        <v>15</v>
      </c>
      <c r="D11" s="72"/>
      <c r="E11" s="73"/>
      <c r="F11" s="26"/>
      <c r="G11" s="34"/>
      <c r="H11" s="26"/>
      <c r="I11" s="26"/>
      <c r="J11" s="34"/>
      <c r="K11" s="34"/>
    </row>
    <row r="12" spans="1:11">
      <c r="A12" s="59"/>
      <c r="B12" s="70"/>
      <c r="C12" s="74"/>
      <c r="D12" s="75"/>
      <c r="E12" s="76"/>
      <c r="F12" s="26"/>
      <c r="G12" s="34"/>
      <c r="H12" s="26"/>
      <c r="I12" s="26"/>
      <c r="J12" s="34"/>
      <c r="K12" s="34"/>
    </row>
    <row r="13" spans="1:11">
      <c r="A13" s="59"/>
      <c r="B13" s="70" t="s">
        <v>16</v>
      </c>
      <c r="C13" s="77" t="s">
        <v>17</v>
      </c>
      <c r="D13" s="78"/>
      <c r="E13" s="79"/>
      <c r="F13" s="80">
        <f t="shared" ref="F13:K13" si="4">SUM(F2:F12)</f>
        <v>14447</v>
      </c>
      <c r="G13" s="81">
        <f t="shared" si="4"/>
        <v>12309</v>
      </c>
      <c r="H13" s="80">
        <f t="shared" si="4"/>
        <v>12279.95</v>
      </c>
      <c r="I13" s="82">
        <f>SUM(I2:I9)</f>
        <v>2455.99</v>
      </c>
      <c r="J13" s="81">
        <f t="shared" si="4"/>
        <v>10462.65</v>
      </c>
      <c r="K13" s="81">
        <f t="shared" si="4"/>
        <v>2092.53</v>
      </c>
    </row>
    <row r="14" spans="1:11">
      <c r="A14" s="21" t="s">
        <v>18</v>
      </c>
      <c r="B14" s="70"/>
      <c r="C14" s="83"/>
      <c r="D14" s="84"/>
      <c r="E14" s="85"/>
      <c r="F14" s="86"/>
      <c r="G14" s="87"/>
      <c r="H14" s="86"/>
      <c r="I14" s="88"/>
      <c r="J14" s="87"/>
      <c r="K14" s="87"/>
    </row>
    <row r="15" spans="1:11">
      <c r="A15" s="21" t="s">
        <v>19</v>
      </c>
      <c r="B15" s="69"/>
      <c r="C15" s="69"/>
      <c r="D15" s="69"/>
      <c r="E15" s="69"/>
      <c r="F15" s="26"/>
      <c r="G15" s="36"/>
      <c r="H15" s="26"/>
      <c r="I15" s="26"/>
      <c r="J15" s="36"/>
      <c r="K15" s="36"/>
    </row>
    <row r="16" spans="1:11">
      <c r="A16" s="2" t="s">
        <v>20</v>
      </c>
      <c r="B16" s="64" t="s">
        <v>1</v>
      </c>
      <c r="C16" s="65" t="s">
        <v>2</v>
      </c>
      <c r="D16" s="65" t="s">
        <v>3</v>
      </c>
      <c r="E16" s="5" t="s">
        <v>4</v>
      </c>
      <c r="F16" s="6" t="s">
        <v>21</v>
      </c>
      <c r="G16" s="7" t="s">
        <v>6</v>
      </c>
      <c r="H16" s="6" t="s">
        <v>21</v>
      </c>
      <c r="I16" s="6" t="s">
        <v>7</v>
      </c>
      <c r="J16" s="7" t="s">
        <v>6</v>
      </c>
      <c r="K16" s="7" t="s">
        <v>7</v>
      </c>
    </row>
    <row r="17" spans="1:11">
      <c r="A17" s="89"/>
      <c r="B17" s="66" t="s">
        <v>22</v>
      </c>
      <c r="C17" s="10">
        <v>1.15</v>
      </c>
      <c r="D17" s="10">
        <v>0.94</v>
      </c>
      <c r="E17" s="11">
        <v>0.78</v>
      </c>
      <c r="F17" s="26">
        <v>3997</v>
      </c>
      <c r="G17" s="36">
        <v>3935</v>
      </c>
      <c r="H17" s="26">
        <f t="shared" ref="H17:H20" si="5">F17*0.85</f>
        <v>3397.45</v>
      </c>
      <c r="I17" s="26">
        <f>SUM(H17/5)</f>
        <v>679.49</v>
      </c>
      <c r="J17" s="36">
        <f t="shared" ref="J17:J20" si="6">G17*0.85</f>
        <v>3344.75</v>
      </c>
      <c r="K17" s="36">
        <f>SUM(J17/5)</f>
        <v>668.95</v>
      </c>
    </row>
    <row r="18" spans="1:11">
      <c r="A18" s="89"/>
      <c r="B18" s="66" t="s">
        <v>23</v>
      </c>
      <c r="C18" s="10">
        <v>2.65</v>
      </c>
      <c r="D18" s="10">
        <v>0.94</v>
      </c>
      <c r="E18" s="11">
        <v>0.78</v>
      </c>
      <c r="F18" s="26">
        <v>6416</v>
      </c>
      <c r="G18" s="34">
        <v>6299</v>
      </c>
      <c r="H18" s="26">
        <f t="shared" si="5"/>
        <v>5453.6</v>
      </c>
      <c r="I18" s="26">
        <f>SUM(H18/5)</f>
        <v>1090.72</v>
      </c>
      <c r="J18" s="36">
        <f t="shared" si="6"/>
        <v>5354.15</v>
      </c>
      <c r="K18" s="36">
        <f>SUM(J18/5)</f>
        <v>1070.83</v>
      </c>
    </row>
    <row r="19" spans="1:11">
      <c r="A19" s="89"/>
      <c r="B19" s="90" t="s">
        <v>24</v>
      </c>
      <c r="C19" s="10">
        <v>1.15</v>
      </c>
      <c r="D19" s="10">
        <v>1.75</v>
      </c>
      <c r="E19" s="11">
        <v>0.78</v>
      </c>
      <c r="F19" s="26">
        <v>4712</v>
      </c>
      <c r="G19" s="34">
        <v>4609</v>
      </c>
      <c r="H19" s="26">
        <f t="shared" si="5"/>
        <v>4005.2</v>
      </c>
      <c r="I19" s="26">
        <f>SUM(H19/5)</f>
        <v>801.04</v>
      </c>
      <c r="J19" s="36">
        <f t="shared" si="6"/>
        <v>3917.65</v>
      </c>
      <c r="K19" s="36">
        <f>SUM(J19/5)</f>
        <v>783.53</v>
      </c>
    </row>
    <row r="20" spans="1:11">
      <c r="A20" s="89"/>
      <c r="B20" s="90" t="s">
        <v>25</v>
      </c>
      <c r="C20" s="10">
        <v>0.3</v>
      </c>
      <c r="D20" s="10">
        <v>0.6</v>
      </c>
      <c r="E20" s="11">
        <v>0.3</v>
      </c>
      <c r="F20" s="26">
        <v>487</v>
      </c>
      <c r="G20" s="34">
        <v>470</v>
      </c>
      <c r="H20" s="26">
        <f t="shared" si="5"/>
        <v>413.95</v>
      </c>
      <c r="I20" s="26">
        <f>SUM(H20/5)</f>
        <v>82.79</v>
      </c>
      <c r="J20" s="36">
        <f t="shared" si="6"/>
        <v>399.5</v>
      </c>
      <c r="K20" s="36">
        <f>SUM(J20/5)</f>
        <v>79.9</v>
      </c>
    </row>
    <row r="21" spans="1:11">
      <c r="A21" s="89"/>
      <c r="B21" s="91"/>
      <c r="C21" s="10"/>
      <c r="D21" s="10"/>
      <c r="E21" s="11"/>
      <c r="F21" s="26"/>
      <c r="G21" s="34"/>
      <c r="H21" s="26"/>
      <c r="I21" s="26"/>
      <c r="J21" s="34"/>
      <c r="K21" s="34"/>
    </row>
    <row r="22" ht="15.6" customHeight="1" spans="1:11">
      <c r="A22" s="89"/>
      <c r="B22" s="92" t="s">
        <v>26</v>
      </c>
      <c r="C22" s="71" t="s">
        <v>27</v>
      </c>
      <c r="D22" s="72"/>
      <c r="E22" s="73"/>
      <c r="F22" s="26"/>
      <c r="G22" s="34"/>
      <c r="H22" s="26"/>
      <c r="I22" s="26"/>
      <c r="J22" s="34"/>
      <c r="K22" s="34"/>
    </row>
    <row r="23" ht="15.6" customHeight="1" spans="1:11">
      <c r="A23" s="89"/>
      <c r="B23" s="93"/>
      <c r="C23" s="74"/>
      <c r="D23" s="75"/>
      <c r="E23" s="76"/>
      <c r="F23" s="26"/>
      <c r="G23" s="34"/>
      <c r="H23" s="26"/>
      <c r="I23" s="26"/>
      <c r="J23" s="34"/>
      <c r="K23" s="34"/>
    </row>
    <row r="24" ht="15.6" customHeight="1" spans="1:11">
      <c r="A24" s="89"/>
      <c r="B24" s="91"/>
      <c r="C24" s="10"/>
      <c r="D24" s="10"/>
      <c r="E24" s="11"/>
      <c r="F24" s="94"/>
      <c r="G24" s="34"/>
      <c r="H24" s="94"/>
      <c r="I24" s="94"/>
      <c r="J24" s="34"/>
      <c r="K24" s="34"/>
    </row>
    <row r="25" ht="15.6" customHeight="1" spans="1:11">
      <c r="A25" s="95"/>
      <c r="B25" s="91"/>
      <c r="C25" s="77" t="s">
        <v>17</v>
      </c>
      <c r="D25" s="78"/>
      <c r="E25" s="79"/>
      <c r="F25" s="80">
        <f t="shared" ref="F25:K25" si="7">F17+F18+F19+F20</f>
        <v>15612</v>
      </c>
      <c r="G25" s="81">
        <f t="shared" si="7"/>
        <v>15313</v>
      </c>
      <c r="H25" s="80">
        <f t="shared" si="7"/>
        <v>13270.2</v>
      </c>
      <c r="I25" s="82">
        <f>SUM(I17:I20)</f>
        <v>2654.04</v>
      </c>
      <c r="J25" s="81">
        <f t="shared" si="7"/>
        <v>13016.05</v>
      </c>
      <c r="K25" s="81">
        <f t="shared" si="7"/>
        <v>2603.21</v>
      </c>
    </row>
    <row r="26" ht="14.4" customHeight="1" spans="1:11">
      <c r="A26" s="96" t="s">
        <v>28</v>
      </c>
      <c r="B26" s="91"/>
      <c r="C26" s="83"/>
      <c r="D26" s="84"/>
      <c r="E26" s="85"/>
      <c r="F26" s="86"/>
      <c r="G26" s="87"/>
      <c r="H26" s="86"/>
      <c r="I26" s="88"/>
      <c r="J26" s="87"/>
      <c r="K26" s="87"/>
    </row>
    <row r="27" ht="14.4" customHeight="1" spans="1:11">
      <c r="A27" s="97" t="s">
        <v>29</v>
      </c>
      <c r="B27" s="91"/>
      <c r="C27" s="10"/>
      <c r="D27" s="10"/>
      <c r="E27" s="11" t="s">
        <v>30</v>
      </c>
      <c r="F27" s="26" t="s">
        <v>30</v>
      </c>
      <c r="G27" s="34"/>
      <c r="H27" s="26" t="s">
        <v>30</v>
      </c>
      <c r="I27" s="26"/>
      <c r="J27" s="34"/>
      <c r="K27" s="34"/>
    </row>
    <row r="28" ht="14.4" customHeight="1" spans="1:11">
      <c r="A28" s="2" t="s">
        <v>31</v>
      </c>
      <c r="B28" s="64" t="s">
        <v>1</v>
      </c>
      <c r="C28" s="65" t="s">
        <v>2</v>
      </c>
      <c r="D28" s="65" t="s">
        <v>3</v>
      </c>
      <c r="E28" s="5" t="s">
        <v>4</v>
      </c>
      <c r="F28" s="6" t="s">
        <v>21</v>
      </c>
      <c r="G28" s="7" t="s">
        <v>6</v>
      </c>
      <c r="H28" s="6" t="s">
        <v>21</v>
      </c>
      <c r="I28" s="6" t="s">
        <v>7</v>
      </c>
      <c r="J28" s="7" t="s">
        <v>6</v>
      </c>
      <c r="K28" s="7" t="s">
        <v>7</v>
      </c>
    </row>
    <row r="29" spans="1:11">
      <c r="A29" s="98"/>
      <c r="B29" s="66" t="s">
        <v>32</v>
      </c>
      <c r="C29" s="10">
        <v>2.86</v>
      </c>
      <c r="D29" s="10">
        <v>0.98</v>
      </c>
      <c r="E29" s="11">
        <v>0.87</v>
      </c>
      <c r="F29" s="26">
        <v>8821</v>
      </c>
      <c r="G29" s="36">
        <v>8612</v>
      </c>
      <c r="H29" s="26">
        <f t="shared" ref="H29:H30" si="8">F29*0.85</f>
        <v>7497.85</v>
      </c>
      <c r="I29" s="26">
        <f>SUM(H29/5)</f>
        <v>1499.57</v>
      </c>
      <c r="J29" s="36">
        <f t="shared" ref="J29:J30" si="9">G29*0.85</f>
        <v>7320.2</v>
      </c>
      <c r="K29" s="36">
        <f>SUM(J29/5)</f>
        <v>1464.04</v>
      </c>
    </row>
    <row r="30" spans="1:11">
      <c r="A30" s="89"/>
      <c r="B30" s="66" t="s">
        <v>33</v>
      </c>
      <c r="C30" s="10">
        <v>2.86</v>
      </c>
      <c r="D30" s="10">
        <v>0.98</v>
      </c>
      <c r="E30" s="11">
        <v>0.87</v>
      </c>
      <c r="F30" s="26">
        <v>2390</v>
      </c>
      <c r="G30" s="36">
        <v>2390</v>
      </c>
      <c r="H30" s="26">
        <f t="shared" si="8"/>
        <v>2031.5</v>
      </c>
      <c r="I30" s="26">
        <f>SUM(H30/5)</f>
        <v>406.3</v>
      </c>
      <c r="J30" s="36">
        <f t="shared" si="9"/>
        <v>2031.5</v>
      </c>
      <c r="K30" s="36">
        <f>SUM(J30/5)</f>
        <v>406.3</v>
      </c>
    </row>
    <row r="31" spans="1:11">
      <c r="A31" s="89"/>
      <c r="B31" s="99"/>
      <c r="C31" s="10"/>
      <c r="D31" s="10"/>
      <c r="E31" s="11"/>
      <c r="F31" s="26"/>
      <c r="G31" s="36"/>
      <c r="H31" s="26"/>
      <c r="I31" s="26"/>
      <c r="J31" s="36"/>
      <c r="K31" s="36"/>
    </row>
    <row r="32" spans="1:11">
      <c r="A32" s="89"/>
      <c r="B32" s="99"/>
      <c r="C32" s="10"/>
      <c r="D32" s="10"/>
      <c r="E32" s="11"/>
      <c r="F32" s="26"/>
      <c r="G32" s="34"/>
      <c r="H32" s="26"/>
      <c r="I32" s="26"/>
      <c r="J32" s="34"/>
      <c r="K32" s="34"/>
    </row>
    <row r="33" spans="1:11">
      <c r="A33" s="89"/>
      <c r="B33" s="99"/>
      <c r="C33" s="10"/>
      <c r="D33" s="10"/>
      <c r="E33" s="11"/>
      <c r="F33" s="26"/>
      <c r="G33" s="34"/>
      <c r="H33" s="26"/>
      <c r="I33" s="26"/>
      <c r="J33" s="34"/>
      <c r="K33" s="34"/>
    </row>
    <row r="34" spans="1:11">
      <c r="A34" s="89"/>
      <c r="B34" s="99"/>
      <c r="C34" s="10"/>
      <c r="D34" s="10"/>
      <c r="E34" s="11"/>
      <c r="F34" s="26"/>
      <c r="G34" s="34"/>
      <c r="H34" s="26"/>
      <c r="I34" s="26"/>
      <c r="J34" s="34"/>
      <c r="K34" s="34"/>
    </row>
    <row r="35" spans="1:11">
      <c r="A35" s="89"/>
      <c r="B35" s="99"/>
      <c r="C35" s="10"/>
      <c r="D35" s="10"/>
      <c r="E35" s="11"/>
      <c r="F35" s="26"/>
      <c r="G35" s="34"/>
      <c r="H35" s="26"/>
      <c r="I35" s="26"/>
      <c r="J35" s="34"/>
      <c r="K35" s="34"/>
    </row>
    <row r="36" spans="1:11">
      <c r="A36" s="89"/>
      <c r="B36" s="99"/>
      <c r="C36" s="10"/>
      <c r="D36" s="10"/>
      <c r="E36" s="11"/>
      <c r="F36" s="26"/>
      <c r="G36" s="34"/>
      <c r="H36" s="26"/>
      <c r="I36" s="26"/>
      <c r="J36" s="34"/>
      <c r="K36" s="34"/>
    </row>
    <row r="37" spans="1:11">
      <c r="A37" s="100"/>
      <c r="B37" s="101" t="s">
        <v>34</v>
      </c>
      <c r="C37" s="71" t="s">
        <v>35</v>
      </c>
      <c r="D37" s="72"/>
      <c r="E37" s="73"/>
      <c r="F37" s="26"/>
      <c r="G37" s="34"/>
      <c r="H37" s="26"/>
      <c r="I37" s="26"/>
      <c r="J37" s="34"/>
      <c r="K37" s="34"/>
    </row>
    <row r="38" spans="1:11">
      <c r="A38" s="102"/>
      <c r="B38" s="101"/>
      <c r="C38" s="74"/>
      <c r="D38" s="75"/>
      <c r="E38" s="76"/>
      <c r="F38" s="94"/>
      <c r="G38" s="34"/>
      <c r="H38" s="94"/>
      <c r="I38" s="94"/>
      <c r="J38" s="34"/>
      <c r="K38" s="34"/>
    </row>
    <row r="39" ht="15.6" customHeight="1" spans="1:11">
      <c r="A39" s="103"/>
      <c r="B39" s="101" t="s">
        <v>36</v>
      </c>
      <c r="C39" s="104"/>
      <c r="D39" s="104"/>
      <c r="E39" s="60"/>
      <c r="F39" s="105"/>
      <c r="G39" s="34"/>
      <c r="H39" s="105"/>
      <c r="I39" s="105"/>
      <c r="J39" s="34"/>
      <c r="K39" s="34"/>
    </row>
    <row r="40" ht="15.6" customHeight="1" spans="1:11">
      <c r="A40" s="23"/>
      <c r="B40" s="101"/>
      <c r="C40" s="77" t="s">
        <v>17</v>
      </c>
      <c r="D40" s="78"/>
      <c r="E40" s="79"/>
      <c r="F40" s="80">
        <f t="shared" ref="F40:G40" si="10">SUM(F29:F39)</f>
        <v>11211</v>
      </c>
      <c r="G40" s="81">
        <f t="shared" si="10"/>
        <v>11002</v>
      </c>
      <c r="H40" s="80">
        <f t="shared" ref="H40:K40" si="11">SUM(H29:H39)</f>
        <v>9529.35</v>
      </c>
      <c r="I40" s="82">
        <f>SUM(I29:I30)</f>
        <v>1905.87</v>
      </c>
      <c r="J40" s="81">
        <f t="shared" si="11"/>
        <v>9351.7</v>
      </c>
      <c r="K40" s="81">
        <f t="shared" si="11"/>
        <v>1870.34</v>
      </c>
    </row>
    <row r="41" ht="21" spans="1:11">
      <c r="A41" s="25"/>
      <c r="B41" s="91"/>
      <c r="C41" s="83"/>
      <c r="D41" s="84"/>
      <c r="E41" s="85"/>
      <c r="F41" s="86"/>
      <c r="G41" s="87"/>
      <c r="H41" s="86"/>
      <c r="I41" s="88"/>
      <c r="J41" s="87"/>
      <c r="K41" s="87"/>
    </row>
    <row r="42" spans="1:11">
      <c r="A42" s="2" t="s">
        <v>37</v>
      </c>
      <c r="B42" s="64" t="s">
        <v>1</v>
      </c>
      <c r="C42" s="65" t="s">
        <v>2</v>
      </c>
      <c r="D42" s="65" t="s">
        <v>3</v>
      </c>
      <c r="E42" s="5" t="s">
        <v>4</v>
      </c>
      <c r="F42" s="6" t="s">
        <v>38</v>
      </c>
      <c r="G42" s="7" t="s">
        <v>6</v>
      </c>
      <c r="H42" s="6" t="s">
        <v>38</v>
      </c>
      <c r="I42" s="6" t="s">
        <v>7</v>
      </c>
      <c r="J42" s="7" t="s">
        <v>6</v>
      </c>
      <c r="K42" s="7" t="s">
        <v>7</v>
      </c>
    </row>
    <row r="43" spans="1:11">
      <c r="A43" s="98"/>
      <c r="B43" s="66" t="s">
        <v>39</v>
      </c>
      <c r="C43" s="10">
        <v>2.9</v>
      </c>
      <c r="D43" s="10">
        <v>1.02</v>
      </c>
      <c r="E43" s="11">
        <v>0.9</v>
      </c>
      <c r="F43" s="26">
        <v>8075</v>
      </c>
      <c r="G43" s="27">
        <v>7303</v>
      </c>
      <c r="H43" s="26">
        <f>F43*0.85</f>
        <v>6863.75</v>
      </c>
      <c r="I43" s="26">
        <f>SUM(H43/5)</f>
        <v>1372.75</v>
      </c>
      <c r="J43" s="27">
        <f>G43*0.85</f>
        <v>6207.55</v>
      </c>
      <c r="K43" s="27">
        <f>SUM(J43/5)</f>
        <v>1241.51</v>
      </c>
    </row>
    <row r="44" ht="17.4" customHeight="1" spans="1:11">
      <c r="A44" s="89"/>
      <c r="B44" s="106"/>
      <c r="C44" s="10"/>
      <c r="D44" s="10"/>
      <c r="E44" s="11"/>
      <c r="F44" s="26"/>
      <c r="G44" s="27"/>
      <c r="H44" s="26"/>
      <c r="I44" s="26"/>
      <c r="J44" s="27"/>
      <c r="K44" s="27"/>
    </row>
    <row r="45" spans="1:11">
      <c r="A45" s="89"/>
      <c r="B45" s="106"/>
      <c r="C45" s="10"/>
      <c r="D45" s="10"/>
      <c r="E45" s="11"/>
      <c r="F45" s="26"/>
      <c r="G45" s="27"/>
      <c r="H45" s="26"/>
      <c r="I45" s="26"/>
      <c r="J45" s="27"/>
      <c r="K45" s="27"/>
    </row>
    <row r="46" spans="1:11">
      <c r="A46" s="89"/>
      <c r="B46" s="66"/>
      <c r="C46" s="10"/>
      <c r="D46" s="10"/>
      <c r="E46" s="11"/>
      <c r="F46" s="26"/>
      <c r="G46" s="27"/>
      <c r="H46" s="26"/>
      <c r="I46" s="26"/>
      <c r="J46" s="27"/>
      <c r="K46" s="27"/>
    </row>
    <row r="47" spans="1:11">
      <c r="A47" s="89"/>
      <c r="B47" s="66"/>
      <c r="C47" s="10"/>
      <c r="D47" s="10"/>
      <c r="E47" s="11"/>
      <c r="F47" s="26"/>
      <c r="G47" s="27"/>
      <c r="H47" s="26"/>
      <c r="I47" s="26"/>
      <c r="J47" s="27"/>
      <c r="K47" s="27"/>
    </row>
    <row r="48" spans="1:11">
      <c r="A48" s="89"/>
      <c r="B48" s="106"/>
      <c r="C48" s="10"/>
      <c r="D48" s="10"/>
      <c r="E48" s="11"/>
      <c r="F48" s="26"/>
      <c r="G48" s="27"/>
      <c r="H48" s="26"/>
      <c r="I48" s="26"/>
      <c r="J48" s="27"/>
      <c r="K48" s="27"/>
    </row>
    <row r="49" spans="1:11">
      <c r="A49" s="89"/>
      <c r="B49" s="92" t="s">
        <v>40</v>
      </c>
      <c r="C49" s="71" t="s">
        <v>41</v>
      </c>
      <c r="D49" s="72"/>
      <c r="E49" s="73"/>
      <c r="F49" s="26"/>
      <c r="G49" s="27"/>
      <c r="H49" s="26"/>
      <c r="I49" s="26"/>
      <c r="J49" s="27"/>
      <c r="K49" s="27"/>
    </row>
    <row r="50" ht="15.6" customHeight="1" spans="1:11">
      <c r="A50" s="89"/>
      <c r="B50" s="93"/>
      <c r="C50" s="74"/>
      <c r="D50" s="75"/>
      <c r="E50" s="76"/>
      <c r="F50" s="26"/>
      <c r="G50" s="27"/>
      <c r="H50" s="26"/>
      <c r="I50" s="26"/>
      <c r="J50" s="27"/>
      <c r="K50" s="27"/>
    </row>
    <row r="51" ht="15.6" customHeight="1" spans="1:11">
      <c r="A51" s="89"/>
      <c r="B51" s="107"/>
      <c r="C51" s="107"/>
      <c r="D51" s="107"/>
      <c r="E51" s="107"/>
      <c r="F51" s="26"/>
      <c r="G51" s="108"/>
      <c r="H51" s="26"/>
      <c r="I51" s="26"/>
      <c r="J51" s="108"/>
      <c r="K51" s="108"/>
    </row>
    <row r="52" ht="15.6" customHeight="1" spans="1:11">
      <c r="A52" s="96" t="s">
        <v>28</v>
      </c>
      <c r="B52" s="109"/>
      <c r="C52" s="77" t="s">
        <v>17</v>
      </c>
      <c r="D52" s="78"/>
      <c r="E52" s="79"/>
      <c r="F52" s="80">
        <f>SUM(F43:F47)</f>
        <v>8075</v>
      </c>
      <c r="G52" s="81">
        <f t="shared" ref="G52:K52" si="12">SUM(G43:G51)</f>
        <v>7303</v>
      </c>
      <c r="H52" s="80">
        <f>SUM(H43:H47)</f>
        <v>6863.75</v>
      </c>
      <c r="I52" s="82">
        <f>SUM(I43)</f>
        <v>1372.75</v>
      </c>
      <c r="J52" s="81">
        <f t="shared" si="12"/>
        <v>6207.55</v>
      </c>
      <c r="K52" s="81">
        <f t="shared" si="12"/>
        <v>1241.51</v>
      </c>
    </row>
    <row r="53" ht="15.6" customHeight="1" spans="1:11">
      <c r="A53" s="97" t="s">
        <v>42</v>
      </c>
      <c r="B53" s="91"/>
      <c r="C53" s="83"/>
      <c r="D53" s="84"/>
      <c r="E53" s="85"/>
      <c r="F53" s="86"/>
      <c r="G53" s="87"/>
      <c r="H53" s="86"/>
      <c r="I53" s="88"/>
      <c r="J53" s="87"/>
      <c r="K53" s="87"/>
    </row>
    <row r="54" spans="1:11">
      <c r="A54" s="2" t="s">
        <v>43</v>
      </c>
      <c r="B54" s="64" t="s">
        <v>1</v>
      </c>
      <c r="C54" s="65" t="s">
        <v>2</v>
      </c>
      <c r="D54" s="65" t="s">
        <v>3</v>
      </c>
      <c r="E54" s="5" t="s">
        <v>4</v>
      </c>
      <c r="F54" s="6" t="s">
        <v>5</v>
      </c>
      <c r="G54" s="7" t="s">
        <v>6</v>
      </c>
      <c r="H54" s="6" t="s">
        <v>5</v>
      </c>
      <c r="I54" s="6" t="s">
        <v>7</v>
      </c>
      <c r="J54" s="7" t="s">
        <v>6</v>
      </c>
      <c r="K54" s="7" t="s">
        <v>7</v>
      </c>
    </row>
    <row r="55" spans="1:11">
      <c r="A55" s="98"/>
      <c r="B55" s="66" t="s">
        <v>44</v>
      </c>
      <c r="C55" s="10">
        <v>1.6</v>
      </c>
      <c r="D55" s="10">
        <v>1.02</v>
      </c>
      <c r="E55" s="11">
        <v>0.8</v>
      </c>
      <c r="F55" s="26">
        <v>6846</v>
      </c>
      <c r="G55" s="27">
        <v>6177</v>
      </c>
      <c r="H55" s="26">
        <f t="shared" ref="H55:H56" si="13">F55*0.85</f>
        <v>5819.1</v>
      </c>
      <c r="I55" s="26">
        <f>SUM(H55/5)</f>
        <v>1163.82</v>
      </c>
      <c r="J55" s="27">
        <f t="shared" ref="J55:J56" si="14">G55*0.85</f>
        <v>5250.45</v>
      </c>
      <c r="K55" s="27">
        <f>SUM(J55/5)</f>
        <v>1050.09</v>
      </c>
    </row>
    <row r="56" ht="17.4" customHeight="1" spans="1:11">
      <c r="A56" s="89"/>
      <c r="B56" s="66" t="s">
        <v>44</v>
      </c>
      <c r="C56" s="10">
        <v>1.6</v>
      </c>
      <c r="D56" s="10">
        <v>1.02</v>
      </c>
      <c r="E56" s="11">
        <v>0.8</v>
      </c>
      <c r="F56" s="26">
        <v>6846</v>
      </c>
      <c r="G56" s="27">
        <v>6177</v>
      </c>
      <c r="H56" s="26">
        <f t="shared" si="13"/>
        <v>5819.1</v>
      </c>
      <c r="I56" s="26">
        <f>SUM(H56/5)</f>
        <v>1163.82</v>
      </c>
      <c r="J56" s="27">
        <f t="shared" si="14"/>
        <v>5250.45</v>
      </c>
      <c r="K56" s="27">
        <f>SUM(J56/5)</f>
        <v>1050.09</v>
      </c>
    </row>
    <row r="57" spans="1:11">
      <c r="A57" s="89"/>
      <c r="B57" s="106"/>
      <c r="C57" s="10"/>
      <c r="D57" s="10"/>
      <c r="E57" s="11"/>
      <c r="F57" s="26"/>
      <c r="G57" s="27"/>
      <c r="H57" s="26"/>
      <c r="I57" s="26"/>
      <c r="J57" s="27"/>
      <c r="K57" s="27"/>
    </row>
    <row r="58" spans="1:11">
      <c r="A58" s="89"/>
      <c r="B58" s="66"/>
      <c r="C58" s="10"/>
      <c r="D58" s="10"/>
      <c r="E58" s="11"/>
      <c r="F58" s="26"/>
      <c r="G58" s="27"/>
      <c r="H58" s="26"/>
      <c r="I58" s="26"/>
      <c r="J58" s="27"/>
      <c r="K58" s="27"/>
    </row>
    <row r="59" spans="1:11">
      <c r="A59" s="89"/>
      <c r="B59" s="66"/>
      <c r="C59" s="10"/>
      <c r="D59" s="10"/>
      <c r="E59" s="11"/>
      <c r="F59" s="26"/>
      <c r="G59" s="27"/>
      <c r="H59" s="26"/>
      <c r="I59" s="26"/>
      <c r="J59" s="27"/>
      <c r="K59" s="27"/>
    </row>
    <row r="60" spans="1:11">
      <c r="A60" s="89"/>
      <c r="B60" s="106"/>
      <c r="C60" s="10"/>
      <c r="D60" s="10"/>
      <c r="E60" s="11"/>
      <c r="F60" s="26"/>
      <c r="G60" s="27"/>
      <c r="H60" s="26"/>
      <c r="I60" s="26"/>
      <c r="J60" s="27"/>
      <c r="K60" s="27"/>
    </row>
    <row r="61" spans="1:11">
      <c r="A61" s="89"/>
      <c r="B61" s="92" t="s">
        <v>45</v>
      </c>
      <c r="C61" s="71" t="s">
        <v>46</v>
      </c>
      <c r="D61" s="72"/>
      <c r="E61" s="73"/>
      <c r="F61" s="26"/>
      <c r="G61" s="27"/>
      <c r="H61" s="26"/>
      <c r="I61" s="26"/>
      <c r="J61" s="27"/>
      <c r="K61" s="27"/>
    </row>
    <row r="62" ht="15.6" customHeight="1" spans="1:11">
      <c r="A62" s="89"/>
      <c r="B62" s="93"/>
      <c r="C62" s="74"/>
      <c r="D62" s="75"/>
      <c r="E62" s="76"/>
      <c r="F62" s="26"/>
      <c r="G62" s="27"/>
      <c r="H62" s="26"/>
      <c r="I62" s="26"/>
      <c r="J62" s="27"/>
      <c r="K62" s="27"/>
    </row>
    <row r="63" ht="15.6" customHeight="1" spans="1:11">
      <c r="A63" s="89"/>
      <c r="B63" s="107"/>
      <c r="C63" s="107"/>
      <c r="D63" s="107"/>
      <c r="E63" s="107"/>
      <c r="F63" s="26"/>
      <c r="G63" s="108"/>
      <c r="H63" s="26"/>
      <c r="I63" s="26"/>
      <c r="J63" s="108"/>
      <c r="K63" s="108"/>
    </row>
    <row r="64" ht="15.6" customHeight="1" spans="1:11">
      <c r="A64" s="96" t="s">
        <v>28</v>
      </c>
      <c r="B64" s="109"/>
      <c r="C64" s="77" t="s">
        <v>17</v>
      </c>
      <c r="D64" s="78"/>
      <c r="E64" s="79"/>
      <c r="F64" s="80">
        <f>SUM(F55:F59)</f>
        <v>13692</v>
      </c>
      <c r="G64" s="81">
        <f t="shared" ref="G64:K64" si="15">SUM(G55:G63)</f>
        <v>12354</v>
      </c>
      <c r="H64" s="80">
        <f>SUM(H55:H59)</f>
        <v>11638.2</v>
      </c>
      <c r="I64" s="82">
        <f>SUM(I55:I56)</f>
        <v>2327.64</v>
      </c>
      <c r="J64" s="81">
        <f t="shared" si="15"/>
        <v>10500.9</v>
      </c>
      <c r="K64" s="81">
        <f t="shared" si="15"/>
        <v>2100.18</v>
      </c>
    </row>
    <row r="65" ht="15.6" customHeight="1" spans="1:11">
      <c r="A65" s="97" t="s">
        <v>42</v>
      </c>
      <c r="B65" s="91"/>
      <c r="C65" s="83"/>
      <c r="D65" s="84"/>
      <c r="E65" s="85"/>
      <c r="F65" s="86"/>
      <c r="G65" s="87"/>
      <c r="H65" s="86"/>
      <c r="I65" s="88"/>
      <c r="J65" s="87"/>
      <c r="K65" s="87"/>
    </row>
    <row r="66" spans="1:11">
      <c r="A66" s="110" t="s">
        <v>47</v>
      </c>
      <c r="B66" s="64" t="s">
        <v>1</v>
      </c>
      <c r="C66" s="65" t="s">
        <v>2</v>
      </c>
      <c r="D66" s="65" t="s">
        <v>3</v>
      </c>
      <c r="E66" s="5" t="s">
        <v>4</v>
      </c>
      <c r="F66" s="6" t="s">
        <v>5</v>
      </c>
      <c r="G66" s="7" t="s">
        <v>6</v>
      </c>
      <c r="H66" s="6" t="s">
        <v>5</v>
      </c>
      <c r="I66" s="6" t="s">
        <v>7</v>
      </c>
      <c r="J66" s="7" t="s">
        <v>6</v>
      </c>
      <c r="K66" s="7" t="s">
        <v>7</v>
      </c>
    </row>
    <row r="67" spans="1:11">
      <c r="A67" s="98"/>
      <c r="B67" s="90" t="s">
        <v>48</v>
      </c>
      <c r="C67" s="10">
        <v>1.2</v>
      </c>
      <c r="D67" s="10">
        <v>0.95</v>
      </c>
      <c r="E67" s="11">
        <v>0.93</v>
      </c>
      <c r="F67" s="26">
        <v>4090</v>
      </c>
      <c r="G67" s="27">
        <v>3522</v>
      </c>
      <c r="H67" s="26">
        <f t="shared" ref="H67:H69" si="16">F67*0.85</f>
        <v>3476.5</v>
      </c>
      <c r="I67" s="26">
        <f>SUM(H67/5)</f>
        <v>695.3</v>
      </c>
      <c r="J67" s="27">
        <f t="shared" ref="J67:J69" si="17">G67*0.85</f>
        <v>2993.7</v>
      </c>
      <c r="K67" s="27">
        <f>SUM(J67/5)</f>
        <v>598.74</v>
      </c>
    </row>
    <row r="68" spans="1:11">
      <c r="A68" s="89"/>
      <c r="B68" s="66" t="s">
        <v>49</v>
      </c>
      <c r="C68" s="10">
        <v>2.1</v>
      </c>
      <c r="D68" s="10">
        <v>1.14</v>
      </c>
      <c r="E68" s="11">
        <v>0.93</v>
      </c>
      <c r="F68" s="26">
        <v>6456</v>
      </c>
      <c r="G68" s="27">
        <v>5517</v>
      </c>
      <c r="H68" s="26">
        <f t="shared" si="16"/>
        <v>5487.6</v>
      </c>
      <c r="I68" s="26">
        <f>SUM(H68/5)</f>
        <v>1097.52</v>
      </c>
      <c r="J68" s="27">
        <f t="shared" si="17"/>
        <v>4689.45</v>
      </c>
      <c r="K68" s="27">
        <f>SUM(J68/5)</f>
        <v>937.89</v>
      </c>
    </row>
    <row r="69" spans="1:11">
      <c r="A69" s="89"/>
      <c r="B69" s="66" t="s">
        <v>48</v>
      </c>
      <c r="C69" s="10">
        <v>1.2</v>
      </c>
      <c r="D69" s="10">
        <v>0.95</v>
      </c>
      <c r="E69" s="11">
        <v>0.93</v>
      </c>
      <c r="F69" s="26">
        <v>4090</v>
      </c>
      <c r="G69" s="27">
        <v>3522</v>
      </c>
      <c r="H69" s="26">
        <f t="shared" si="16"/>
        <v>3476.5</v>
      </c>
      <c r="I69" s="26">
        <f>SUM(H69/5)</f>
        <v>695.3</v>
      </c>
      <c r="J69" s="27">
        <f t="shared" si="17"/>
        <v>2993.7</v>
      </c>
      <c r="K69" s="27">
        <f>SUM(J69/5)</f>
        <v>598.74</v>
      </c>
    </row>
    <row r="70" spans="1:11">
      <c r="A70" s="89"/>
      <c r="B70" s="66"/>
      <c r="C70" s="10"/>
      <c r="D70" s="10"/>
      <c r="E70" s="11"/>
      <c r="F70" s="26"/>
      <c r="G70" s="27"/>
      <c r="H70" s="26"/>
      <c r="I70" s="26"/>
      <c r="J70" s="27"/>
      <c r="K70" s="27"/>
    </row>
    <row r="71" spans="1:11">
      <c r="A71" s="89"/>
      <c r="B71" s="66"/>
      <c r="C71" s="10"/>
      <c r="D71" s="10"/>
      <c r="E71" s="11"/>
      <c r="F71" s="26"/>
      <c r="G71" s="27"/>
      <c r="H71" s="26"/>
      <c r="I71" s="26"/>
      <c r="J71" s="27"/>
      <c r="K71" s="27"/>
    </row>
    <row r="72" spans="1:11">
      <c r="A72" s="89"/>
      <c r="B72" s="111"/>
      <c r="C72" s="10"/>
      <c r="D72" s="10"/>
      <c r="E72" s="11"/>
      <c r="F72" s="26"/>
      <c r="G72" s="27"/>
      <c r="H72" s="26"/>
      <c r="I72" s="26"/>
      <c r="J72" s="27"/>
      <c r="K72" s="27"/>
    </row>
    <row r="73" spans="1:11">
      <c r="A73" s="89"/>
      <c r="B73" s="111"/>
      <c r="C73" s="10"/>
      <c r="D73" s="10"/>
      <c r="E73" s="11"/>
      <c r="F73" s="26"/>
      <c r="G73" s="27"/>
      <c r="H73" s="26"/>
      <c r="I73" s="26"/>
      <c r="J73" s="27"/>
      <c r="K73" s="27"/>
    </row>
    <row r="74" spans="1:11">
      <c r="A74" s="89"/>
      <c r="B74" s="91"/>
      <c r="C74" s="10"/>
      <c r="D74" s="10"/>
      <c r="E74" s="11"/>
      <c r="F74" s="26"/>
      <c r="G74" s="27"/>
      <c r="H74" s="26"/>
      <c r="I74" s="26"/>
      <c r="J74" s="27"/>
      <c r="K74" s="27"/>
    </row>
    <row r="75" spans="1:11">
      <c r="A75" s="89"/>
      <c r="B75" s="101" t="s">
        <v>50</v>
      </c>
      <c r="C75" s="71" t="s">
        <v>51</v>
      </c>
      <c r="D75" s="72"/>
      <c r="E75" s="73"/>
      <c r="F75" s="26"/>
      <c r="G75" s="27"/>
      <c r="H75" s="26"/>
      <c r="I75" s="26"/>
      <c r="J75" s="27"/>
      <c r="K75" s="27"/>
    </row>
    <row r="76" ht="15.6" customHeight="1" spans="1:11">
      <c r="A76" s="95"/>
      <c r="B76" s="101"/>
      <c r="C76" s="74"/>
      <c r="D76" s="75"/>
      <c r="E76" s="76"/>
      <c r="F76" s="94"/>
      <c r="G76" s="112"/>
      <c r="H76" s="94"/>
      <c r="I76" s="94"/>
      <c r="J76" s="112"/>
      <c r="K76" s="112"/>
    </row>
    <row r="77" ht="15.6" customHeight="1" spans="1:11">
      <c r="A77" s="113"/>
      <c r="B77" s="91"/>
      <c r="C77" s="10"/>
      <c r="D77" s="10"/>
      <c r="E77" s="60"/>
      <c r="F77" s="114"/>
      <c r="G77" s="115"/>
      <c r="H77" s="114"/>
      <c r="I77" s="114"/>
      <c r="J77" s="115"/>
      <c r="K77" s="115"/>
    </row>
    <row r="78" ht="14.4" customHeight="1" spans="1:11">
      <c r="A78" s="96" t="s">
        <v>28</v>
      </c>
      <c r="B78" s="116"/>
      <c r="C78" s="77" t="s">
        <v>17</v>
      </c>
      <c r="D78" s="78"/>
      <c r="E78" s="79"/>
      <c r="F78" s="80">
        <f t="shared" ref="F78:K78" si="18">SUM(F67:F77)</f>
        <v>14636</v>
      </c>
      <c r="G78" s="81">
        <f t="shared" si="18"/>
        <v>12561</v>
      </c>
      <c r="H78" s="80">
        <f t="shared" si="18"/>
        <v>12440.6</v>
      </c>
      <c r="I78" s="82">
        <f>SUM(I67:I69)</f>
        <v>2488.12</v>
      </c>
      <c r="J78" s="81">
        <f t="shared" si="18"/>
        <v>10676.85</v>
      </c>
      <c r="K78" s="81">
        <f t="shared" si="18"/>
        <v>2135.37</v>
      </c>
    </row>
    <row r="79" ht="14.4" customHeight="1" spans="1:11">
      <c r="A79" s="97" t="s">
        <v>52</v>
      </c>
      <c r="B79" s="91"/>
      <c r="C79" s="83"/>
      <c r="D79" s="84"/>
      <c r="E79" s="85"/>
      <c r="F79" s="86"/>
      <c r="G79" s="87"/>
      <c r="H79" s="86"/>
      <c r="I79" s="88"/>
      <c r="J79" s="87"/>
      <c r="K79" s="87"/>
    </row>
    <row r="80" s="62" customFormat="1" ht="14.4" customHeight="1" spans="1:11">
      <c r="A80" s="117"/>
      <c r="B80" s="118"/>
      <c r="C80" s="119"/>
      <c r="D80" s="119"/>
      <c r="E80" s="119"/>
      <c r="F80" s="120"/>
      <c r="G80" s="120"/>
      <c r="H80" s="120"/>
      <c r="I80" s="120"/>
      <c r="J80" s="120"/>
      <c r="K80" s="120"/>
    </row>
    <row r="81" s="62" customFormat="1" ht="14.4" customHeight="1" spans="1:11">
      <c r="A81" s="117"/>
      <c r="B81" s="118"/>
      <c r="C81" s="119"/>
      <c r="D81" s="119"/>
      <c r="E81" s="119"/>
      <c r="F81" s="120"/>
      <c r="G81" s="120"/>
      <c r="H81" s="120"/>
      <c r="I81" s="120"/>
      <c r="J81" s="120"/>
      <c r="K81" s="120"/>
    </row>
    <row r="82" s="62" customFormat="1" ht="14.4" customHeight="1" spans="1:11">
      <c r="A82" s="117"/>
      <c r="B82" s="118"/>
      <c r="C82" s="119"/>
      <c r="D82" s="119"/>
      <c r="E82" s="119"/>
      <c r="F82" s="120"/>
      <c r="G82" s="120"/>
      <c r="H82" s="120"/>
      <c r="I82" s="120"/>
      <c r="J82" s="120"/>
      <c r="K82" s="120"/>
    </row>
    <row r="83" s="62" customFormat="1" ht="14.4" customHeight="1" spans="1:11">
      <c r="A83" s="117"/>
      <c r="B83" s="118"/>
      <c r="C83" s="119"/>
      <c r="D83" s="119"/>
      <c r="E83" s="119"/>
      <c r="F83" s="120"/>
      <c r="G83" s="120"/>
      <c r="H83" s="120"/>
      <c r="I83" s="120"/>
      <c r="J83" s="120"/>
      <c r="K83" s="120"/>
    </row>
    <row r="84" s="62" customFormat="1" ht="14.4" customHeight="1" spans="1:11">
      <c r="A84" s="117"/>
      <c r="B84" s="118"/>
      <c r="C84" s="119"/>
      <c r="D84" s="119"/>
      <c r="E84" s="119"/>
      <c r="F84" s="120"/>
      <c r="G84" s="120"/>
      <c r="H84" s="120"/>
      <c r="I84" s="120"/>
      <c r="J84" s="120"/>
      <c r="K84" s="120"/>
    </row>
    <row r="85" s="62" customFormat="1" ht="14.4" customHeight="1" spans="1:11">
      <c r="A85" s="117"/>
      <c r="B85" s="118"/>
      <c r="C85" s="119"/>
      <c r="D85" s="119"/>
      <c r="E85" s="119"/>
      <c r="F85" s="120"/>
      <c r="G85" s="120"/>
      <c r="H85" s="120"/>
      <c r="I85" s="120"/>
      <c r="J85" s="120"/>
      <c r="K85" s="120"/>
    </row>
    <row r="86" s="62" customFormat="1" ht="14.4" customHeight="1" spans="1:11">
      <c r="A86" s="117"/>
      <c r="B86" s="118"/>
      <c r="C86" s="119"/>
      <c r="D86" s="119"/>
      <c r="E86" s="119"/>
      <c r="F86" s="120"/>
      <c r="G86" s="120"/>
      <c r="H86" s="120"/>
      <c r="I86" s="120"/>
      <c r="J86" s="120"/>
      <c r="K86" s="120"/>
    </row>
    <row r="87" spans="1:11">
      <c r="A87" s="2" t="s">
        <v>53</v>
      </c>
      <c r="B87" s="64" t="s">
        <v>1</v>
      </c>
      <c r="C87" s="65" t="s">
        <v>2</v>
      </c>
      <c r="D87" s="65" t="s">
        <v>3</v>
      </c>
      <c r="E87" s="5" t="s">
        <v>4</v>
      </c>
      <c r="F87" s="6" t="s">
        <v>54</v>
      </c>
      <c r="G87" s="7" t="s">
        <v>6</v>
      </c>
      <c r="H87" s="6" t="s">
        <v>54</v>
      </c>
      <c r="I87" s="6" t="s">
        <v>7</v>
      </c>
      <c r="J87" s="7" t="s">
        <v>6</v>
      </c>
      <c r="K87" s="7" t="s">
        <v>7</v>
      </c>
    </row>
    <row r="88" spans="1:11">
      <c r="A88" s="98"/>
      <c r="B88" s="91" t="s">
        <v>55</v>
      </c>
      <c r="C88" s="10">
        <v>1.12</v>
      </c>
      <c r="D88" s="10">
        <v>1.04</v>
      </c>
      <c r="E88" s="11">
        <v>1</v>
      </c>
      <c r="F88" s="26">
        <v>4059</v>
      </c>
      <c r="G88" s="27">
        <v>3127</v>
      </c>
      <c r="H88" s="26">
        <f t="shared" ref="H88:H90" si="19">F88*0.85</f>
        <v>3450.15</v>
      </c>
      <c r="I88" s="26">
        <f>SUM(H88/5)</f>
        <v>690.03</v>
      </c>
      <c r="J88" s="27">
        <f t="shared" ref="J88:J90" si="20">G88*0.85</f>
        <v>2657.95</v>
      </c>
      <c r="K88" s="27">
        <f>SUM(J88/5)</f>
        <v>531.59</v>
      </c>
    </row>
    <row r="89" spans="1:11">
      <c r="A89" s="89"/>
      <c r="B89" s="91" t="s">
        <v>56</v>
      </c>
      <c r="C89" s="10">
        <v>1.1</v>
      </c>
      <c r="D89" s="10">
        <v>1.04</v>
      </c>
      <c r="E89" s="11">
        <v>1</v>
      </c>
      <c r="F89" s="26">
        <v>3465</v>
      </c>
      <c r="G89" s="27">
        <v>2754</v>
      </c>
      <c r="H89" s="26">
        <f t="shared" si="19"/>
        <v>2945.25</v>
      </c>
      <c r="I89" s="26">
        <f>SUM(H89/5)</f>
        <v>589.05</v>
      </c>
      <c r="J89" s="27">
        <f t="shared" si="20"/>
        <v>2340.9</v>
      </c>
      <c r="K89" s="27">
        <f>SUM(J89/5)</f>
        <v>468.18</v>
      </c>
    </row>
    <row r="90" spans="1:11">
      <c r="A90" s="89"/>
      <c r="B90" s="91" t="s">
        <v>55</v>
      </c>
      <c r="C90" s="10">
        <v>1.12</v>
      </c>
      <c r="D90" s="10">
        <v>1.04</v>
      </c>
      <c r="E90" s="11">
        <v>1</v>
      </c>
      <c r="F90" s="26">
        <v>4059</v>
      </c>
      <c r="G90" s="27">
        <v>3127</v>
      </c>
      <c r="H90" s="26">
        <f t="shared" si="19"/>
        <v>3450.15</v>
      </c>
      <c r="I90" s="26">
        <f>SUM(H90/5)</f>
        <v>690.03</v>
      </c>
      <c r="J90" s="27">
        <f t="shared" si="20"/>
        <v>2657.95</v>
      </c>
      <c r="K90" s="27">
        <f>SUM(J90/5)</f>
        <v>531.59</v>
      </c>
    </row>
    <row r="91" spans="1:11">
      <c r="A91" s="89"/>
      <c r="B91" s="91"/>
      <c r="C91" s="10"/>
      <c r="D91" s="10"/>
      <c r="E91" s="11"/>
      <c r="F91" s="26"/>
      <c r="G91" s="27"/>
      <c r="H91" s="26"/>
      <c r="I91" s="26"/>
      <c r="J91" s="27"/>
      <c r="K91" s="27"/>
    </row>
    <row r="92" spans="1:11">
      <c r="A92" s="89"/>
      <c r="B92" s="91"/>
      <c r="C92" s="10"/>
      <c r="D92" s="10"/>
      <c r="E92" s="11"/>
      <c r="F92" s="26"/>
      <c r="G92" s="27"/>
      <c r="H92" s="26"/>
      <c r="I92" s="26"/>
      <c r="J92" s="27"/>
      <c r="K92" s="27"/>
    </row>
    <row r="93" spans="1:11">
      <c r="A93" s="89"/>
      <c r="B93" s="121" t="s">
        <v>57</v>
      </c>
      <c r="C93" s="122"/>
      <c r="D93" s="122"/>
      <c r="E93" s="123"/>
      <c r="F93" s="124">
        <v>4802</v>
      </c>
      <c r="G93" s="124">
        <v>4802</v>
      </c>
      <c r="H93" s="124">
        <v>4802</v>
      </c>
      <c r="I93" s="124">
        <f>SUM(H93/5)</f>
        <v>960.4</v>
      </c>
      <c r="J93" s="124">
        <v>4802</v>
      </c>
      <c r="K93" s="124">
        <f>SUM(J93/5)</f>
        <v>960.4</v>
      </c>
    </row>
    <row r="94" spans="1:11">
      <c r="A94" s="89"/>
      <c r="B94" s="101" t="s">
        <v>58</v>
      </c>
      <c r="C94" s="71" t="s">
        <v>59</v>
      </c>
      <c r="D94" s="72"/>
      <c r="E94" s="73"/>
      <c r="F94" s="26"/>
      <c r="G94" s="27"/>
      <c r="H94" s="26"/>
      <c r="I94" s="26"/>
      <c r="J94" s="27"/>
      <c r="K94" s="27"/>
    </row>
    <row r="95" spans="1:11">
      <c r="A95" s="95"/>
      <c r="B95" s="101"/>
      <c r="C95" s="74"/>
      <c r="D95" s="75"/>
      <c r="E95" s="76"/>
      <c r="F95" s="94"/>
      <c r="G95" s="112"/>
      <c r="H95" s="94"/>
      <c r="I95" s="94"/>
      <c r="J95" s="112"/>
      <c r="K95" s="112"/>
    </row>
    <row r="96" ht="15" customHeight="1" spans="1:11">
      <c r="A96" s="21" t="s">
        <v>60</v>
      </c>
      <c r="B96" s="91"/>
      <c r="C96" s="10"/>
      <c r="D96" s="10"/>
      <c r="E96" s="60"/>
      <c r="F96" s="114"/>
      <c r="G96" s="115"/>
      <c r="H96" s="114"/>
      <c r="I96" s="114"/>
      <c r="J96" s="115"/>
      <c r="K96" s="115"/>
    </row>
    <row r="97" ht="21" spans="1:11">
      <c r="A97" s="96" t="s">
        <v>28</v>
      </c>
      <c r="B97" s="125" t="s">
        <v>61</v>
      </c>
      <c r="C97" s="77" t="s">
        <v>17</v>
      </c>
      <c r="D97" s="78"/>
      <c r="E97" s="79"/>
      <c r="F97" s="80">
        <f t="shared" ref="F97:K97" si="21">SUM(F88:F96)</f>
        <v>16385</v>
      </c>
      <c r="G97" s="81">
        <f t="shared" si="21"/>
        <v>13810</v>
      </c>
      <c r="H97" s="80">
        <f t="shared" si="21"/>
        <v>14647.55</v>
      </c>
      <c r="I97" s="82">
        <f>SUM(I88:I93)</f>
        <v>2929.51</v>
      </c>
      <c r="J97" s="81">
        <f t="shared" si="21"/>
        <v>12458.8</v>
      </c>
      <c r="K97" s="81">
        <f t="shared" si="21"/>
        <v>2491.76</v>
      </c>
    </row>
    <row r="98" ht="21" spans="1:11">
      <c r="A98" s="97" t="s">
        <v>62</v>
      </c>
      <c r="B98" s="91"/>
      <c r="C98" s="83"/>
      <c r="D98" s="84"/>
      <c r="E98" s="85"/>
      <c r="F98" s="86"/>
      <c r="G98" s="87"/>
      <c r="H98" s="86"/>
      <c r="I98" s="88"/>
      <c r="J98" s="87"/>
      <c r="K98" s="87"/>
    </row>
  </sheetData>
  <mergeCells count="66">
    <mergeCell ref="B93:E93"/>
    <mergeCell ref="B11:B12"/>
    <mergeCell ref="B13:B14"/>
    <mergeCell ref="B22:B23"/>
    <mergeCell ref="B37:B38"/>
    <mergeCell ref="B39:B40"/>
    <mergeCell ref="B49:B50"/>
    <mergeCell ref="B61:B62"/>
    <mergeCell ref="B75:B76"/>
    <mergeCell ref="B94:B95"/>
    <mergeCell ref="F13:F14"/>
    <mergeCell ref="F25:F26"/>
    <mergeCell ref="F40:F41"/>
    <mergeCell ref="F52:F53"/>
    <mergeCell ref="F64:F65"/>
    <mergeCell ref="F78:F79"/>
    <mergeCell ref="F97:F98"/>
    <mergeCell ref="G13:G14"/>
    <mergeCell ref="G25:G26"/>
    <mergeCell ref="G40:G41"/>
    <mergeCell ref="G52:G53"/>
    <mergeCell ref="G64:G65"/>
    <mergeCell ref="G78:G79"/>
    <mergeCell ref="G97:G98"/>
    <mergeCell ref="H13:H14"/>
    <mergeCell ref="H25:H26"/>
    <mergeCell ref="H40:H41"/>
    <mergeCell ref="H52:H53"/>
    <mergeCell ref="H64:H65"/>
    <mergeCell ref="H78:H79"/>
    <mergeCell ref="H97:H98"/>
    <mergeCell ref="I13:I14"/>
    <mergeCell ref="I25:I26"/>
    <mergeCell ref="I40:I41"/>
    <mergeCell ref="I52:I53"/>
    <mergeCell ref="I64:I65"/>
    <mergeCell ref="I78:I79"/>
    <mergeCell ref="I97:I98"/>
    <mergeCell ref="J13:J14"/>
    <mergeCell ref="J25:J26"/>
    <mergeCell ref="J40:J41"/>
    <mergeCell ref="J52:J53"/>
    <mergeCell ref="J64:J65"/>
    <mergeCell ref="J78:J79"/>
    <mergeCell ref="J97:J98"/>
    <mergeCell ref="K13:K14"/>
    <mergeCell ref="K25:K26"/>
    <mergeCell ref="K40:K41"/>
    <mergeCell ref="K52:K53"/>
    <mergeCell ref="K64:K65"/>
    <mergeCell ref="K78:K79"/>
    <mergeCell ref="K97:K98"/>
    <mergeCell ref="C94:E95"/>
    <mergeCell ref="C37:E38"/>
    <mergeCell ref="C78:E79"/>
    <mergeCell ref="C75:E76"/>
    <mergeCell ref="C97:E98"/>
    <mergeCell ref="C49:E50"/>
    <mergeCell ref="C40:E41"/>
    <mergeCell ref="C61:E62"/>
    <mergeCell ref="C64:E65"/>
    <mergeCell ref="C52:E53"/>
    <mergeCell ref="C11:E12"/>
    <mergeCell ref="C25:E26"/>
    <mergeCell ref="C22:E23"/>
    <mergeCell ref="C13:E14"/>
  </mergeCells>
  <hyperlinks>
    <hyperlink ref="A53" r:id="rId2" display="LUCIANO SANTELLI"/>
    <hyperlink ref="A27" r:id="rId2" display="JOÃO V. DEMELE"/>
    <hyperlink ref="A79" r:id="rId2" display="JOÃO DEMELE"/>
    <hyperlink ref="A98" r:id="rId2" display="ESTUDIO KARAMS"/>
    <hyperlink ref="A65" r:id="rId2" display="LUCIANO SANTELLI"/>
  </hyperlinks>
  <pageMargins left="0.511811023622047" right="0.196850393700787" top="0.196850393700787" bottom="0.196850393700787" header="0" footer="0"/>
  <pageSetup paperSize="9" scale="6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topLeftCell="A33" workbookViewId="0">
      <selection activeCell="K52" sqref="K52"/>
    </sheetView>
  </sheetViews>
  <sheetFormatPr defaultColWidth="9" defaultRowHeight="15.75"/>
  <cols>
    <col min="1" max="1" width="25.3333333333333" customWidth="1"/>
    <col min="2" max="2" width="29.8857142857143" style="1" customWidth="1"/>
    <col min="3" max="3" width="9.88571428571429" style="1" customWidth="1"/>
    <col min="4" max="4" width="9.33333333333333" style="1" customWidth="1"/>
    <col min="5" max="5" width="10.3333333333333" style="1" customWidth="1"/>
    <col min="6" max="6" width="10.2190476190476" style="1" hidden="1" customWidth="1"/>
    <col min="7" max="7" width="16.552380952381" hidden="1" customWidth="1"/>
    <col min="8" max="9" width="10.2190476190476" style="1" customWidth="1"/>
    <col min="10" max="11" width="16.552380952381" customWidth="1"/>
  </cols>
  <sheetData>
    <row r="1" spans="1:11">
      <c r="A1" s="37" t="s">
        <v>63</v>
      </c>
      <c r="B1" s="3" t="s">
        <v>1</v>
      </c>
      <c r="C1" s="4" t="s">
        <v>2</v>
      </c>
      <c r="D1" s="4" t="s">
        <v>3</v>
      </c>
      <c r="E1" s="5" t="s">
        <v>4</v>
      </c>
      <c r="F1" s="45" t="s">
        <v>64</v>
      </c>
      <c r="G1" s="7" t="s">
        <v>6</v>
      </c>
      <c r="H1" s="45" t="s">
        <v>64</v>
      </c>
      <c r="I1" s="45" t="s">
        <v>7</v>
      </c>
      <c r="J1" s="7" t="s">
        <v>6</v>
      </c>
      <c r="K1" s="7" t="s">
        <v>7</v>
      </c>
    </row>
    <row r="2" spans="1:11">
      <c r="A2" s="8"/>
      <c r="B2" s="14" t="s">
        <v>65</v>
      </c>
      <c r="C2" s="15">
        <v>0.9</v>
      </c>
      <c r="D2" s="15">
        <v>0.93</v>
      </c>
      <c r="E2" s="11">
        <v>0.77</v>
      </c>
      <c r="F2" s="12">
        <v>2897</v>
      </c>
      <c r="G2" s="13">
        <v>2178</v>
      </c>
      <c r="H2" s="12">
        <f>F2*0.85</f>
        <v>2462.45</v>
      </c>
      <c r="I2" s="12">
        <f>SUM(H2/5)</f>
        <v>492.49</v>
      </c>
      <c r="J2" s="13">
        <f>G2*0.85</f>
        <v>1851.3</v>
      </c>
      <c r="K2" s="13">
        <f>SUM(J2/5)</f>
        <v>370.26</v>
      </c>
    </row>
    <row r="3" spans="1:11">
      <c r="A3" s="8"/>
      <c r="B3" s="14"/>
      <c r="C3" s="15"/>
      <c r="D3" s="15"/>
      <c r="E3" s="11"/>
      <c r="F3" s="12"/>
      <c r="G3" s="13"/>
      <c r="H3" s="12"/>
      <c r="I3" s="12"/>
      <c r="J3" s="13"/>
      <c r="K3" s="13"/>
    </row>
    <row r="4" spans="1:11">
      <c r="A4" s="8"/>
      <c r="B4" s="14"/>
      <c r="C4" s="15"/>
      <c r="D4" s="15"/>
      <c r="E4" s="11"/>
      <c r="F4" s="12"/>
      <c r="G4" s="13"/>
      <c r="H4" s="12"/>
      <c r="I4" s="12"/>
      <c r="J4" s="13"/>
      <c r="K4" s="13"/>
    </row>
    <row r="5" spans="1:11">
      <c r="A5" s="46"/>
      <c r="B5" s="24"/>
      <c r="C5" s="19"/>
      <c r="D5" s="19"/>
      <c r="E5" s="11"/>
      <c r="F5" s="12"/>
      <c r="G5" s="13"/>
      <c r="H5" s="12"/>
      <c r="I5" s="12"/>
      <c r="J5" s="13"/>
      <c r="K5" s="13"/>
    </row>
    <row r="6" spans="1:11">
      <c r="A6" s="8"/>
      <c r="B6" s="18"/>
      <c r="C6" s="15"/>
      <c r="D6" s="20" t="s">
        <v>66</v>
      </c>
      <c r="E6" s="42"/>
      <c r="F6" s="12" t="s">
        <v>30</v>
      </c>
      <c r="G6" s="13" t="s">
        <v>30</v>
      </c>
      <c r="H6" s="12" t="s">
        <v>30</v>
      </c>
      <c r="I6" s="12" t="s">
        <v>30</v>
      </c>
      <c r="J6" s="13" t="s">
        <v>30</v>
      </c>
      <c r="K6" s="13" t="s">
        <v>30</v>
      </c>
    </row>
    <row r="7" spans="1:11">
      <c r="A7" s="8"/>
      <c r="B7" s="47"/>
      <c r="C7" s="15"/>
      <c r="D7" s="22"/>
      <c r="E7" s="43"/>
      <c r="F7" s="12" t="s">
        <v>30</v>
      </c>
      <c r="G7" s="13" t="s">
        <v>30</v>
      </c>
      <c r="H7" s="12" t="s">
        <v>30</v>
      </c>
      <c r="I7" s="12" t="s">
        <v>30</v>
      </c>
      <c r="J7" s="13" t="s">
        <v>30</v>
      </c>
      <c r="K7" s="13" t="s">
        <v>30</v>
      </c>
    </row>
    <row r="8" spans="1:11">
      <c r="A8" s="23" t="s">
        <v>28</v>
      </c>
      <c r="B8" s="35" t="s">
        <v>67</v>
      </c>
      <c r="C8" s="15"/>
      <c r="D8" s="15"/>
      <c r="E8" s="11" t="s">
        <v>30</v>
      </c>
      <c r="F8" s="12" t="s">
        <v>30</v>
      </c>
      <c r="G8" s="13" t="s">
        <v>30</v>
      </c>
      <c r="H8" s="12" t="s">
        <v>30</v>
      </c>
      <c r="I8" s="12" t="s">
        <v>30</v>
      </c>
      <c r="J8" s="13" t="s">
        <v>30</v>
      </c>
      <c r="K8" s="13" t="s">
        <v>30</v>
      </c>
    </row>
    <row r="9" spans="1:11">
      <c r="A9" s="25" t="s">
        <v>29</v>
      </c>
      <c r="B9" s="14"/>
      <c r="C9" s="15"/>
      <c r="D9" s="15"/>
      <c r="E9" s="11" t="s">
        <v>30</v>
      </c>
      <c r="F9" s="12" t="s">
        <v>30</v>
      </c>
      <c r="G9" s="13" t="s">
        <v>30</v>
      </c>
      <c r="H9" s="12" t="s">
        <v>30</v>
      </c>
      <c r="I9" s="12" t="s">
        <v>30</v>
      </c>
      <c r="J9" s="13" t="s">
        <v>30</v>
      </c>
      <c r="K9" s="13" t="s">
        <v>30</v>
      </c>
    </row>
    <row r="10" spans="1:11">
      <c r="A10" s="37" t="s">
        <v>68</v>
      </c>
      <c r="B10" s="3" t="s">
        <v>1</v>
      </c>
      <c r="C10" s="4" t="s">
        <v>2</v>
      </c>
      <c r="D10" s="4" t="s">
        <v>3</v>
      </c>
      <c r="E10" s="5" t="s">
        <v>4</v>
      </c>
      <c r="F10" s="6" t="s">
        <v>64</v>
      </c>
      <c r="G10" s="7" t="s">
        <v>6</v>
      </c>
      <c r="H10" s="6" t="s">
        <v>64</v>
      </c>
      <c r="I10" s="6" t="s">
        <v>7</v>
      </c>
      <c r="J10" s="7" t="s">
        <v>6</v>
      </c>
      <c r="K10" s="7" t="s">
        <v>7</v>
      </c>
    </row>
    <row r="11" spans="1:11">
      <c r="A11" s="48"/>
      <c r="B11" s="49" t="s">
        <v>69</v>
      </c>
      <c r="C11" s="50">
        <v>1.16</v>
      </c>
      <c r="D11" s="50">
        <v>1.05</v>
      </c>
      <c r="E11" s="11">
        <v>0.78</v>
      </c>
      <c r="F11" s="12">
        <v>5375</v>
      </c>
      <c r="G11" s="13">
        <v>3935</v>
      </c>
      <c r="H11" s="12">
        <f>F11*0.85</f>
        <v>4568.75</v>
      </c>
      <c r="I11" s="12">
        <f>SUM(H11/5)</f>
        <v>913.75</v>
      </c>
      <c r="J11" s="13">
        <f>G11*0.85</f>
        <v>3344.75</v>
      </c>
      <c r="K11" s="13">
        <f>SUM(J11/5)</f>
        <v>668.95</v>
      </c>
    </row>
    <row r="12" customFormat="1" spans="1:11">
      <c r="A12" s="51"/>
      <c r="B12" s="49"/>
      <c r="C12" s="50"/>
      <c r="D12" s="50"/>
      <c r="E12" s="11"/>
      <c r="F12" s="12"/>
      <c r="G12" s="13"/>
      <c r="H12" s="12"/>
      <c r="I12" s="12"/>
      <c r="J12" s="13"/>
      <c r="K12" s="13"/>
    </row>
    <row r="13" customFormat="1" spans="1:11">
      <c r="A13" s="51"/>
      <c r="B13" s="49"/>
      <c r="C13" s="50"/>
      <c r="D13" s="50"/>
      <c r="E13" s="11"/>
      <c r="F13" s="12"/>
      <c r="G13" s="13"/>
      <c r="H13" s="12"/>
      <c r="I13" s="12"/>
      <c r="J13" s="13"/>
      <c r="K13" s="13"/>
    </row>
    <row r="14" spans="1:11">
      <c r="A14" s="51"/>
      <c r="B14" s="49"/>
      <c r="C14" s="50"/>
      <c r="D14" s="50"/>
      <c r="E14" s="11"/>
      <c r="F14" s="12"/>
      <c r="G14" s="13"/>
      <c r="H14" s="12"/>
      <c r="I14" s="12"/>
      <c r="J14" s="13"/>
      <c r="K14" s="13"/>
    </row>
    <row r="15" spans="1:11">
      <c r="A15" s="51"/>
      <c r="B15" s="49"/>
      <c r="C15" s="50"/>
      <c r="D15" s="50"/>
      <c r="E15" s="11"/>
      <c r="F15" s="12"/>
      <c r="G15" s="13"/>
      <c r="H15" s="12"/>
      <c r="I15" s="12"/>
      <c r="J15" s="13"/>
      <c r="K15" s="13"/>
    </row>
    <row r="16" spans="1:11">
      <c r="A16" s="51"/>
      <c r="B16" s="49"/>
      <c r="C16" s="50"/>
      <c r="D16" s="20" t="s">
        <v>70</v>
      </c>
      <c r="E16" s="42"/>
      <c r="F16" s="12"/>
      <c r="G16" s="13"/>
      <c r="H16" s="12"/>
      <c r="I16" s="12"/>
      <c r="J16" s="13"/>
      <c r="K16" s="13"/>
    </row>
    <row r="17" spans="1:11">
      <c r="A17" s="51"/>
      <c r="B17" s="49"/>
      <c r="C17" s="50"/>
      <c r="D17" s="22"/>
      <c r="E17" s="43"/>
      <c r="F17" s="12"/>
      <c r="G17" s="13"/>
      <c r="H17" s="12"/>
      <c r="I17" s="12"/>
      <c r="J17" s="13"/>
      <c r="K17" s="13"/>
    </row>
    <row r="18" ht="17.4" customHeight="1" spans="1:11">
      <c r="A18" s="51"/>
      <c r="B18" s="49" t="s">
        <v>71</v>
      </c>
      <c r="C18" s="50"/>
      <c r="D18" s="52"/>
      <c r="E18" s="52"/>
      <c r="F18" s="12"/>
      <c r="G18" s="13"/>
      <c r="H18" s="12"/>
      <c r="I18" s="12"/>
      <c r="J18" s="13"/>
      <c r="K18" s="13"/>
    </row>
    <row r="19" spans="1:11">
      <c r="A19" s="25" t="s">
        <v>72</v>
      </c>
      <c r="B19" s="49"/>
      <c r="C19" s="50"/>
      <c r="D19" s="50"/>
      <c r="E19" s="11"/>
      <c r="F19" s="12"/>
      <c r="G19" s="13"/>
      <c r="H19" s="12"/>
      <c r="I19" s="12"/>
      <c r="J19" s="13"/>
      <c r="K19" s="13"/>
    </row>
    <row r="20" spans="1:11">
      <c r="A20" s="37" t="s">
        <v>73</v>
      </c>
      <c r="B20" s="3" t="s">
        <v>1</v>
      </c>
      <c r="C20" s="4" t="s">
        <v>2</v>
      </c>
      <c r="D20" s="4" t="s">
        <v>3</v>
      </c>
      <c r="E20" s="5" t="s">
        <v>4</v>
      </c>
      <c r="F20" s="6" t="s">
        <v>38</v>
      </c>
      <c r="G20" s="7" t="s">
        <v>6</v>
      </c>
      <c r="H20" s="6" t="s">
        <v>38</v>
      </c>
      <c r="I20" s="6" t="s">
        <v>7</v>
      </c>
      <c r="J20" s="7" t="s">
        <v>6</v>
      </c>
      <c r="K20" s="7" t="s">
        <v>7</v>
      </c>
    </row>
    <row r="21" spans="1:11">
      <c r="A21" s="8"/>
      <c r="B21" s="53" t="s">
        <v>74</v>
      </c>
      <c r="C21" s="40">
        <v>0.94</v>
      </c>
      <c r="D21" s="40">
        <v>0.87</v>
      </c>
      <c r="E21" s="11">
        <v>0.81</v>
      </c>
      <c r="F21" s="12">
        <v>2943</v>
      </c>
      <c r="G21" s="13">
        <v>2600</v>
      </c>
      <c r="H21" s="12">
        <f>F21*0.85</f>
        <v>2501.55</v>
      </c>
      <c r="I21" s="12">
        <f>SUM(H21/5)</f>
        <v>500.31</v>
      </c>
      <c r="J21" s="13">
        <f>G21*0.85</f>
        <v>2210</v>
      </c>
      <c r="K21" s="13">
        <f>SUM(J21/5)</f>
        <v>442</v>
      </c>
    </row>
    <row r="22" customFormat="1" spans="1:11">
      <c r="A22" s="8"/>
      <c r="B22" s="53"/>
      <c r="C22" s="40"/>
      <c r="D22" s="40"/>
      <c r="E22" s="11"/>
      <c r="F22" s="12"/>
      <c r="G22" s="13"/>
      <c r="H22" s="12"/>
      <c r="I22" s="12"/>
      <c r="J22" s="13"/>
      <c r="K22" s="13"/>
    </row>
    <row r="23" customFormat="1" spans="1:11">
      <c r="A23" s="8"/>
      <c r="B23" s="53"/>
      <c r="C23" s="40"/>
      <c r="D23" s="40"/>
      <c r="E23" s="11"/>
      <c r="F23" s="12"/>
      <c r="G23" s="13"/>
      <c r="H23" s="12"/>
      <c r="I23" s="12"/>
      <c r="J23" s="13"/>
      <c r="K23" s="13"/>
    </row>
    <row r="24" customFormat="1" spans="1:11">
      <c r="A24" s="8"/>
      <c r="B24" s="53"/>
      <c r="C24" s="40"/>
      <c r="D24" s="40"/>
      <c r="E24" s="11"/>
      <c r="F24" s="12"/>
      <c r="G24" s="13"/>
      <c r="H24" s="12"/>
      <c r="I24" s="12"/>
      <c r="J24" s="13"/>
      <c r="K24" s="13"/>
    </row>
    <row r="25" customFormat="1" spans="1:11">
      <c r="A25" s="8"/>
      <c r="B25" s="53"/>
      <c r="C25" s="40"/>
      <c r="D25" s="40"/>
      <c r="E25" s="11"/>
      <c r="F25" s="12"/>
      <c r="G25" s="13"/>
      <c r="H25" s="12"/>
      <c r="I25" s="12"/>
      <c r="J25" s="13"/>
      <c r="K25" s="13"/>
    </row>
    <row r="26" spans="1:11">
      <c r="A26" s="8"/>
      <c r="B26" s="53"/>
      <c r="C26" s="40"/>
      <c r="D26" s="40"/>
      <c r="E26" s="11"/>
      <c r="F26" s="12"/>
      <c r="G26" s="13"/>
      <c r="H26" s="12"/>
      <c r="I26" s="12"/>
      <c r="J26" s="13"/>
      <c r="K26" s="13"/>
    </row>
    <row r="27" spans="1:11">
      <c r="A27" s="8"/>
      <c r="B27" s="53"/>
      <c r="C27" s="40"/>
      <c r="D27" s="40"/>
      <c r="E27" s="11"/>
      <c r="F27" s="12"/>
      <c r="G27" s="13"/>
      <c r="H27" s="12"/>
      <c r="I27" s="12"/>
      <c r="J27" s="13"/>
      <c r="K27" s="13"/>
    </row>
    <row r="28" ht="14.4" customHeight="1" spans="1:11">
      <c r="A28" s="8"/>
      <c r="B28" s="14"/>
      <c r="C28" s="15"/>
      <c r="D28" s="20" t="s">
        <v>75</v>
      </c>
      <c r="E28" s="42"/>
      <c r="F28" s="12" t="s">
        <v>30</v>
      </c>
      <c r="G28" s="13" t="s">
        <v>30</v>
      </c>
      <c r="H28" s="12" t="s">
        <v>30</v>
      </c>
      <c r="I28" s="12" t="s">
        <v>30</v>
      </c>
      <c r="J28" s="13" t="s">
        <v>30</v>
      </c>
      <c r="K28" s="13" t="s">
        <v>30</v>
      </c>
    </row>
    <row r="29" ht="14.4" customHeight="1" spans="1:11">
      <c r="A29" s="23" t="s">
        <v>28</v>
      </c>
      <c r="B29" s="35" t="s">
        <v>76</v>
      </c>
      <c r="C29" s="15"/>
      <c r="D29" s="22"/>
      <c r="E29" s="43"/>
      <c r="F29" s="12" t="s">
        <v>30</v>
      </c>
      <c r="G29" s="13" t="s">
        <v>30</v>
      </c>
      <c r="H29" s="12" t="s">
        <v>30</v>
      </c>
      <c r="I29" s="12" t="s">
        <v>30</v>
      </c>
      <c r="J29" s="13" t="s">
        <v>30</v>
      </c>
      <c r="K29" s="13" t="s">
        <v>30</v>
      </c>
    </row>
    <row r="30" spans="1:11">
      <c r="A30" s="25"/>
      <c r="B30" s="14"/>
      <c r="C30" s="15"/>
      <c r="D30" s="15"/>
      <c r="E30" s="54" t="s">
        <v>30</v>
      </c>
      <c r="F30" s="12" t="s">
        <v>30</v>
      </c>
      <c r="G30" s="13" t="s">
        <v>30</v>
      </c>
      <c r="H30" s="12" t="s">
        <v>30</v>
      </c>
      <c r="I30" s="12" t="s">
        <v>30</v>
      </c>
      <c r="J30" s="13" t="s">
        <v>30</v>
      </c>
      <c r="K30" s="13" t="s">
        <v>30</v>
      </c>
    </row>
    <row r="31" spans="1:11">
      <c r="A31" s="55" t="s">
        <v>77</v>
      </c>
      <c r="B31" s="3" t="s">
        <v>1</v>
      </c>
      <c r="C31" s="4" t="s">
        <v>2</v>
      </c>
      <c r="D31" s="4" t="s">
        <v>3</v>
      </c>
      <c r="E31" s="5" t="s">
        <v>4</v>
      </c>
      <c r="F31" s="56" t="s">
        <v>78</v>
      </c>
      <c r="G31" s="7" t="s">
        <v>6</v>
      </c>
      <c r="H31" s="56" t="s">
        <v>78</v>
      </c>
      <c r="I31" s="56" t="s">
        <v>7</v>
      </c>
      <c r="J31" s="7" t="s">
        <v>6</v>
      </c>
      <c r="K31" s="7" t="s">
        <v>7</v>
      </c>
    </row>
    <row r="32" spans="1:11">
      <c r="A32" s="8"/>
      <c r="B32" s="14" t="s">
        <v>65</v>
      </c>
      <c r="C32" s="15"/>
      <c r="D32" s="15">
        <v>0.9</v>
      </c>
      <c r="E32" s="11">
        <v>0.75</v>
      </c>
      <c r="F32" s="12">
        <v>5711</v>
      </c>
      <c r="G32" s="13">
        <v>3988</v>
      </c>
      <c r="H32" s="12">
        <f>F32*0.85</f>
        <v>4854.35</v>
      </c>
      <c r="I32" s="12">
        <f>SUM(H32/5)</f>
        <v>970.87</v>
      </c>
      <c r="J32" s="13">
        <f>G32*0.85</f>
        <v>3389.8</v>
      </c>
      <c r="K32" s="13">
        <f>SUM(J32/5)</f>
        <v>677.96</v>
      </c>
    </row>
    <row r="33" spans="1:11">
      <c r="A33" s="8"/>
      <c r="B33" s="14"/>
      <c r="C33" s="15"/>
      <c r="D33" s="15"/>
      <c r="E33" s="11"/>
      <c r="F33" s="12"/>
      <c r="G33" s="13"/>
      <c r="H33" s="12"/>
      <c r="I33" s="12"/>
      <c r="J33" s="13"/>
      <c r="K33" s="13"/>
    </row>
    <row r="34" spans="1:11">
      <c r="A34" s="8"/>
      <c r="B34" s="14"/>
      <c r="C34" s="15"/>
      <c r="D34" s="15"/>
      <c r="E34" s="11"/>
      <c r="F34" s="12"/>
      <c r="G34" s="13"/>
      <c r="H34" s="12"/>
      <c r="I34" s="12"/>
      <c r="J34" s="13"/>
      <c r="K34" s="13"/>
    </row>
    <row r="35" spans="1:11">
      <c r="A35" s="8"/>
      <c r="B35" s="14"/>
      <c r="C35" s="15"/>
      <c r="D35" s="15"/>
      <c r="E35" s="11"/>
      <c r="F35" s="12"/>
      <c r="G35" s="13"/>
      <c r="H35" s="12"/>
      <c r="I35" s="12"/>
      <c r="J35" s="13"/>
      <c r="K35" s="13"/>
    </row>
    <row r="36" spans="1:11">
      <c r="A36" s="8"/>
      <c r="B36" s="14"/>
      <c r="C36" s="15"/>
      <c r="D36" s="15"/>
      <c r="E36" s="11"/>
      <c r="F36" s="16"/>
      <c r="G36" s="57"/>
      <c r="H36" s="16"/>
      <c r="I36" s="16"/>
      <c r="J36" s="57"/>
      <c r="K36" s="57"/>
    </row>
    <row r="37" spans="1:11">
      <c r="A37" s="8"/>
      <c r="B37" s="14"/>
      <c r="C37" s="15"/>
      <c r="D37" s="20" t="s">
        <v>79</v>
      </c>
      <c r="E37" s="42"/>
      <c r="F37" s="12" t="s">
        <v>30</v>
      </c>
      <c r="G37" s="13" t="s">
        <v>30</v>
      </c>
      <c r="H37" s="12" t="s">
        <v>30</v>
      </c>
      <c r="I37" s="12" t="s">
        <v>30</v>
      </c>
      <c r="J37" s="13" t="s">
        <v>30</v>
      </c>
      <c r="K37" s="13" t="s">
        <v>30</v>
      </c>
    </row>
    <row r="38" spans="1:11">
      <c r="A38" s="23" t="s">
        <v>28</v>
      </c>
      <c r="B38" s="14" t="s">
        <v>80</v>
      </c>
      <c r="C38" s="15"/>
      <c r="D38" s="22"/>
      <c r="E38" s="43"/>
      <c r="F38" s="12" t="s">
        <v>30</v>
      </c>
      <c r="G38" s="13" t="s">
        <v>30</v>
      </c>
      <c r="H38" s="12" t="s">
        <v>30</v>
      </c>
      <c r="I38" s="12" t="s">
        <v>30</v>
      </c>
      <c r="J38" s="13" t="s">
        <v>30</v>
      </c>
      <c r="K38" s="13" t="s">
        <v>30</v>
      </c>
    </row>
    <row r="39" spans="1:11">
      <c r="A39" s="25" t="s">
        <v>81</v>
      </c>
      <c r="B39" s="14"/>
      <c r="C39" s="15"/>
      <c r="D39" s="15"/>
      <c r="E39" s="11" t="s">
        <v>30</v>
      </c>
      <c r="F39" s="12" t="s">
        <v>30</v>
      </c>
      <c r="G39" s="13" t="s">
        <v>30</v>
      </c>
      <c r="H39" s="12" t="s">
        <v>30</v>
      </c>
      <c r="I39" s="12" t="s">
        <v>30</v>
      </c>
      <c r="J39" s="13" t="s">
        <v>30</v>
      </c>
      <c r="K39" s="13" t="s">
        <v>30</v>
      </c>
    </row>
    <row r="40" spans="1:11">
      <c r="A40" s="37" t="s">
        <v>82</v>
      </c>
      <c r="B40" s="3" t="s">
        <v>1</v>
      </c>
      <c r="C40" s="4" t="s">
        <v>2</v>
      </c>
      <c r="D40" s="4" t="s">
        <v>3</v>
      </c>
      <c r="E40" s="5" t="s">
        <v>4</v>
      </c>
      <c r="F40" s="6" t="s">
        <v>21</v>
      </c>
      <c r="G40" s="7" t="s">
        <v>6</v>
      </c>
      <c r="H40" s="6" t="s">
        <v>21</v>
      </c>
      <c r="I40" s="6" t="s">
        <v>7</v>
      </c>
      <c r="J40" s="7" t="s">
        <v>6</v>
      </c>
      <c r="K40" s="7" t="s">
        <v>7</v>
      </c>
    </row>
    <row r="41" spans="1:11">
      <c r="A41" s="58"/>
      <c r="B41" s="14" t="s">
        <v>69</v>
      </c>
      <c r="C41" s="15">
        <v>1.14</v>
      </c>
      <c r="D41" s="15">
        <v>1.02</v>
      </c>
      <c r="E41" s="11">
        <v>0.8</v>
      </c>
      <c r="F41" s="12">
        <v>5329</v>
      </c>
      <c r="G41" s="13">
        <v>5267</v>
      </c>
      <c r="H41" s="12">
        <f>F41*0.85</f>
        <v>4529.65</v>
      </c>
      <c r="I41" s="12">
        <f>SUM(H41/5)</f>
        <v>905.93</v>
      </c>
      <c r="J41" s="13">
        <f>G41*0.85</f>
        <v>4476.95</v>
      </c>
      <c r="K41" s="13">
        <f>SUM(J41/5)</f>
        <v>895.39</v>
      </c>
    </row>
    <row r="42" spans="1:11">
      <c r="A42" s="59"/>
      <c r="B42" s="14"/>
      <c r="C42" s="15"/>
      <c r="D42" s="15"/>
      <c r="E42" s="11"/>
      <c r="F42" s="12"/>
      <c r="G42" s="13"/>
      <c r="H42" s="12"/>
      <c r="I42" s="12"/>
      <c r="J42" s="13"/>
      <c r="K42" s="13"/>
    </row>
    <row r="43" spans="1:11">
      <c r="A43" s="59"/>
      <c r="B43" s="14"/>
      <c r="C43" s="15"/>
      <c r="D43" s="15"/>
      <c r="E43" s="11"/>
      <c r="F43" s="12"/>
      <c r="G43" s="13"/>
      <c r="H43" s="12"/>
      <c r="I43" s="12"/>
      <c r="J43" s="13"/>
      <c r="K43" s="13"/>
    </row>
    <row r="44" spans="1:11">
      <c r="A44" s="59"/>
      <c r="B44" s="14"/>
      <c r="C44" s="15"/>
      <c r="D44" s="15"/>
      <c r="E44" s="11"/>
      <c r="F44" s="12"/>
      <c r="G44" s="13"/>
      <c r="H44" s="12"/>
      <c r="I44" s="12"/>
      <c r="J44" s="13"/>
      <c r="K44" s="13"/>
    </row>
    <row r="45" ht="14.4" customHeight="1" spans="1:11">
      <c r="A45" s="59"/>
      <c r="B45" s="14"/>
      <c r="C45" s="15"/>
      <c r="D45" s="15"/>
      <c r="E45" s="60"/>
      <c r="F45" s="12" t="s">
        <v>30</v>
      </c>
      <c r="G45" s="13" t="s">
        <v>30</v>
      </c>
      <c r="H45" s="12" t="s">
        <v>30</v>
      </c>
      <c r="I45" s="12" t="s">
        <v>30</v>
      </c>
      <c r="J45" s="13" t="s">
        <v>30</v>
      </c>
      <c r="K45" s="13" t="s">
        <v>30</v>
      </c>
    </row>
    <row r="46" ht="14.4" customHeight="1" spans="1:11">
      <c r="A46" s="61"/>
      <c r="B46" s="24"/>
      <c r="C46" s="19"/>
      <c r="D46" s="20" t="s">
        <v>83</v>
      </c>
      <c r="E46" s="42"/>
      <c r="F46" s="12" t="s">
        <v>30</v>
      </c>
      <c r="G46" s="13" t="s">
        <v>30</v>
      </c>
      <c r="H46" s="12" t="s">
        <v>30</v>
      </c>
      <c r="I46" s="12" t="s">
        <v>30</v>
      </c>
      <c r="J46" s="13" t="s">
        <v>30</v>
      </c>
      <c r="K46" s="13" t="s">
        <v>30</v>
      </c>
    </row>
    <row r="47" ht="18" customHeight="1" spans="1:11">
      <c r="A47" s="61"/>
      <c r="B47" s="24"/>
      <c r="C47" s="19"/>
      <c r="D47" s="22"/>
      <c r="E47" s="43"/>
      <c r="F47" s="12"/>
      <c r="G47" s="13"/>
      <c r="H47" s="12"/>
      <c r="I47" s="12"/>
      <c r="J47" s="13"/>
      <c r="K47" s="13"/>
    </row>
    <row r="48" spans="1:11">
      <c r="A48" s="23" t="s">
        <v>28</v>
      </c>
      <c r="B48" s="14" t="s">
        <v>71</v>
      </c>
      <c r="C48" s="15"/>
      <c r="D48" s="15"/>
      <c r="E48" s="11" t="s">
        <v>30</v>
      </c>
      <c r="F48" s="12" t="s">
        <v>30</v>
      </c>
      <c r="G48" s="13" t="s">
        <v>30</v>
      </c>
      <c r="H48" s="12" t="s">
        <v>30</v>
      </c>
      <c r="I48" s="12" t="s">
        <v>30</v>
      </c>
      <c r="J48" s="13" t="s">
        <v>30</v>
      </c>
      <c r="K48" s="13" t="s">
        <v>30</v>
      </c>
    </row>
    <row r="49" spans="1:11">
      <c r="A49" s="25"/>
      <c r="B49" s="24"/>
      <c r="C49" s="15"/>
      <c r="D49" s="15"/>
      <c r="E49" s="11" t="s">
        <v>30</v>
      </c>
      <c r="F49" s="26" t="s">
        <v>30</v>
      </c>
      <c r="G49" s="27" t="s">
        <v>30</v>
      </c>
      <c r="H49" s="26" t="s">
        <v>30</v>
      </c>
      <c r="I49" s="26" t="s">
        <v>30</v>
      </c>
      <c r="J49" s="27" t="s">
        <v>30</v>
      </c>
      <c r="K49" s="27" t="s">
        <v>30</v>
      </c>
    </row>
    <row r="50" spans="1:11">
      <c r="A50" s="37" t="s">
        <v>84</v>
      </c>
      <c r="B50" s="3" t="s">
        <v>1</v>
      </c>
      <c r="C50" s="4" t="s">
        <v>2</v>
      </c>
      <c r="D50" s="4" t="s">
        <v>3</v>
      </c>
      <c r="E50" s="5" t="s">
        <v>4</v>
      </c>
      <c r="F50" s="6" t="s">
        <v>85</v>
      </c>
      <c r="G50" s="7" t="s">
        <v>6</v>
      </c>
      <c r="H50" s="6" t="s">
        <v>85</v>
      </c>
      <c r="I50" s="6" t="s">
        <v>7</v>
      </c>
      <c r="J50" s="7" t="s">
        <v>6</v>
      </c>
      <c r="K50" s="7" t="s">
        <v>7</v>
      </c>
    </row>
    <row r="51" spans="1:11">
      <c r="A51" s="58"/>
      <c r="B51" s="14" t="s">
        <v>69</v>
      </c>
      <c r="C51" s="15">
        <v>0.84</v>
      </c>
      <c r="D51" s="15">
        <v>0.93</v>
      </c>
      <c r="E51" s="11">
        <v>0.82</v>
      </c>
      <c r="F51" s="12">
        <v>4464</v>
      </c>
      <c r="G51" s="13">
        <v>3517</v>
      </c>
      <c r="H51" s="12">
        <f>F51*0.85</f>
        <v>3794.4</v>
      </c>
      <c r="I51" s="12">
        <f>SUM(H51/5)</f>
        <v>758.88</v>
      </c>
      <c r="J51" s="13">
        <f>G51*0.85</f>
        <v>2989.45</v>
      </c>
      <c r="K51" s="13">
        <f>SUM(J51/5)</f>
        <v>597.89</v>
      </c>
    </row>
    <row r="52" spans="1:11">
      <c r="A52" s="59"/>
      <c r="B52" s="14"/>
      <c r="C52" s="15"/>
      <c r="D52" s="15"/>
      <c r="E52" s="11"/>
      <c r="F52" s="12"/>
      <c r="G52" s="13"/>
      <c r="H52" s="12"/>
      <c r="I52" s="12"/>
      <c r="J52" s="13"/>
      <c r="K52" s="13"/>
    </row>
    <row r="53" spans="1:11">
      <c r="A53" s="59"/>
      <c r="B53" s="14"/>
      <c r="C53" s="15"/>
      <c r="D53" s="15"/>
      <c r="E53" s="11"/>
      <c r="F53" s="12"/>
      <c r="G53" s="13"/>
      <c r="H53" s="12"/>
      <c r="I53" s="12"/>
      <c r="J53" s="13"/>
      <c r="K53" s="13"/>
    </row>
    <row r="54" spans="1:11">
      <c r="A54" s="59"/>
      <c r="B54" s="14"/>
      <c r="C54" s="15"/>
      <c r="D54" s="15"/>
      <c r="E54" s="11"/>
      <c r="F54" s="12"/>
      <c r="G54" s="13"/>
      <c r="H54" s="12"/>
      <c r="I54" s="12"/>
      <c r="J54" s="13"/>
      <c r="K54" s="13"/>
    </row>
    <row r="55" spans="1:11">
      <c r="A55" s="59"/>
      <c r="B55" s="14"/>
      <c r="C55" s="15"/>
      <c r="D55" s="15"/>
      <c r="E55" s="60"/>
      <c r="F55" s="12" t="s">
        <v>30</v>
      </c>
      <c r="G55" s="13" t="s">
        <v>30</v>
      </c>
      <c r="H55" s="12" t="s">
        <v>30</v>
      </c>
      <c r="I55" s="12" t="s">
        <v>30</v>
      </c>
      <c r="J55" s="13" t="s">
        <v>30</v>
      </c>
      <c r="K55" s="13" t="s">
        <v>30</v>
      </c>
    </row>
    <row r="56" spans="1:11">
      <c r="A56" s="61"/>
      <c r="B56" s="24"/>
      <c r="C56" s="19"/>
      <c r="D56" s="20" t="s">
        <v>86</v>
      </c>
      <c r="E56" s="42"/>
      <c r="F56" s="12" t="s">
        <v>30</v>
      </c>
      <c r="G56" s="13" t="s">
        <v>30</v>
      </c>
      <c r="H56" s="12" t="s">
        <v>30</v>
      </c>
      <c r="I56" s="12" t="s">
        <v>30</v>
      </c>
      <c r="J56" s="13" t="s">
        <v>30</v>
      </c>
      <c r="K56" s="13" t="s">
        <v>30</v>
      </c>
    </row>
    <row r="57" spans="1:11">
      <c r="A57" s="61"/>
      <c r="B57" s="24"/>
      <c r="C57" s="19"/>
      <c r="D57" s="22"/>
      <c r="E57" s="43"/>
      <c r="F57" s="12"/>
      <c r="G57" s="13"/>
      <c r="H57" s="12"/>
      <c r="I57" s="12"/>
      <c r="J57" s="13"/>
      <c r="K57" s="13"/>
    </row>
    <row r="58" spans="1:11">
      <c r="A58" s="23" t="s">
        <v>28</v>
      </c>
      <c r="B58" s="14" t="s">
        <v>87</v>
      </c>
      <c r="C58" s="15"/>
      <c r="D58" s="15"/>
      <c r="E58" s="11" t="s">
        <v>30</v>
      </c>
      <c r="F58" s="12" t="s">
        <v>30</v>
      </c>
      <c r="G58" s="13" t="s">
        <v>30</v>
      </c>
      <c r="H58" s="12" t="s">
        <v>30</v>
      </c>
      <c r="I58" s="12" t="s">
        <v>30</v>
      </c>
      <c r="J58" s="13" t="s">
        <v>30</v>
      </c>
      <c r="K58" s="13" t="s">
        <v>30</v>
      </c>
    </row>
    <row r="59" spans="1:11">
      <c r="A59" s="25" t="s">
        <v>72</v>
      </c>
      <c r="B59" s="24"/>
      <c r="C59" s="15"/>
      <c r="D59" s="15"/>
      <c r="E59" s="11" t="s">
        <v>30</v>
      </c>
      <c r="F59" s="26" t="s">
        <v>30</v>
      </c>
      <c r="G59" s="27" t="s">
        <v>30</v>
      </c>
      <c r="H59" s="26" t="s">
        <v>30</v>
      </c>
      <c r="I59" s="26" t="s">
        <v>30</v>
      </c>
      <c r="J59" s="27" t="s">
        <v>30</v>
      </c>
      <c r="K59" s="27" t="s">
        <v>30</v>
      </c>
    </row>
  </sheetData>
  <mergeCells count="6">
    <mergeCell ref="D56:E57"/>
    <mergeCell ref="D16:E17"/>
    <mergeCell ref="D6:E7"/>
    <mergeCell ref="D28:E29"/>
    <mergeCell ref="D37:E38"/>
    <mergeCell ref="D46:E47"/>
  </mergeCells>
  <hyperlinks>
    <hyperlink ref="A9" r:id="rId2" display="JOÃO V. DEMELE"/>
    <hyperlink ref="A32" r:id="rId3"/>
  </hyperlinks>
  <pageMargins left="0.511811024" right="0.511811024" top="0.787401575" bottom="0.787401575" header="0.31496062" footer="0.31496062"/>
  <pageSetup paperSize="9" scale="65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abSelected="1" workbookViewId="0">
      <selection activeCell="I2" sqref="I2"/>
    </sheetView>
  </sheetViews>
  <sheetFormatPr defaultColWidth="9" defaultRowHeight="15.75"/>
  <cols>
    <col min="1" max="1" width="30.7809523809524" customWidth="1"/>
    <col min="2" max="2" width="24.1047619047619" style="1" customWidth="1"/>
    <col min="3" max="3" width="8.88571428571429" style="1"/>
    <col min="4" max="4" width="10.8857142857143" style="1" customWidth="1"/>
    <col min="5" max="5" width="12.4380952380952" style="1" customWidth="1"/>
    <col min="6" max="6" width="10.6666666666667" style="1" hidden="1" customWidth="1"/>
    <col min="7" max="7" width="16.552380952381" hidden="1" customWidth="1"/>
    <col min="8" max="8" width="16.3333333333333" hidden="1" customWidth="1"/>
    <col min="9" max="10" width="10.6666666666667" style="1" customWidth="1"/>
    <col min="11" max="12" width="16.552380952381" customWidth="1"/>
    <col min="13" max="13" width="16.3333333333333" customWidth="1"/>
    <col min="14" max="14" width="18.2857142857143" customWidth="1"/>
  </cols>
  <sheetData>
    <row r="1" ht="13.8" customHeight="1" spans="1:12">
      <c r="A1" s="2" t="s">
        <v>88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38</v>
      </c>
      <c r="G1" s="7" t="s">
        <v>6</v>
      </c>
      <c r="I1" s="6" t="s">
        <v>38</v>
      </c>
      <c r="J1" s="6" t="s">
        <v>7</v>
      </c>
      <c r="K1" s="7" t="s">
        <v>6</v>
      </c>
      <c r="L1" s="7" t="s">
        <v>7</v>
      </c>
    </row>
    <row r="2" spans="1:12">
      <c r="A2" s="8"/>
      <c r="B2" s="9" t="s">
        <v>89</v>
      </c>
      <c r="C2" s="10">
        <v>1.9</v>
      </c>
      <c r="D2" s="10">
        <v>0.6</v>
      </c>
      <c r="E2" s="11">
        <v>0.46</v>
      </c>
      <c r="F2" s="12">
        <v>3725</v>
      </c>
      <c r="G2" s="13">
        <v>3448</v>
      </c>
      <c r="I2" s="12">
        <f>F2*0.85</f>
        <v>3166.25</v>
      </c>
      <c r="J2" s="12">
        <f>SUM(I2/5)</f>
        <v>633.25</v>
      </c>
      <c r="K2" s="13">
        <f>G2*0.85</f>
        <v>2930.8</v>
      </c>
      <c r="L2" s="13">
        <f>SUM(K2/5)</f>
        <v>586.16</v>
      </c>
    </row>
    <row r="3" spans="1:12">
      <c r="A3" s="8"/>
      <c r="B3" s="14"/>
      <c r="C3" s="15"/>
      <c r="D3" s="15"/>
      <c r="E3" s="11"/>
      <c r="F3" s="16"/>
      <c r="G3" s="17"/>
      <c r="I3" s="16"/>
      <c r="J3" s="16"/>
      <c r="K3" s="17"/>
      <c r="L3" s="17"/>
    </row>
    <row r="4" spans="1:12">
      <c r="A4" s="8"/>
      <c r="B4" s="14"/>
      <c r="C4" s="15"/>
      <c r="D4" s="15"/>
      <c r="E4" s="11"/>
      <c r="F4" s="16" t="s">
        <v>30</v>
      </c>
      <c r="G4" s="17"/>
      <c r="I4" s="16" t="s">
        <v>30</v>
      </c>
      <c r="J4" s="16" t="s">
        <v>30</v>
      </c>
      <c r="K4" s="17"/>
      <c r="L4" s="17"/>
    </row>
    <row r="5" spans="1:12">
      <c r="A5" s="8"/>
      <c r="B5" s="14"/>
      <c r="C5" s="15"/>
      <c r="D5" s="15"/>
      <c r="E5" s="11"/>
      <c r="F5" s="16" t="s">
        <v>30</v>
      </c>
      <c r="G5" s="17"/>
      <c r="I5" s="16" t="s">
        <v>30</v>
      </c>
      <c r="J5" s="16" t="s">
        <v>30</v>
      </c>
      <c r="K5" s="17"/>
      <c r="L5" s="17"/>
    </row>
    <row r="6" ht="14.4" customHeight="1" spans="1:12">
      <c r="A6" s="8"/>
      <c r="B6" s="18"/>
      <c r="C6" s="19"/>
      <c r="D6" s="19"/>
      <c r="E6" s="20" t="s">
        <v>90</v>
      </c>
      <c r="F6" s="12" t="s">
        <v>30</v>
      </c>
      <c r="G6" s="17"/>
      <c r="I6" s="12" t="s">
        <v>30</v>
      </c>
      <c r="J6" s="12" t="s">
        <v>30</v>
      </c>
      <c r="K6" s="17"/>
      <c r="L6" s="17"/>
    </row>
    <row r="7" ht="14.4" customHeight="1" spans="1:12">
      <c r="A7" s="21"/>
      <c r="B7" s="14" t="s">
        <v>91</v>
      </c>
      <c r="C7" s="19"/>
      <c r="D7" s="19"/>
      <c r="E7" s="22"/>
      <c r="F7" s="12" t="s">
        <v>30</v>
      </c>
      <c r="G7" s="17"/>
      <c r="I7" s="12" t="s">
        <v>30</v>
      </c>
      <c r="J7" s="12" t="s">
        <v>30</v>
      </c>
      <c r="K7" s="17"/>
      <c r="L7" s="17"/>
    </row>
    <row r="8" spans="1:12">
      <c r="A8" s="23" t="s">
        <v>28</v>
      </c>
      <c r="B8" s="24"/>
      <c r="C8" s="15"/>
      <c r="D8" s="15"/>
      <c r="E8" s="11" t="s">
        <v>30</v>
      </c>
      <c r="F8" s="12" t="s">
        <v>30</v>
      </c>
      <c r="G8" s="17"/>
      <c r="I8" s="12" t="s">
        <v>30</v>
      </c>
      <c r="J8" s="12" t="s">
        <v>30</v>
      </c>
      <c r="K8" s="17"/>
      <c r="L8" s="17"/>
    </row>
    <row r="9" spans="1:12">
      <c r="A9" s="25" t="s">
        <v>42</v>
      </c>
      <c r="B9" s="14"/>
      <c r="C9" s="15"/>
      <c r="D9" s="15"/>
      <c r="E9" s="11" t="s">
        <v>30</v>
      </c>
      <c r="F9" s="12" t="s">
        <v>30</v>
      </c>
      <c r="G9" s="17"/>
      <c r="I9" s="12" t="s">
        <v>30</v>
      </c>
      <c r="J9" s="12" t="s">
        <v>30</v>
      </c>
      <c r="K9" s="17"/>
      <c r="L9" s="17"/>
    </row>
    <row r="10" spans="1:12">
      <c r="A10" s="2" t="s">
        <v>92</v>
      </c>
      <c r="B10" s="3" t="s">
        <v>1</v>
      </c>
      <c r="C10" s="4" t="s">
        <v>2</v>
      </c>
      <c r="D10" s="4" t="s">
        <v>3</v>
      </c>
      <c r="E10" s="5" t="s">
        <v>4</v>
      </c>
      <c r="F10" s="6" t="s">
        <v>5</v>
      </c>
      <c r="G10" s="7" t="s">
        <v>6</v>
      </c>
      <c r="I10" s="6" t="s">
        <v>5</v>
      </c>
      <c r="J10" s="6" t="s">
        <v>7</v>
      </c>
      <c r="K10" s="7" t="s">
        <v>6</v>
      </c>
      <c r="L10" s="7" t="s">
        <v>7</v>
      </c>
    </row>
    <row r="11" spans="1:12">
      <c r="A11" s="8"/>
      <c r="B11" s="9" t="s">
        <v>93</v>
      </c>
      <c r="C11" s="10">
        <v>2.8</v>
      </c>
      <c r="D11" s="10">
        <v>2.18</v>
      </c>
      <c r="E11" s="11">
        <v>1.05</v>
      </c>
      <c r="F11" s="26">
        <v>8991</v>
      </c>
      <c r="G11" s="27">
        <v>7614</v>
      </c>
      <c r="I11" s="26">
        <f>F11*0.85</f>
        <v>7642.35</v>
      </c>
      <c r="J11" s="26">
        <f>SUM(I11/5)</f>
        <v>1528.47</v>
      </c>
      <c r="K11" s="27">
        <f>G11*0.85</f>
        <v>6471.9</v>
      </c>
      <c r="L11" s="27">
        <f>SUM(K11/5)</f>
        <v>1294.38</v>
      </c>
    </row>
    <row r="12" spans="1:12">
      <c r="A12" s="8"/>
      <c r="B12" s="14" t="s">
        <v>94</v>
      </c>
      <c r="C12" s="15"/>
      <c r="D12" s="15"/>
      <c r="E12" s="11"/>
      <c r="F12" s="28">
        <v>384</v>
      </c>
      <c r="G12" s="29">
        <v>384</v>
      </c>
      <c r="I12" s="28">
        <v>384</v>
      </c>
      <c r="J12" s="28">
        <f>SUM(I12/5)</f>
        <v>76.8</v>
      </c>
      <c r="K12" s="29">
        <v>384</v>
      </c>
      <c r="L12" s="29">
        <f>SUM(K12/5)</f>
        <v>76.8</v>
      </c>
    </row>
    <row r="13" spans="1:12">
      <c r="A13" s="8"/>
      <c r="B13" s="14" t="s">
        <v>94</v>
      </c>
      <c r="C13" s="15"/>
      <c r="D13" s="15"/>
      <c r="E13" s="11"/>
      <c r="F13" s="28">
        <v>384</v>
      </c>
      <c r="G13" s="29">
        <v>384</v>
      </c>
      <c r="I13" s="28">
        <v>384</v>
      </c>
      <c r="J13" s="28">
        <f>SUM(I13/5)</f>
        <v>76.8</v>
      </c>
      <c r="K13" s="29">
        <v>384</v>
      </c>
      <c r="L13" s="29">
        <f>SUM(K13/5)</f>
        <v>76.8</v>
      </c>
    </row>
    <row r="14" spans="1:12">
      <c r="A14" s="8"/>
      <c r="B14" s="30" t="s">
        <v>95</v>
      </c>
      <c r="C14" s="31"/>
      <c r="D14" s="31"/>
      <c r="E14" s="32"/>
      <c r="F14" s="33"/>
      <c r="G14" s="29"/>
      <c r="I14" s="33"/>
      <c r="J14" s="33"/>
      <c r="K14" s="29"/>
      <c r="L14" s="29"/>
    </row>
    <row r="15" ht="14.4" customHeight="1" spans="1:12">
      <c r="A15" s="8"/>
      <c r="B15" s="18"/>
      <c r="C15" s="19"/>
      <c r="D15" s="19"/>
      <c r="E15" s="20" t="s">
        <v>96</v>
      </c>
      <c r="F15" s="26" t="s">
        <v>30</v>
      </c>
      <c r="G15" s="34"/>
      <c r="I15" s="26" t="s">
        <v>30</v>
      </c>
      <c r="J15" s="26" t="s">
        <v>30</v>
      </c>
      <c r="K15" s="34"/>
      <c r="L15" s="34"/>
    </row>
    <row r="16" ht="14.4" customHeight="1" spans="1:12">
      <c r="A16" s="21"/>
      <c r="B16" s="14"/>
      <c r="C16" s="19"/>
      <c r="D16" s="19"/>
      <c r="E16" s="22"/>
      <c r="F16" s="26" t="s">
        <v>30</v>
      </c>
      <c r="G16" s="34"/>
      <c r="I16" s="26" t="s">
        <v>30</v>
      </c>
      <c r="J16" s="26" t="s">
        <v>30</v>
      </c>
      <c r="K16" s="34"/>
      <c r="L16" s="34"/>
    </row>
    <row r="17" spans="1:14">
      <c r="A17" s="23" t="s">
        <v>28</v>
      </c>
      <c r="B17" s="35" t="s">
        <v>91</v>
      </c>
      <c r="C17" s="15"/>
      <c r="D17" s="15"/>
      <c r="E17" s="11" t="s">
        <v>30</v>
      </c>
      <c r="F17" s="26" t="s">
        <v>30</v>
      </c>
      <c r="G17" s="34"/>
      <c r="I17" s="26" t="s">
        <v>30</v>
      </c>
      <c r="J17" s="26" t="s">
        <v>30</v>
      </c>
      <c r="K17" s="34"/>
      <c r="L17" s="34"/>
    </row>
    <row r="18" spans="1:14">
      <c r="A18" s="25"/>
      <c r="B18" s="14"/>
      <c r="C18" s="15"/>
      <c r="D18" s="15"/>
      <c r="E18" s="11" t="s">
        <v>30</v>
      </c>
      <c r="F18" s="26">
        <f t="shared" ref="F18:J18" si="0">SUM(F11:F17)</f>
        <v>9759</v>
      </c>
      <c r="G18" s="36">
        <f t="shared" si="0"/>
        <v>8382</v>
      </c>
      <c r="I18" s="26">
        <f t="shared" si="0"/>
        <v>8410.35</v>
      </c>
      <c r="J18" s="26">
        <f t="shared" si="0"/>
        <v>1682.07</v>
      </c>
      <c r="K18" s="36">
        <f>SUM(K11:K17)</f>
        <v>7239.9</v>
      </c>
      <c r="L18" s="36">
        <f>SUM(L11:L17)</f>
        <v>1447.98</v>
      </c>
    </row>
    <row r="19" spans="1:14">
      <c r="A19" s="37" t="s">
        <v>97</v>
      </c>
      <c r="B19" s="3" t="s">
        <v>1</v>
      </c>
      <c r="C19" s="4" t="s">
        <v>2</v>
      </c>
      <c r="D19" s="4" t="s">
        <v>3</v>
      </c>
      <c r="E19" s="5" t="s">
        <v>4</v>
      </c>
      <c r="F19" s="38" t="s">
        <v>5</v>
      </c>
      <c r="G19" s="38" t="s">
        <v>21</v>
      </c>
      <c r="H19" s="7" t="s">
        <v>6</v>
      </c>
      <c r="I19" s="38" t="s">
        <v>5</v>
      </c>
      <c r="J19" s="38" t="s">
        <v>7</v>
      </c>
      <c r="K19" s="38" t="s">
        <v>21</v>
      </c>
      <c r="L19" s="38" t="s">
        <v>7</v>
      </c>
      <c r="M19" s="7" t="s">
        <v>6</v>
      </c>
      <c r="N19" s="7" t="s">
        <v>7</v>
      </c>
    </row>
    <row r="20" spans="1:14">
      <c r="A20" s="8"/>
      <c r="B20" s="9" t="s">
        <v>98</v>
      </c>
      <c r="C20" s="10">
        <v>0.58</v>
      </c>
      <c r="D20" s="39">
        <v>0.5</v>
      </c>
      <c r="E20" s="11">
        <v>0.45</v>
      </c>
      <c r="F20" s="12">
        <v>837</v>
      </c>
      <c r="G20" s="12">
        <v>686</v>
      </c>
      <c r="H20" s="27">
        <v>661</v>
      </c>
      <c r="I20" s="12">
        <f>F20*0.85</f>
        <v>711.45</v>
      </c>
      <c r="J20" s="12">
        <f>SUM(I20/5)</f>
        <v>142.29</v>
      </c>
      <c r="K20" s="12">
        <f>G20*0.85</f>
        <v>583.1</v>
      </c>
      <c r="L20" s="12">
        <f>SUM(K20/5)</f>
        <v>116.62</v>
      </c>
      <c r="M20" s="27">
        <f>H20*0.85</f>
        <v>561.85</v>
      </c>
      <c r="N20" s="27">
        <f>SUM(M20/5)</f>
        <v>112.37</v>
      </c>
    </row>
    <row r="21" spans="1:14">
      <c r="A21" s="8"/>
      <c r="B21" s="14"/>
      <c r="C21" s="15"/>
      <c r="D21" s="40"/>
      <c r="E21" s="11"/>
      <c r="F21" s="12"/>
      <c r="G21" s="12"/>
      <c r="H21" s="27"/>
      <c r="I21" s="12"/>
      <c r="J21" s="12"/>
      <c r="K21" s="12"/>
      <c r="L21" s="12"/>
      <c r="M21" s="27"/>
      <c r="N21" s="27"/>
    </row>
    <row r="22" spans="1:14">
      <c r="A22" s="8"/>
      <c r="B22" s="14"/>
      <c r="C22" s="15"/>
      <c r="D22" s="40"/>
      <c r="E22" s="11"/>
      <c r="F22" s="16"/>
      <c r="G22" s="16"/>
      <c r="H22" s="41"/>
      <c r="I22" s="16"/>
      <c r="J22" s="16"/>
      <c r="K22" s="16"/>
      <c r="L22" s="16"/>
      <c r="M22" s="41"/>
      <c r="N22" s="41"/>
    </row>
    <row r="23" spans="1:14">
      <c r="A23" s="8"/>
      <c r="B23" s="14"/>
      <c r="C23" s="15"/>
      <c r="D23" s="40"/>
      <c r="E23" s="11"/>
      <c r="F23" s="16" t="s">
        <v>30</v>
      </c>
      <c r="G23" s="16" t="s">
        <v>30</v>
      </c>
      <c r="H23" s="41"/>
      <c r="I23" s="16" t="s">
        <v>30</v>
      </c>
      <c r="J23" s="16" t="s">
        <v>30</v>
      </c>
      <c r="K23" s="16" t="s">
        <v>30</v>
      </c>
      <c r="L23" s="16" t="s">
        <v>30</v>
      </c>
      <c r="M23" s="41"/>
      <c r="N23" s="41"/>
    </row>
    <row r="24" spans="1:14">
      <c r="A24" s="8"/>
      <c r="B24" s="18"/>
      <c r="C24" s="19"/>
      <c r="D24" s="20" t="s">
        <v>99</v>
      </c>
      <c r="E24" s="42"/>
      <c r="F24" s="12" t="s">
        <v>30</v>
      </c>
      <c r="G24" s="12" t="s">
        <v>30</v>
      </c>
      <c r="H24" s="41"/>
      <c r="I24" s="12" t="s">
        <v>30</v>
      </c>
      <c r="J24" s="12" t="s">
        <v>30</v>
      </c>
      <c r="K24" s="12" t="s">
        <v>30</v>
      </c>
      <c r="L24" s="12" t="s">
        <v>30</v>
      </c>
      <c r="M24" s="41"/>
      <c r="N24" s="41"/>
    </row>
    <row r="25" spans="1:14">
      <c r="A25" s="21"/>
      <c r="B25" s="14"/>
      <c r="C25" s="19"/>
      <c r="D25" s="22"/>
      <c r="E25" s="43"/>
      <c r="F25" s="12" t="s">
        <v>30</v>
      </c>
      <c r="G25" s="12" t="s">
        <v>30</v>
      </c>
      <c r="H25" s="41"/>
      <c r="I25" s="12" t="s">
        <v>30</v>
      </c>
      <c r="J25" s="12" t="s">
        <v>30</v>
      </c>
      <c r="K25" s="12" t="s">
        <v>30</v>
      </c>
      <c r="L25" s="12" t="s">
        <v>30</v>
      </c>
      <c r="M25" s="41"/>
      <c r="N25" s="41"/>
    </row>
    <row r="26" spans="1:14">
      <c r="A26" s="23" t="s">
        <v>28</v>
      </c>
      <c r="B26" s="44"/>
      <c r="C26" s="15"/>
      <c r="D26" s="15"/>
      <c r="E26" s="11" t="s">
        <v>30</v>
      </c>
      <c r="F26" s="12" t="s">
        <v>30</v>
      </c>
      <c r="G26" s="12" t="s">
        <v>30</v>
      </c>
      <c r="H26" s="41"/>
      <c r="I26" s="12" t="s">
        <v>30</v>
      </c>
      <c r="J26" s="12" t="s">
        <v>30</v>
      </c>
      <c r="K26" s="12" t="s">
        <v>30</v>
      </c>
      <c r="L26" s="12" t="s">
        <v>30</v>
      </c>
      <c r="M26" s="41"/>
      <c r="N26" s="41"/>
    </row>
    <row r="27" spans="1:14">
      <c r="A27" s="25" t="s">
        <v>29</v>
      </c>
      <c r="B27" s="14"/>
      <c r="C27" s="15"/>
      <c r="D27" s="15"/>
      <c r="E27" s="11" t="s">
        <v>30</v>
      </c>
      <c r="F27" s="12" t="s">
        <v>30</v>
      </c>
      <c r="G27" s="12" t="s">
        <v>30</v>
      </c>
      <c r="H27" s="41"/>
      <c r="I27" s="12" t="s">
        <v>30</v>
      </c>
      <c r="J27" s="12" t="s">
        <v>30</v>
      </c>
      <c r="K27" s="12" t="s">
        <v>30</v>
      </c>
      <c r="L27" s="12" t="s">
        <v>30</v>
      </c>
      <c r="M27" s="41"/>
      <c r="N27" s="41"/>
    </row>
  </sheetData>
  <mergeCells count="4">
    <mergeCell ref="B14:E14"/>
    <mergeCell ref="E6:E7"/>
    <mergeCell ref="E15:E16"/>
    <mergeCell ref="D24:E25"/>
  </mergeCells>
  <hyperlinks>
    <hyperlink ref="A9" r:id="rId2" display="LUCIANO SANTELLI"/>
    <hyperlink ref="A27" r:id="rId2" display="JOÃO V. DEMELE"/>
  </hyperlinks>
  <pageMargins left="0.511811024" right="0.511811024" top="0.787401575" bottom="0.787401575" header="0.31496062" footer="0.31496062"/>
  <pageSetup paperSize="9" scale="7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Estofados KARAMS</vt:lpstr>
      <vt:lpstr>POLTRONA KARAMS</vt:lpstr>
      <vt:lpstr>COMPLEMENTOS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Kossei Kato</dc:creator>
  <cp:lastModifiedBy>takeda</cp:lastModifiedBy>
  <dcterms:created xsi:type="dcterms:W3CDTF">2024-01-30T02:33:00Z</dcterms:created>
  <cp:lastPrinted>2026-08-02T17:00:00Z</cp:lastPrinted>
  <dcterms:modified xsi:type="dcterms:W3CDTF">2026-08-04T15:10:16Z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FB48F6899A5D4EC1B463376E6760DE3E_13</vt:lpwstr>
  </property>
  <property fmtid="{D5CDD505-2E9C-101B-9397-08002B2CF9AE}" pid="3" name="KSOProductBuildVer">
    <vt:lpwstr>1046-12.1.0.28032</vt:lpwstr>
  </property>
  <property fmtid="{D5CDD505-2E9C-101B-9397-08002B2CF9AE}" pid="4" name="CalculationRule">
    <vt:i4>0</vt:i4>
  </property>
</Properties>
</file>